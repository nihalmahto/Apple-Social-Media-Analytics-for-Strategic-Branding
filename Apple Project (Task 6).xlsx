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tables/table1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tables/table13.xml" ContentType="application/vnd.openxmlformats-officedocument.spreadsheetml.table+xml"/>
  <Override PartName="/xl/queryTables/queryTable3.xml" ContentType="application/vnd.openxmlformats-officedocument.spreadsheetml.query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5951be867cd8ecc0/Documents/"/>
    </mc:Choice>
  </mc:AlternateContent>
  <xr:revisionPtr revIDLastSave="1422" documentId="8_{5EABC3D1-3A98-40D8-9C76-E351E01EDF6D}" xr6:coauthVersionLast="47" xr6:coauthVersionMax="47" xr10:uidLastSave="{1E87EF42-043C-4C6F-87EB-19B7325284A3}"/>
  <bookViews>
    <workbookView xWindow="-108" yWindow="-108" windowWidth="23256" windowHeight="12456" firstSheet="2" activeTab="12" xr2:uid="{62C941F3-088C-45FC-BF82-A49DC0BAD555}"/>
  </bookViews>
  <sheets>
    <sheet name="Post" sheetId="2" r:id="rId1"/>
    <sheet name="Engagement" sheetId="3" r:id="rId2"/>
    <sheet name="Campaign" sheetId="4" r:id="rId3"/>
    <sheet name="Task 6.1" sheetId="1" r:id="rId4"/>
    <sheet name="Task 6.2" sheetId="5" r:id="rId5"/>
    <sheet name="Insta" sheetId="11" state="hidden" r:id="rId6"/>
    <sheet name="Twitter" sheetId="12" state="hidden" r:id="rId7"/>
    <sheet name="YouTube" sheetId="13" state="hidden" r:id="rId8"/>
    <sheet name="LinkdIn" sheetId="14" state="hidden" r:id="rId9"/>
    <sheet name="Task 6.3" sheetId="8" r:id="rId10"/>
    <sheet name="Task 6.3." sheetId="9" r:id="rId11"/>
    <sheet name="Task 6.4." sheetId="15" r:id="rId12"/>
    <sheet name="Task 6.4" sheetId="7" r:id="rId13"/>
    <sheet name="Video Link" sheetId="17" r:id="rId14"/>
    <sheet name="Task 6.4.." sheetId="16" state="hidden" r:id="rId15"/>
  </sheets>
  <definedNames>
    <definedName name="_xlnm._FilterDatabase" localSheetId="5" hidden="1">Insta!$K$1:$M$201</definedName>
    <definedName name="_xlnm._FilterDatabase" localSheetId="8" hidden="1">LinkdIn!$K$1:$M$201</definedName>
    <definedName name="_xlnm._FilterDatabase" localSheetId="6" hidden="1">Twitter!$K$1:$M$201</definedName>
    <definedName name="_xlnm._FilterDatabase" localSheetId="7" hidden="1">YouTube!$K$1:$M$201</definedName>
    <definedName name="ExternalData_1" localSheetId="1" hidden="1">Engagement!$A$1:$H$201</definedName>
    <definedName name="ExternalData_1" localSheetId="8" hidden="1">LinkdIn!$A$1:$I$201</definedName>
    <definedName name="ExternalData_1" localSheetId="9" hidden="1">'Task 6.3'!$A$1:$I$201</definedName>
    <definedName name="ExternalData_1" localSheetId="10" hidden="1">'Task 6.3.'!$A$1:$I$201</definedName>
    <definedName name="Slicer_Platform">#N/A</definedName>
    <definedName name="Slicer_Platform1">#N/A</definedName>
  </definedNames>
  <calcPr calcId="191029"/>
  <pivotCaches>
    <pivotCache cacheId="8" r:id="rId16"/>
    <pivotCache cacheId="9" r:id="rId17"/>
    <pivotCache cacheId="105"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2_63cd5181-ec0b-4e95-a96f-01572c2c3640" name="Sheet2" connection="Query - Sheet2"/>
          <x15:modelTable id="Sheet3_a48f2b4b-c04a-49e0-b281-dd67dc1c9b3d" name="Sheet3" connection="Query - Sheet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6" l="1"/>
  <c r="N6" i="16"/>
  <c r="N7" i="16"/>
  <c r="N8" i="16"/>
  <c r="N4" i="16"/>
  <c r="E201" i="16"/>
  <c r="E200" i="16"/>
  <c r="E199" i="16"/>
  <c r="E198" i="16"/>
  <c r="E197" i="16"/>
  <c r="E196" i="16"/>
  <c r="E195" i="16"/>
  <c r="E194" i="16"/>
  <c r="E193" i="16"/>
  <c r="E192" i="16"/>
  <c r="E191" i="16"/>
  <c r="E190" i="16"/>
  <c r="E189" i="16"/>
  <c r="E188" i="16"/>
  <c r="E187" i="16"/>
  <c r="E186" i="16"/>
  <c r="E185" i="16"/>
  <c r="E184" i="16"/>
  <c r="E183" i="16"/>
  <c r="E182" i="16"/>
  <c r="E181" i="16"/>
  <c r="E180" i="16"/>
  <c r="E179" i="16"/>
  <c r="E178" i="16"/>
  <c r="E177" i="16"/>
  <c r="E176" i="16"/>
  <c r="E175" i="16"/>
  <c r="E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3" i="16"/>
  <c r="E2" i="16"/>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 i="15"/>
  <c r="F201" i="14"/>
  <c r="F200" i="14"/>
  <c r="F199" i="14"/>
  <c r="F198" i="14"/>
  <c r="F197" i="14"/>
  <c r="F196" i="14"/>
  <c r="F195" i="14"/>
  <c r="F194" i="14"/>
  <c r="F193" i="14"/>
  <c r="F192" i="14"/>
  <c r="F191" i="14"/>
  <c r="F190" i="14"/>
  <c r="F189" i="14"/>
  <c r="F188" i="14"/>
  <c r="F187" i="14"/>
  <c r="F186" i="14"/>
  <c r="F185" i="14"/>
  <c r="F184" i="14"/>
  <c r="F183" i="14"/>
  <c r="F182" i="14"/>
  <c r="F181" i="14"/>
  <c r="F180" i="14"/>
  <c r="F179" i="14"/>
  <c r="F178" i="14"/>
  <c r="F177" i="14"/>
  <c r="F176" i="14"/>
  <c r="F175" i="14"/>
  <c r="F174" i="14"/>
  <c r="F173" i="14"/>
  <c r="F172" i="14"/>
  <c r="F171" i="14"/>
  <c r="F170" i="14"/>
  <c r="F169" i="14"/>
  <c r="F168" i="14"/>
  <c r="F167" i="14"/>
  <c r="F166" i="14"/>
  <c r="F165" i="14"/>
  <c r="F164" i="14"/>
  <c r="F163" i="14"/>
  <c r="F162" i="14"/>
  <c r="F161" i="14"/>
  <c r="F160" i="14"/>
  <c r="F159" i="14"/>
  <c r="F158" i="14"/>
  <c r="F157" i="14"/>
  <c r="F156" i="14"/>
  <c r="F155" i="14"/>
  <c r="F154" i="14"/>
  <c r="F153" i="14"/>
  <c r="F152" i="14"/>
  <c r="F151" i="14"/>
  <c r="F150" i="14"/>
  <c r="F149" i="14"/>
  <c r="F148" i="14"/>
  <c r="F147" i="14"/>
  <c r="F146" i="14"/>
  <c r="F145" i="14"/>
  <c r="F144" i="14"/>
  <c r="F143" i="14"/>
  <c r="F142" i="14"/>
  <c r="F141" i="14"/>
  <c r="F140" i="14"/>
  <c r="F139" i="14"/>
  <c r="F138" i="14"/>
  <c r="F137" i="14"/>
  <c r="F136" i="14"/>
  <c r="F135" i="14"/>
  <c r="F134" i="14"/>
  <c r="F133" i="14"/>
  <c r="F132" i="14"/>
  <c r="F131" i="14"/>
  <c r="F130" i="14"/>
  <c r="F129" i="14"/>
  <c r="F128" i="14"/>
  <c r="F127" i="14"/>
  <c r="F126" i="14"/>
  <c r="F125" i="14"/>
  <c r="F124" i="14"/>
  <c r="F123" i="14"/>
  <c r="F122" i="14"/>
  <c r="F121" i="14"/>
  <c r="F120" i="14"/>
  <c r="F119" i="14"/>
  <c r="F118" i="14"/>
  <c r="F117" i="14"/>
  <c r="F116" i="14"/>
  <c r="F115" i="14"/>
  <c r="F114" i="14"/>
  <c r="F113" i="14"/>
  <c r="F112" i="14"/>
  <c r="F111" i="14"/>
  <c r="F110" i="14"/>
  <c r="F109" i="14"/>
  <c r="F108" i="14"/>
  <c r="F107" i="14"/>
  <c r="F106" i="14"/>
  <c r="F105" i="14"/>
  <c r="F104" i="14"/>
  <c r="F103" i="14"/>
  <c r="F102" i="14"/>
  <c r="F101" i="14"/>
  <c r="F100" i="14"/>
  <c r="F99" i="14"/>
  <c r="F98" i="14"/>
  <c r="F97" i="14"/>
  <c r="F96" i="14"/>
  <c r="F95" i="14"/>
  <c r="F94" i="14"/>
  <c r="F93" i="14"/>
  <c r="F92" i="14"/>
  <c r="F91" i="14"/>
  <c r="F90" i="14"/>
  <c r="F89" i="14"/>
  <c r="F88" i="14"/>
  <c r="F87" i="14"/>
  <c r="F86" i="14"/>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F2" i="14"/>
  <c r="F201" i="13"/>
  <c r="F200" i="13"/>
  <c r="F199" i="13"/>
  <c r="F198" i="13"/>
  <c r="F197" i="13"/>
  <c r="F196" i="13"/>
  <c r="F195" i="13"/>
  <c r="F194" i="13"/>
  <c r="F193" i="13"/>
  <c r="F192" i="13"/>
  <c r="F191" i="13"/>
  <c r="F190" i="13"/>
  <c r="F189" i="13"/>
  <c r="F188" i="13"/>
  <c r="F187" i="13"/>
  <c r="F186" i="13"/>
  <c r="F185" i="13"/>
  <c r="F184" i="13"/>
  <c r="F183" i="13"/>
  <c r="F182" i="13"/>
  <c r="F181" i="13"/>
  <c r="F180" i="13"/>
  <c r="F179" i="13"/>
  <c r="F178" i="13"/>
  <c r="F177" i="13"/>
  <c r="F176" i="13"/>
  <c r="F175" i="13"/>
  <c r="F174" i="13"/>
  <c r="F173" i="13"/>
  <c r="F172" i="13"/>
  <c r="F171" i="13"/>
  <c r="F170" i="13"/>
  <c r="F169" i="13"/>
  <c r="F168" i="13"/>
  <c r="F167" i="13"/>
  <c r="F166" i="13"/>
  <c r="F165" i="13"/>
  <c r="F164" i="13"/>
  <c r="F163" i="13"/>
  <c r="F162" i="13"/>
  <c r="F161" i="13"/>
  <c r="F160" i="13"/>
  <c r="F159" i="13"/>
  <c r="F158" i="13"/>
  <c r="F157" i="13"/>
  <c r="F156" i="13"/>
  <c r="F155" i="13"/>
  <c r="F154" i="13"/>
  <c r="F153" i="13"/>
  <c r="F152" i="13"/>
  <c r="F151" i="13"/>
  <c r="F150" i="13"/>
  <c r="F149" i="13"/>
  <c r="F148" i="13"/>
  <c r="F147" i="13"/>
  <c r="F146" i="13"/>
  <c r="F145" i="13"/>
  <c r="F144" i="13"/>
  <c r="F143" i="13"/>
  <c r="F142" i="13"/>
  <c r="F141" i="13"/>
  <c r="F140" i="13"/>
  <c r="F139" i="13"/>
  <c r="F138" i="13"/>
  <c r="F137" i="13"/>
  <c r="F136" i="13"/>
  <c r="F135" i="13"/>
  <c r="F134" i="13"/>
  <c r="F133" i="13"/>
  <c r="F132" i="13"/>
  <c r="F131" i="13"/>
  <c r="F130" i="13"/>
  <c r="F129" i="13"/>
  <c r="F128" i="13"/>
  <c r="F127" i="13"/>
  <c r="F126" i="13"/>
  <c r="F125" i="13"/>
  <c r="F124" i="13"/>
  <c r="F123" i="13"/>
  <c r="F122" i="13"/>
  <c r="F121" i="13"/>
  <c r="F120" i="13"/>
  <c r="F119" i="13"/>
  <c r="F118" i="13"/>
  <c r="F117" i="13"/>
  <c r="F116" i="13"/>
  <c r="F115" i="13"/>
  <c r="F114" i="13"/>
  <c r="F113" i="13"/>
  <c r="F112" i="13"/>
  <c r="F111" i="13"/>
  <c r="F110" i="13"/>
  <c r="F109" i="13"/>
  <c r="F108" i="13"/>
  <c r="F107" i="13"/>
  <c r="F106" i="13"/>
  <c r="F105" i="13"/>
  <c r="F104" i="13"/>
  <c r="F103" i="13"/>
  <c r="F102" i="13"/>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F2" i="13"/>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F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89280C-386A-4D56-801D-5EEC7ECC2122}" name="Query - Sheet2" description="Connection to the 'Sheet2' query in the workbook." type="100" refreshedVersion="8" minRefreshableVersion="5">
    <extLst>
      <ext xmlns:x15="http://schemas.microsoft.com/office/spreadsheetml/2010/11/main" uri="{DE250136-89BD-433C-8126-D09CA5730AF9}">
        <x15:connection id="e621d687-a8c9-4321-8fb4-ddba64cd3f7b"/>
      </ext>
    </extLst>
  </connection>
  <connection id="2" xr16:uid="{EC5CCBB0-89D6-430D-91CF-3F8ECC3C35DC}" name="Query - Sheet3" description="Connection to the 'Sheet3' query in the workbook." type="100" refreshedVersion="8" minRefreshableVersion="5">
    <extLst>
      <ext xmlns:x15="http://schemas.microsoft.com/office/spreadsheetml/2010/11/main" uri="{DE250136-89BD-433C-8126-D09CA5730AF9}">
        <x15:connection id="a69521ff-9084-466d-9b3e-4a48dbe29e36"/>
      </ext>
    </extLst>
  </connection>
  <connection id="3" xr16:uid="{1E1732B9-CE6B-4F00-BFEA-39AF669707B1}"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4" xr16:uid="{F633A92C-40B1-4C30-BAB3-CA77B580D593}"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 id="5" xr16:uid="{8A530A52-697C-4A37-8B81-B53A6F62483F}" keepAlive="1" name="Query - Table4 (3)" description="Connection to the 'Table4 (3)' query in the workbook." type="5" refreshedVersion="8" background="1" saveData="1">
    <dbPr connection="Provider=Microsoft.Mashup.OleDb.1;Data Source=$Workbook$;Location=&quot;Table4 (3)&quot;;Extended Properties=&quot;&quot;" command="SELECT * FROM [Table4 (3)]"/>
  </connection>
  <connection id="6" xr16:uid="{5FE4C114-4CD1-488B-B174-107F3DB1CEB1}" keepAlive="1" name="Query - Table4 (4)" description="Connection to the 'Table4 (4)' query in the workbook." type="5" refreshedVersion="8" background="1" saveData="1">
    <dbPr connection="Provider=Microsoft.Mashup.OleDb.1;Data Source=$Workbook$;Location=&quot;Table4 (4)&quot;;Extended Properties=&quot;&quot;" command="SELECT * FROM [Table4 (4)]"/>
  </connection>
  <connection id="7" xr16:uid="{F7BE2BF9-7F21-43C0-A33F-6ED5878F358E}" keepAlive="1" name="Query - Table4 (5)" description="Connection to the 'Table4 (5)' query in the workbook." type="5" refreshedVersion="8" background="1" saveData="1">
    <dbPr connection="Provider=Microsoft.Mashup.OleDb.1;Data Source=$Workbook$;Location=&quot;Table4 (5)&quot;;Extended Properties=&quot;&quot;" command="SELECT * FROM [Table4 (5)]"/>
  </connection>
  <connection id="8" xr16:uid="{0C721406-7ACD-46FA-B5B4-23FA7F6353A0}" keepAlive="1" name="Query - Table4 (6)" description="Connection to the 'Table4 (6)' query in the workbook." type="5" refreshedVersion="8" background="1" saveData="1">
    <dbPr connection="Provider=Microsoft.Mashup.OleDb.1;Data Source=$Workbook$;Location=&quot;Table4 (6)&quot;;Extended Properties=&quot;&quot;" command="SELECT * FROM [Table4 (6)]"/>
  </connection>
  <connection id="9" xr16:uid="{BBA037DA-7625-4A0E-9736-F5340EF0291A}" keepAlive="1" name="Query - Table4 (7)" description="Connection to the 'Table4 (7)' query in the workbook." type="5" refreshedVersion="8" background="1" saveData="1">
    <dbPr connection="Provider=Microsoft.Mashup.OleDb.1;Data Source=$Workbook$;Location=&quot;Table4 (7)&quot;;Extended Properties=&quot;&quot;" command="SELECT * FROM [Table4 (7)]"/>
  </connection>
  <connection id="10" xr16:uid="{847706AB-ED4F-4352-B72A-4561FDD5DA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<sst xmlns="http://schemas.openxmlformats.org/spreadsheetml/2006/main" count="4127" uniqueCount="403">
  <si>
    <t>PostID</t>
  </si>
  <si>
    <t>Platform</t>
  </si>
  <si>
    <t>Date</t>
  </si>
  <si>
    <t>ContentType</t>
  </si>
  <si>
    <t>Hashtags</t>
  </si>
  <si>
    <t>Likes</t>
  </si>
  <si>
    <t>Shares</t>
  </si>
  <si>
    <t>Comments</t>
  </si>
  <si>
    <t>Clicks</t>
  </si>
  <si>
    <t>Reach</t>
  </si>
  <si>
    <t>Impressions</t>
  </si>
  <si>
    <t>Engagement Rate</t>
  </si>
  <si>
    <t>Campaign</t>
  </si>
  <si>
    <t>A1</t>
  </si>
  <si>
    <t>YouTube</t>
  </si>
  <si>
    <t>Image</t>
  </si>
  <si>
    <t>#AppleWatchUltra2,#HealthTech</t>
  </si>
  <si>
    <t>Apple Watch Ultra 2 Launch</t>
  </si>
  <si>
    <t>A2</t>
  </si>
  <si>
    <t>LinkedIn</t>
  </si>
  <si>
    <t>#MacBookAirM3,#AppleInnovation</t>
  </si>
  <si>
    <t>Apple Event September 2025</t>
  </si>
  <si>
    <t>A3</t>
  </si>
  <si>
    <t>Instagram</t>
  </si>
  <si>
    <t>Tweet</t>
  </si>
  <si>
    <t>#AppleDesign,#Innovation</t>
  </si>
  <si>
    <t>Sustainability Awareness Drive</t>
  </si>
  <si>
    <t>A4</t>
  </si>
  <si>
    <t>Video</t>
  </si>
  <si>
    <t>#AppleEvent,#iPadPro</t>
  </si>
  <si>
    <t>iPhone 16 Launch</t>
  </si>
  <si>
    <t>A5</t>
  </si>
  <si>
    <t>A6</t>
  </si>
  <si>
    <t>#ShotOniPhone</t>
  </si>
  <si>
    <t>A7</t>
  </si>
  <si>
    <t>Carousel</t>
  </si>
  <si>
    <t>#AppleMusic,#AppleLifestyle</t>
  </si>
  <si>
    <t>A8</t>
  </si>
  <si>
    <t>#AppleWatch,#Health</t>
  </si>
  <si>
    <t>A9</t>
  </si>
  <si>
    <t>A10</t>
  </si>
  <si>
    <t>Twitter</t>
  </si>
  <si>
    <t>#iPhone16Launch,#AppleEvent</t>
  </si>
  <si>
    <t>A11</t>
  </si>
  <si>
    <t>A12</t>
  </si>
  <si>
    <t>A13</t>
  </si>
  <si>
    <t>MacBook Air M3 Campaign</t>
  </si>
  <si>
    <t>A14</t>
  </si>
  <si>
    <t>A15</t>
  </si>
  <si>
    <t>A16</t>
  </si>
  <si>
    <t>A17</t>
  </si>
  <si>
    <t>#AppleEvent,#iPhone16</t>
  </si>
  <si>
    <t>A18</t>
  </si>
  <si>
    <t>A19</t>
  </si>
  <si>
    <t>A20</t>
  </si>
  <si>
    <t>A21</t>
  </si>
  <si>
    <t>#iPhonePhotography,#ShotOniPhone</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</si>
  <si>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</si>
  <si>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</si>
  <si>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</si>
  <si>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</si>
  <si>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</si>
  <si>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</si>
  <si>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</si>
  <si>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</si>
  <si>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</si>
  <si>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</si>
  <si>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</si>
  <si>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</si>
  <si>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</si>
  <si>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</si>
  <si>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</si>
  <si>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</si>
  <si>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</si>
  <si>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</si>
  <si>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</si>
  <si>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</si>
  <si>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</si>
  <si>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</si>
  <si>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</si>
  <si>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</si>
  <si>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</si>
  <si>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</si>
  <si>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</si>
  <si>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</si>
  <si>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</si>
  <si>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</si>
  <si>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</si>
  <si>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</si>
  <si>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</si>
  <si>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</si>
  <si>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</si>
  <si>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</si>
  <si>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</si>
  <si>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</si>
  <si>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</si>
  <si>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</si>
  <si>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</si>
  <si>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</si>
  <si>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</si>
  <si>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</si>
  <si>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</si>
  <si>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</si>
  <si>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</si>
  <si>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</si>
  <si>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</si>
  <si>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</si>
  <si>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</si>
  <si>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</si>
  <si>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</si>
  <si>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</si>
  <si>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</si>
  <si>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</si>
  <si>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</si>
  <si>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</si>
  <si>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</si>
  <si>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</si>
  <si>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</si>
  <si>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</si>
  <si>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</si>
  <si>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</si>
  <si>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</si>
  <si>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</si>
  <si>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</si>
  <si>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</si>
  <si>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</si>
  <si>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</si>
  <si>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</si>
  <si>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</si>
  <si>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</si>
  <si>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</si>
  <si>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</si>
  <si>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</si>
  <si>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</si>
  <si>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</si>
  <si>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</si>
  <si>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</si>
  <si>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</si>
  <si>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</si>
  <si>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</si>
  <si>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</si>
  <si>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</si>
  <si>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</si>
  <si>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</si>
  <si>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</si>
  <si>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</si>
  <si>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</si>
  <si>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</si>
  <si>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</si>
  <si>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</si>
  <si>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</si>
  <si>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</si>
  <si>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</si>
  <si>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</si>
  <si>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</si>
  <si>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</si>
  <si>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</si>
  <si>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</si>
  <si>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</si>
  <si>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</si>
  <si>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</si>
  <si>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</si>
  <si>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</si>
  <si>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</si>
  <si>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</si>
  <si>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</si>
  <si>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</si>
  <si>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</si>
  <si>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</si>
  <si>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</si>
  <si>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</si>
  <si>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</si>
  <si>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</si>
  <si>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</si>
  <si>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</si>
  <si>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</si>
  <si>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</si>
  <si>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</si>
  <si>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</si>
  <si>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</si>
  <si>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</si>
  <si>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</si>
  <si>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</si>
  <si>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</si>
  <si>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</si>
  <si>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</si>
  <si>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</si>
  <si>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</si>
  <si>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</si>
  <si>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</si>
  <si>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</si>
  <si>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</si>
  <si>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</si>
  <si>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</si>
  <si>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</si>
  <si>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</si>
  <si>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</si>
  <si>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</si>
  <si>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</si>
  <si>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</si>
  <si>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</si>
  <si>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</si>
  <si>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</si>
  <si>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</si>
  <si>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</si>
  <si>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</si>
  <si>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</si>
  <si>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</si>
  <si>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</si>
  <si>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</si>
  <si>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</si>
  <si>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</si>
  <si>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</si>
  <si>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</si>
  <si>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</si>
  <si>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</si>
  <si>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</si>
  <si>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</si>
  <si>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</si>
  <si>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</si>
  <si>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</si>
  <si>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</si>
  <si>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</si>
  <si>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</si>
  <si>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</si>
  <si>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</si>
  <si>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</si>
  <si>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</si>
  <si>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</si>
  <si>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</si>
  <si>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</si>
  <si>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</si>
  <si>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</si>
  <si>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</si>
  <si>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</si>
  <si>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</si>
  <si>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</si>
  <si>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</si>
  <si>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</si>
  <si>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</si>
  <si>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</si>
  <si>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</si>
  <si>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</si>
  <si>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</si>
  <si>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</si>
  <si>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</si>
  <si>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</si>
  <si>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</si>
  <si>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</si>
  <si>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</si>
  <si>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</si>
  <si>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</si>
  <si>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</si>
  <si>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</si>
  <si>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</si>
  <si>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</si>
  <si>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</si>
  <si>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</si>
  <si>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</si>
  <si>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</si>
  <si>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</si>
  <si>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</si>
  <si>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</si>
  <si>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</si>
  <si>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</si>
  <si>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</si>
  <si>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</si>
  <si>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</si>
  <si>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</si>
  <si>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</si>
  <si>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</si>
  <si>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</si>
  <si>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</si>
  <si>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</si>
  <si>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</si>
  <si>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</si>
  <si>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</si>
  <si>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</si>
  <si>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</si>
  <si>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</si>
  <si>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</si>
  <si>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</si>
  <si>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</si>
  <si>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</si>
  <si>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</si>
  <si>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</si>
  <si>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</si>
  <si>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</si>
  <si>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</si>
  <si>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</si>
  <si>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</si>
  <si>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</si>
  <si>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</si>
  <si>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</si>
  <si>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</si>
  <si>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</si>
  <si>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</si>
  <si>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</si>
  <si>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</si>
  <si>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</si>
  <si>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</si>
  <si>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</si>
  <si>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</si>
  <si>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</si>
  <si>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</si>
  <si>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</si>
  <si>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</si>
  <si>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</si>
  <si>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</si>
  <si>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</si>
  <si>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</si>
  <si>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</si>
  <si>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</si>
  <si>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</si>
  <si>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</si>
  <si>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</si>
  <si>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</si>
  <si>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</si>
  <si>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</si>
  <si>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</si>
  <si>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</si>
  <si>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</si>
  <si>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</si>
  <si>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</si>
  <si>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</si>
  <si>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</si>
  <si>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</si>
  <si>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</si>
  <si>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</si>
  <si>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</si>
  <si>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</si>
  <si>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</si>
  <si>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</si>
  <si>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</si>
  <si>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</si>
  <si>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</si>
  <si>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</si>
  <si>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</si>
  <si>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Week_Start_Date</t>
  </si>
  <si>
    <t>New_Followers</t>
  </si>
  <si>
    <t>Unfollows</t>
  </si>
  <si>
    <t>Total_Followers</t>
  </si>
  <si>
    <t>Follower Growth Rate</t>
  </si>
  <si>
    <t>Engagement_Rate</t>
  </si>
  <si>
    <t>Ad_Spend</t>
  </si>
  <si>
    <t>Campaign_Name</t>
  </si>
  <si>
    <t>Start_Date</t>
  </si>
  <si>
    <t>End_Date</t>
  </si>
  <si>
    <t>Objective</t>
  </si>
  <si>
    <t>Engagement_Uplift</t>
  </si>
  <si>
    <t>Product Launch</t>
  </si>
  <si>
    <t>Product Promotion</t>
  </si>
  <si>
    <t>Health &amp; Fitness Awareness</t>
  </si>
  <si>
    <t>Sustainability Branding</t>
  </si>
  <si>
    <t>Brand Engagement</t>
  </si>
  <si>
    <t>Pivot table --&gt;</t>
  </si>
  <si>
    <t>Task 6: Follower Retention &amp; Loyalty</t>
  </si>
  <si>
    <t xml:space="preserve">6.1)  Visualize weekly follower growth per platform (line chart). </t>
  </si>
  <si>
    <t>Row Labels</t>
  </si>
  <si>
    <t>Grand Total</t>
  </si>
  <si>
    <t>Column Labels</t>
  </si>
  <si>
    <t>Average of Follower Growth Rate</t>
  </si>
  <si>
    <t>Sum of Net_Follower_Gain</t>
  </si>
  <si>
    <t xml:space="preserve">6.2)  Identify the peak week of follower gain. </t>
  </si>
  <si>
    <t>6.3)  Use moving averages to smooth growth trends.</t>
  </si>
  <si>
    <t>6.4)  Correlate ad spend vs. follower growth using scatter plots.</t>
  </si>
  <si>
    <t>Ad Spend to rows &amp; Followers growth rate to values --&gt;Average  --&gt;</t>
  </si>
  <si>
    <t>Sort ad spend --&gt; smallest to largest</t>
  </si>
  <si>
    <t>Copy &amp; Paste the values of ad spend and followers growth rate in different cell</t>
  </si>
  <si>
    <t>Select all values --&gt; Ctrl A --&gt;</t>
  </si>
  <si>
    <t>Insert --&gt; Recoomended charts --&gt;  Choose scatter plot --&gt;</t>
  </si>
  <si>
    <t>Adding some charts elements --&gt;  Axis titles , GridLines , Chart title</t>
  </si>
  <si>
    <t>Now to create new column of net follower gains :-</t>
  </si>
  <si>
    <t xml:space="preserve"> Drag Week start date to rows  --&gt;</t>
  </si>
  <si>
    <t>Pivot table analyze --&gt; field, tems, sets --&gt; calculated field --&gt;</t>
  </si>
  <si>
    <t>Net follwers gain = new followers- unfollows   --&gt;</t>
  </si>
  <si>
    <t xml:space="preserve">Drag Net follower gain to values --&gt; sum </t>
  </si>
  <si>
    <t xml:space="preserve">Sort Net follower gain --&gt;  largest to smallest </t>
  </si>
  <si>
    <t>value filter --&gt; top 1</t>
  </si>
  <si>
    <t>Net Followers Gain</t>
  </si>
  <si>
    <t>Sum of Total_Followers</t>
  </si>
  <si>
    <t xml:space="preserve">Total followers in values --&gt; sum </t>
  </si>
  <si>
    <t>Pivot Table --&gt;  Platform in column --&gt; week start date in rows --&gt;</t>
  </si>
  <si>
    <t>insert --&gt; line chart --&gt;   stacked line  --&gt;</t>
  </si>
  <si>
    <t>Chart element --&gt; select axis titles , chart title, grindlines  --&gt;</t>
  </si>
  <si>
    <t>Sum of Net Followers Gain</t>
  </si>
  <si>
    <t>Column1</t>
  </si>
  <si>
    <t xml:space="preserve">insert --&gt; line chart --&gt;  </t>
  </si>
  <si>
    <t>Right Click on the line --&gt;  Add Trendline</t>
  </si>
  <si>
    <t>Moving Avg --&gt; Period --&gt; 3</t>
  </si>
  <si>
    <t>Pivot Table --&gt;   week start date in rows --&gt;</t>
  </si>
  <si>
    <t>Power Pivot Analyze --&gt; Inerst slicer --&gt; Platform</t>
  </si>
  <si>
    <t xml:space="preserve">Net followers Gain in values --&gt; sum </t>
  </si>
  <si>
    <t>Net Follower Gain</t>
  </si>
  <si>
    <t>Sum of Ad_Spend</t>
  </si>
  <si>
    <t>Sum of Net Follower Gain</t>
  </si>
  <si>
    <t>ROI</t>
  </si>
  <si>
    <t xml:space="preserve">Platform </t>
  </si>
  <si>
    <t>Ad Spend per New Follower Gain</t>
  </si>
  <si>
    <t>Copy &amp; Paste the values of ad spend and Net followers grain rate in different cell</t>
  </si>
  <si>
    <t>Using Engagement Dataset</t>
  </si>
  <si>
    <t>V</t>
  </si>
  <si>
    <t>https://drive.google.com/file/d/1fQcQ1XVmwU-dgmDv20b74-g4jRTlQwD5/view?usp=sharing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</si>
</sst>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0.00"/>
  </numFmts>
  <fonts count="8"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2"/>
      <color theme="1"/>
      <name val="Aptos Narrow"/>
      <family val="2"/>
      <scheme val="minor"/>
    </font>
    <font>
      <b/>
      <sz val="11"/>
      <color theme="0"/>
      <name val="Aptos Narrow"/>
      <family val="2"/>
      <scheme val="minor"/>
    </font>
    <font>
      <u/>
      <sz val="11"/>
      <color theme="10"/>
      <name val="Aptos Narrow"/>
      <family val="2"/>
      <scheme val="minor"/>
    </font>
    <font>
      <b/>
      <u/>
      <sz val="20"/>
      <color theme="1"/>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7"/>
        <bgColor theme="7"/>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theme="7"/>
      </top>
      <bottom/>
      <diagonal/>
    </border>
    <border>
      <left/>
      <right style="thin">
        <color theme="7"/>
      </right>
      <top style="thin">
        <color theme="7"/>
      </top>
      <bottom/>
      <diagonal/>
    </border>
    <border>
      <left/>
      <right style="thin">
        <color theme="7"/>
      </right>
      <top/>
      <bottom/>
      <diagonal/>
    </border>
    <border>
      <left style="thin">
        <color theme="7"/>
      </left>
      <right/>
      <top style="thin">
        <color theme="7"/>
      </top>
      <bottom/>
      <diagonal/>
    </border>
    <border>
      <left style="thin">
        <color theme="7"/>
      </left>
      <right/>
      <top/>
      <bottom/>
      <diagonal/>
    </border>
    <border>
      <left style="thin">
        <color theme="7"/>
      </left>
      <right/>
      <top/>
      <bottom style="thin">
        <color theme="7"/>
      </bottom>
      <diagonal/>
    </border>
    <border>
      <left/>
      <right/>
      <top/>
      <bottom style="thin">
        <color theme="7"/>
      </bottom>
      <diagonal/>
    </border>
    <border>
      <left/>
      <right style="thin">
        <color theme="7"/>
      </right>
      <top/>
      <bottom style="thin">
        <color theme="7"/>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50">
    <xf numFmtId="0" fontId="0" fillId="0" borderId="0" xfId="0"/>
    <xf numFmtId="0" fontId="0" fillId="0" borderId="0" xfId="0" applyAlignment="1">
      <alignment horizontal="center"/>
    </xf>
    <xf numFmtId="14" fontId="0" fillId="0" borderId="0" xfId="0" applyNumberFormat="1"/>
    <xf numFmtId="3" fontId="0" fillId="0" borderId="0" xfId="0" applyNumberFormat="1"/>
    <xf numFmtId="10" fontId="0" fillId="0" borderId="0" xfId="1" applyNumberFormat="1" applyFont="1"/>
    <xf numFmtId="14" fontId="0" fillId="0" borderId="0" xfId="0" applyNumberFormat="1" applyAlignment="1">
      <alignment horizontal="center"/>
    </xf>
    <xf numFmtId="164" fontId="0" fillId="0" borderId="0" xfId="0" applyNumberFormat="1"/>
    <xf numFmtId="0" fontId="2" fillId="2" borderId="1" xfId="0" applyFont="1" applyFill="1" applyBorder="1" applyAlignment="1">
      <alignment horizontal="center" vertical="top"/>
    </xf>
    <xf numFmtId="0" fontId="1" fillId="0" borderId="1" xfId="0" applyFont="1" applyBorder="1" applyAlignment="1">
      <alignment horizontal="left"/>
    </xf>
    <xf numFmtId="14" fontId="3" fillId="0" borderId="1" xfId="0" applyNumberFormat="1" applyFont="1" applyBorder="1" applyAlignment="1">
      <alignment horizontal="center"/>
    </xf>
    <xf numFmtId="164" fontId="1" fillId="0" borderId="1" xfId="0" applyNumberFormat="1" applyFont="1" applyBorder="1"/>
    <xf numFmtId="3" fontId="1" fillId="0" borderId="1" xfId="0" applyNumberFormat="1" applyFont="1" applyBorder="1" applyAlignment="1">
      <alignment horizontal="right"/>
    </xf>
    <xf numFmtId="0" fontId="1" fillId="0" borderId="1" xfId="0" applyFont="1" applyBorder="1"/>
    <xf numFmtId="0" fontId="4" fillId="3" borderId="0" xfId="0" applyFont="1" applyFill="1"/>
    <xf numFmtId="0" fontId="0" fillId="3" borderId="0" xfId="0" applyFill="1"/>
    <xf numFmtId="0" fontId="0" fillId="4" borderId="0" xfId="0" applyFill="1"/>
    <xf numFmtId="0" fontId="0" fillId="0" borderId="0" xfId="0" pivotButton="1"/>
    <xf numFmtId="14" fontId="0" fillId="0" borderId="0" xfId="0" applyNumberFormat="1" applyAlignment="1">
      <alignment horizontal="left"/>
    </xf>
    <xf numFmtId="10" fontId="0" fillId="0" borderId="0" xfId="0" applyNumberFormat="1"/>
    <xf numFmtId="164" fontId="0" fillId="0" borderId="0" xfId="0" applyNumberFormat="1" applyAlignment="1">
      <alignment horizontal="left"/>
    </xf>
    <xf numFmtId="164" fontId="0" fillId="4" borderId="0" xfId="0" applyNumberFormat="1" applyFill="1" applyAlignment="1">
      <alignment horizontal="left"/>
    </xf>
    <xf numFmtId="10" fontId="0" fillId="4" borderId="0" xfId="0" applyNumberFormat="1" applyFill="1"/>
    <xf numFmtId="14" fontId="0" fillId="4" borderId="0" xfId="0" applyNumberFormat="1" applyFill="1" applyAlignment="1">
      <alignment horizontal="left"/>
    </xf>
    <xf numFmtId="3" fontId="0" fillId="4" borderId="0" xfId="0" applyNumberFormat="1" applyFill="1"/>
    <xf numFmtId="0" fontId="5" fillId="5" borderId="2" xfId="0" applyFont="1" applyFill="1" applyBorder="1"/>
    <xf numFmtId="0" fontId="5" fillId="5" borderId="3" xfId="0" applyFont="1" applyFill="1" applyBorder="1"/>
    <xf numFmtId="0" fontId="5" fillId="5" borderId="5" xfId="0" applyFont="1" applyFill="1" applyBorder="1"/>
    <xf numFmtId="0" fontId="0" fillId="0" borderId="8" xfId="0" applyBorder="1"/>
    <xf numFmtId="14" fontId="0" fillId="0" borderId="6" xfId="0" applyNumberFormat="1" applyBorder="1" applyAlignment="1">
      <alignment horizontal="center"/>
    </xf>
    <xf numFmtId="14" fontId="0" fillId="0" borderId="7" xfId="0" applyNumberFormat="1" applyBorder="1" applyAlignment="1">
      <alignment horizontal="center"/>
    </xf>
    <xf numFmtId="10" fontId="0" fillId="0" borderId="0" xfId="1" applyNumberFormat="1" applyFont="1" applyBorder="1"/>
    <xf numFmtId="164" fontId="0" fillId="0" borderId="4" xfId="0" applyNumberFormat="1" applyBorder="1"/>
    <xf numFmtId="3" fontId="0" fillId="0" borderId="8" xfId="0" applyNumberFormat="1" applyBorder="1"/>
    <xf numFmtId="10" fontId="0" fillId="0" borderId="8" xfId="1" applyNumberFormat="1" applyFont="1" applyBorder="1"/>
    <xf numFmtId="164" fontId="0" fillId="0" borderId="9" xfId="0" applyNumberFormat="1" applyBorder="1"/>
    <xf numFmtId="0" fontId="5" fillId="5" borderId="0" xfId="0" applyFont="1" applyFill="1"/>
    <xf numFmtId="0" fontId="0" fillId="0" borderId="0" xfId="0" applyFont="1" applyBorder="1"/>
    <xf numFmtId="0" fontId="0" fillId="0" borderId="8" xfId="0" applyFont="1" applyBorder="1"/>
    <xf numFmtId="14" fontId="0" fillId="0" borderId="6" xfId="0" applyNumberFormat="1" applyFont="1" applyBorder="1" applyAlignment="1">
      <alignment horizontal="center"/>
    </xf>
    <xf numFmtId="3" fontId="0" fillId="0" borderId="0" xfId="0" applyNumberFormat="1" applyFont="1" applyBorder="1"/>
    <xf numFmtId="164" fontId="0" fillId="0" borderId="4" xfId="0" applyNumberFormat="1" applyFont="1" applyBorder="1"/>
    <xf numFmtId="14" fontId="0" fillId="0" borderId="7" xfId="0" applyNumberFormat="1" applyFont="1" applyBorder="1" applyAlignment="1">
      <alignment horizontal="center"/>
    </xf>
    <xf numFmtId="3" fontId="0" fillId="0" borderId="8" xfId="0" applyNumberFormat="1" applyFont="1" applyBorder="1"/>
    <xf numFmtId="164" fontId="0" fillId="0" borderId="9" xfId="0" applyNumberFormat="1" applyFont="1" applyBorder="1"/>
    <xf numFmtId="0" fontId="0" fillId="0" borderId="0" xfId="0" applyAlignment="1">
      <alignment horizontal="left"/>
    </xf>
    <xf numFmtId="165" fontId="0" fillId="0" borderId="0" xfId="0" applyNumberFormat="1"/>
    <xf numFmtId="0" fontId="0" fillId="3" borderId="0" xfId="0" applyFill="1" applyAlignment="1">
      <alignment horizontal="left"/>
    </xf>
    <xf numFmtId="0" fontId="0" fillId="3" borderId="0" xfId="0" applyFill="1" applyAlignment="1">
      <alignment horizontal="center"/>
    </xf>
    <xf numFmtId="165" fontId="0" fillId="3" borderId="0" xfId="0" applyNumberFormat="1" applyFill="1"/>
    <xf numFmtId="0" fontId="7" fillId="0" borderId="0" xfId="2" applyFont="1"/>
  </cellXfs>
  <cellStyles count="3">
    <cellStyle name="Hyperlink" xfId="2" builtinId="8"/>
    <cellStyle name="Normal" xfId="0" builtinId="0"/>
    <cellStyle name="Percent" xfId="1" builtinId="5"/>
  </cellStyles>
  <dxfs count="81">
    <dxf>
      <numFmt numFmtId="164" formatCode="[$$-409]#,##0"/>
    </dxf>
    <dxf>
      <numFmt numFmtId="14" formatCode="0.00%"/>
    </dxf>
    <dxf>
      <numFmt numFmtId="3" formatCode="#,##0"/>
    </dxf>
    <dxf>
      <numFmt numFmtId="3" formatCode="#,##0"/>
    </dxf>
    <dxf>
      <numFmt numFmtId="3" formatCode="#,##0"/>
    </dxf>
    <dxf>
      <numFmt numFmtId="3" formatCode="#,##0"/>
    </dxf>
    <dxf>
      <numFmt numFmtId="0" formatCode="General"/>
    </dxf>
    <dxf>
      <numFmt numFmtId="19" formatCode="dd/mm/yyyy"/>
      <alignment horizontal="center" vertical="bottom" textRotation="0" wrapText="0" indent="0" justifyLastLine="0" shrinkToFit="0" readingOrder="0"/>
    </dxf>
    <dxf>
      <numFmt numFmtId="3" formatCode="#,##0"/>
    </dxf>
    <dxf>
      <numFmt numFmtId="19" formatCode="dd/mm/yyyy"/>
      <alignment horizontal="center" vertical="bottom" textRotation="0" wrapText="0" indent="0" justifyLastLine="0" shrinkToFit="0" readingOrder="0"/>
    </dxf>
    <dxf>
      <numFmt numFmtId="3" formatCode="#,##0"/>
    </dxf>
    <dxf>
      <numFmt numFmtId="19" formatCode="dd/mm/yyyy"/>
      <alignment horizontal="center" vertical="bottom" textRotation="0" wrapText="0" indent="0" justifyLastLine="0" shrinkToFit="0" readingOrder="0"/>
    </dxf>
    <dxf>
      <numFmt numFmtId="164" formatCode="[$$-409]#,##0"/>
    </dxf>
    <dxf>
      <numFmt numFmtId="14" formatCode="0.00%"/>
    </dxf>
    <dxf>
      <numFmt numFmtId="3" formatCode="#,##0"/>
    </dxf>
    <dxf>
      <numFmt numFmtId="3" formatCode="#,##0"/>
    </dxf>
    <dxf>
      <numFmt numFmtId="3" formatCode="#,##0"/>
    </dxf>
    <dxf>
      <numFmt numFmtId="3" formatCode="#,##0"/>
    </dxf>
    <dxf>
      <numFmt numFmtId="0" formatCode="General"/>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dd/mm/yyyy"/>
      <alignment horizontal="center" vertical="bottom" textRotation="0" wrapText="0" indent="0" justifyLastLine="0" shrinkToFit="0" readingOrder="0"/>
    </dxf>
    <dxf>
      <border outline="0">
        <left style="thin">
          <color theme="7"/>
        </left>
        <top style="thin">
          <color theme="7"/>
        </top>
        <bottom style="thin">
          <color theme="7"/>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font>
        <b val="0"/>
        <i val="0"/>
        <strike val="0"/>
        <condense val="0"/>
        <extend val="0"/>
        <outline val="0"/>
        <shadow val="0"/>
        <u val="none"/>
        <vertAlign val="baseline"/>
        <sz val="11"/>
        <color theme="1"/>
        <name val="Aptos Narrow"/>
        <family val="2"/>
        <scheme val="minor"/>
      </font>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dd/mm/yyyy"/>
      <alignment horizontal="center" vertical="bottom" textRotation="0" wrapText="0" indent="0" justifyLastLine="0" shrinkToFit="0" readingOrder="0"/>
    </dxf>
    <dxf>
      <border outline="0">
        <left style="thin">
          <color theme="7"/>
        </left>
        <top style="thin">
          <color theme="7"/>
        </top>
        <bottom style="thin">
          <color theme="7"/>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font>
        <b val="0"/>
        <i val="0"/>
        <strike val="0"/>
        <condense val="0"/>
        <extend val="0"/>
        <outline val="0"/>
        <shadow val="0"/>
        <u val="none"/>
        <vertAlign val="baseline"/>
        <sz val="11"/>
        <color theme="1"/>
        <name val="Aptos Narrow"/>
        <family val="2"/>
        <scheme val="minor"/>
      </font>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dd/mm/yyyy"/>
      <alignment horizontal="center" vertical="bottom" textRotation="0" wrapText="0" indent="0" justifyLastLine="0" shrinkToFit="0" readingOrder="0"/>
    </dxf>
    <dxf>
      <border outline="0">
        <left style="thin">
          <color theme="7"/>
        </left>
        <top style="thin">
          <color theme="7"/>
        </top>
        <bottom style="thin">
          <color theme="7"/>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font>
        <b val="0"/>
        <i val="0"/>
        <strike val="0"/>
        <condense val="0"/>
        <extend val="0"/>
        <outline val="0"/>
        <shadow val="0"/>
        <u val="none"/>
        <vertAlign val="baseline"/>
        <sz val="11"/>
        <color theme="1"/>
        <name val="Aptos Narrow"/>
        <family val="2"/>
        <scheme val="minor"/>
      </font>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dd/mm/yyyy"/>
      <alignment horizontal="center" vertical="bottom" textRotation="0" wrapText="0" indent="0" justifyLastLine="0" shrinkToFit="0" readingOrder="0"/>
    </dxf>
    <dxf>
      <border outline="0">
        <left style="thin">
          <color theme="7"/>
        </left>
        <top style="thin">
          <color theme="7"/>
        </top>
        <bottom style="thin">
          <color theme="7"/>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font>
        <b val="0"/>
        <i val="0"/>
        <strike val="0"/>
        <condense val="0"/>
        <extend val="0"/>
        <outline val="0"/>
        <shadow val="0"/>
        <u val="none"/>
        <vertAlign val="baseline"/>
        <sz val="11"/>
        <color theme="1"/>
        <name val="Aptos Narrow"/>
        <family val="2"/>
        <scheme val="minor"/>
      </font>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dd/mm/yyyy"/>
      <alignment horizontal="center" vertical="bottom" textRotation="0" wrapText="0" indent="0" justifyLastLine="0" shrinkToFit="0" readingOrder="0"/>
    </dxf>
    <dxf>
      <border outline="0">
        <left style="thin">
          <color theme="7"/>
        </left>
        <top style="thin">
          <color theme="7"/>
        </top>
        <bottom style="thin">
          <color theme="7"/>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font>
        <b val="0"/>
        <i val="0"/>
        <strike val="0"/>
        <condense val="0"/>
        <extend val="0"/>
        <outline val="0"/>
        <shadow val="0"/>
        <u val="none"/>
        <vertAlign val="baseline"/>
        <sz val="11"/>
        <color theme="1"/>
        <name val="Aptos Narrow"/>
        <family val="2"/>
        <scheme val="minor"/>
      </font>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dd/mm/yyyy"/>
      <alignment horizontal="center" vertical="bottom" textRotation="0" wrapText="0" indent="0" justifyLastLine="0" shrinkToFit="0" readingOrder="0"/>
    </dxf>
    <dxf>
      <border outline="0">
        <left style="thin">
          <color theme="7"/>
        </left>
        <top style="thin">
          <color theme="7"/>
        </top>
        <bottom style="thin">
          <color theme="7"/>
        </bottom>
      </border>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numFmt numFmtId="164" formatCode="[$$-409]#,##0"/>
    </dxf>
    <dxf>
      <numFmt numFmtId="14" formatCode="0.00%"/>
    </dxf>
    <dxf>
      <numFmt numFmtId="3" formatCode="#,##0"/>
    </dxf>
    <dxf>
      <numFmt numFmtId="3" formatCode="#,##0"/>
    </dxf>
    <dxf>
      <numFmt numFmtId="3" formatCode="#,##0"/>
    </dxf>
    <dxf>
      <numFmt numFmtId="3" formatCode="#,##0"/>
    </dxf>
    <dxf>
      <numFmt numFmtId="0" formatCode="General"/>
    </dxf>
    <dxf>
      <numFmt numFmtId="19" formatCode="dd/mm/yyyy"/>
      <alignment horizontal="center" vertical="bottom" textRotation="0" wrapText="0" indent="0" justifyLastLine="0" shrinkToFit="0" readingOrder="0"/>
    </dxf>
    <dxf>
      <fill>
        <patternFill patternType="solid">
          <bgColor theme="6" tint="0.79998168889431442"/>
        </patternFill>
      </fill>
    </dxf>
    <dxf>
      <fill>
        <patternFill patternType="solid">
          <bgColor theme="6" tint="0.79998168889431442"/>
        </patternFill>
      </fill>
    </dxf>
    <dxf>
      <numFmt numFmtId="164" formatCode="[$$-409]#,##0"/>
    </dxf>
    <dxf>
      <numFmt numFmtId="14" formatCode="0.00%"/>
    </dxf>
    <dxf>
      <numFmt numFmtId="3" formatCode="#,##0"/>
    </dxf>
    <dxf>
      <numFmt numFmtId="3" formatCode="#,##0"/>
    </dxf>
    <dxf>
      <numFmt numFmtId="3" formatCode="#,##0"/>
    </dxf>
    <dxf>
      <numFmt numFmtId="0" formatCode="General"/>
    </dxf>
    <dxf>
      <numFmt numFmtId="19" formatCode="dd/mm/yyyy"/>
      <alignment horizontal="center" vertical="bottom" textRotation="0" wrapText="0" indent="0" justifyLastLine="0" shrinkToFit="0" readingOrder="0"/>
    </dxf>
    <dxf>
      <numFmt numFmtId="0" formatCode="General"/>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19" formatCode="dd/mm/yyyy"/>
    </dxf>
    <dxf>
      <numFmt numFmtId="0" formatCode="General"/>
    </dxf>
    <dxf>
      <numFmt numFmtId="0" formatCode="General"/>
    </dxf>
    <dxf>
      <alignment horizontal="center" vertical="bottom" textRotation="0" wrapText="0" indent="0" justifyLastLine="0" shrinkToFit="0" readingOrder="0"/>
    </dxf>
  </dxfs>
  <tableStyles count="0" defaultTableStyle="TableStyleMedium2" defaultPivotStyle="PivotStyleLight16"/>
  <colors>
    <mruColors>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Project (Task 6).xlsx]Task 6.1!PivotTable33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Weekly</a:t>
            </a:r>
            <a:r>
              <a:rPr lang="en-IN" b="1" baseline="0">
                <a:solidFill>
                  <a:schemeClr val="tx1"/>
                </a:solidFill>
              </a:rPr>
              <a:t> Follower Growth of Each Platform</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'Task 6.1'!$C$3:$C$4</c:f>
              <c:strCache>
                <c:ptCount val="1"/>
                <c:pt idx="0">
                  <c:v>Instagram</c:v>
                </c:pt>
              </c:strCache>
            </c:strRef>
          </c:tx>
          <c:spPr>
            <a:ln w="28575" cap="rnd">
              <a:solidFill>
                <a:schemeClr val="accent1"/>
              </a:solidFill>
              <a:round/>
            </a:ln>
            <a:effectLst/>
          </c:spPr>
          <c:marker>
            <c:symbol val="none"/>
          </c:marker>
          <c:cat>
            <c:strRef>
              <c:f>'Task 6.1'!$B$5:$B$55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6.1'!$C$5:$C$55</c:f>
              <c:numCache>
                <c:formatCode>#,##0</c:formatCode>
                <c:ptCount val="50"/>
                <c:pt idx="0">
                  <c:v>103777</c:v>
                </c:pt>
                <c:pt idx="1">
                  <c:v>134418</c:v>
                </c:pt>
                <c:pt idx="2">
                  <c:v>333913</c:v>
                </c:pt>
                <c:pt idx="3">
                  <c:v>189735</c:v>
                </c:pt>
                <c:pt idx="4">
                  <c:v>446576</c:v>
                </c:pt>
                <c:pt idx="6">
                  <c:v>503831</c:v>
                </c:pt>
                <c:pt idx="9">
                  <c:v>309517</c:v>
                </c:pt>
                <c:pt idx="10">
                  <c:v>333052</c:v>
                </c:pt>
                <c:pt idx="11">
                  <c:v>720006</c:v>
                </c:pt>
                <c:pt idx="12">
                  <c:v>385849</c:v>
                </c:pt>
                <c:pt idx="13">
                  <c:v>795220</c:v>
                </c:pt>
                <c:pt idx="14">
                  <c:v>420811</c:v>
                </c:pt>
                <c:pt idx="16">
                  <c:v>1391500</c:v>
                </c:pt>
                <c:pt idx="17">
                  <c:v>967881</c:v>
                </c:pt>
                <c:pt idx="18">
                  <c:v>507970</c:v>
                </c:pt>
                <c:pt idx="20">
                  <c:v>1654883</c:v>
                </c:pt>
                <c:pt idx="24">
                  <c:v>631128</c:v>
                </c:pt>
                <c:pt idx="25">
                  <c:v>1317342</c:v>
                </c:pt>
                <c:pt idx="26">
                  <c:v>1367340</c:v>
                </c:pt>
                <c:pt idx="27">
                  <c:v>704218</c:v>
                </c:pt>
                <c:pt idx="28">
                  <c:v>1428308</c:v>
                </c:pt>
                <c:pt idx="29">
                  <c:v>735242</c:v>
                </c:pt>
                <c:pt idx="30">
                  <c:v>761158</c:v>
                </c:pt>
                <c:pt idx="32">
                  <c:v>810061</c:v>
                </c:pt>
                <c:pt idx="34">
                  <c:v>868909</c:v>
                </c:pt>
                <c:pt idx="37">
                  <c:v>1851857</c:v>
                </c:pt>
                <c:pt idx="38">
                  <c:v>1897457</c:v>
                </c:pt>
                <c:pt idx="40">
                  <c:v>991495</c:v>
                </c:pt>
                <c:pt idx="41">
                  <c:v>1013386</c:v>
                </c:pt>
                <c:pt idx="43">
                  <c:v>1063421</c:v>
                </c:pt>
                <c:pt idx="44">
                  <c:v>1087368</c:v>
                </c:pt>
                <c:pt idx="46">
                  <c:v>3376566</c:v>
                </c:pt>
                <c:pt idx="48">
                  <c:v>1168011</c:v>
                </c:pt>
                <c:pt idx="49">
                  <c:v>1170816</c:v>
                </c:pt>
              </c:numCache>
            </c:numRef>
          </c:val>
          <c:smooth val="0"/>
          <c:extLst>
            <c:ext xmlns:c16="http://schemas.microsoft.com/office/drawing/2014/chart" uri="{C3380CC4-5D6E-409C-BE32-E72D297353CC}">
              <c16:uniqueId val="{00000000-21B0-4F2D-AFB8-807F038E96BC}"/>
            </c:ext>
          </c:extLst>
        </c:ser>
        <c:ser>
          <c:idx val="1"/>
          <c:order val="1"/>
          <c:tx>
            <c:strRef>
              <c:f>'Task 6.1'!$D$3:$D$4</c:f>
              <c:strCache>
                <c:ptCount val="1"/>
                <c:pt idx="0">
                  <c:v>LinkedIn</c:v>
                </c:pt>
              </c:strCache>
            </c:strRef>
          </c:tx>
          <c:spPr>
            <a:ln w="28575" cap="rnd">
              <a:solidFill>
                <a:schemeClr val="accent2"/>
              </a:solidFill>
              <a:round/>
            </a:ln>
            <a:effectLst/>
          </c:spPr>
          <c:marker>
            <c:symbol val="none"/>
          </c:marker>
          <c:cat>
            <c:strRef>
              <c:f>'Task 6.1'!$B$5:$B$55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6.1'!$D$5:$D$55</c:f>
              <c:numCache>
                <c:formatCode>#,##0</c:formatCode>
                <c:ptCount val="50"/>
                <c:pt idx="2">
                  <c:v>170518</c:v>
                </c:pt>
                <c:pt idx="4">
                  <c:v>210260</c:v>
                </c:pt>
                <c:pt idx="5">
                  <c:v>716856</c:v>
                </c:pt>
                <c:pt idx="7">
                  <c:v>544695</c:v>
                </c:pt>
                <c:pt idx="8">
                  <c:v>587844</c:v>
                </c:pt>
                <c:pt idx="9">
                  <c:v>320404</c:v>
                </c:pt>
                <c:pt idx="12">
                  <c:v>371865</c:v>
                </c:pt>
                <c:pt idx="13">
                  <c:v>413369</c:v>
                </c:pt>
                <c:pt idx="14">
                  <c:v>438545</c:v>
                </c:pt>
                <c:pt idx="15">
                  <c:v>447968</c:v>
                </c:pt>
                <c:pt idx="18">
                  <c:v>492814</c:v>
                </c:pt>
                <c:pt idx="21">
                  <c:v>1170612</c:v>
                </c:pt>
                <c:pt idx="22">
                  <c:v>604702</c:v>
                </c:pt>
                <c:pt idx="23">
                  <c:v>620702</c:v>
                </c:pt>
                <c:pt idx="24">
                  <c:v>1287851</c:v>
                </c:pt>
                <c:pt idx="25">
                  <c:v>670642</c:v>
                </c:pt>
                <c:pt idx="26">
                  <c:v>682556</c:v>
                </c:pt>
                <c:pt idx="27">
                  <c:v>709957</c:v>
                </c:pt>
                <c:pt idx="28">
                  <c:v>723286</c:v>
                </c:pt>
                <c:pt idx="29">
                  <c:v>1472344</c:v>
                </c:pt>
                <c:pt idx="30">
                  <c:v>1526479</c:v>
                </c:pt>
                <c:pt idx="31">
                  <c:v>781868</c:v>
                </c:pt>
                <c:pt idx="32">
                  <c:v>807142</c:v>
                </c:pt>
                <c:pt idx="34">
                  <c:v>853477</c:v>
                </c:pt>
                <c:pt idx="36">
                  <c:v>2715333</c:v>
                </c:pt>
                <c:pt idx="37">
                  <c:v>917475</c:v>
                </c:pt>
                <c:pt idx="39">
                  <c:v>973452</c:v>
                </c:pt>
                <c:pt idx="40">
                  <c:v>997585</c:v>
                </c:pt>
                <c:pt idx="41">
                  <c:v>3048937</c:v>
                </c:pt>
                <c:pt idx="42">
                  <c:v>3123167</c:v>
                </c:pt>
                <c:pt idx="43">
                  <c:v>1066648</c:v>
                </c:pt>
                <c:pt idx="44">
                  <c:v>1077624</c:v>
                </c:pt>
                <c:pt idx="45">
                  <c:v>4415538</c:v>
                </c:pt>
                <c:pt idx="47">
                  <c:v>1135945</c:v>
                </c:pt>
                <c:pt idx="48">
                  <c:v>2312827</c:v>
                </c:pt>
                <c:pt idx="49">
                  <c:v>2356803</c:v>
                </c:pt>
              </c:numCache>
            </c:numRef>
          </c:val>
          <c:smooth val="0"/>
          <c:extLst>
            <c:ext xmlns:c16="http://schemas.microsoft.com/office/drawing/2014/chart" uri="{C3380CC4-5D6E-409C-BE32-E72D297353CC}">
              <c16:uniqueId val="{00000001-21B0-4F2D-AFB8-807F038E96BC}"/>
            </c:ext>
          </c:extLst>
        </c:ser>
        <c:ser>
          <c:idx val="2"/>
          <c:order val="2"/>
          <c:tx>
            <c:strRef>
              <c:f>'Task 6.1'!$E$3:$E$4</c:f>
              <c:strCache>
                <c:ptCount val="1"/>
                <c:pt idx="0">
                  <c:v>Twitter</c:v>
                </c:pt>
              </c:strCache>
            </c:strRef>
          </c:tx>
          <c:spPr>
            <a:ln w="28575" cap="rnd">
              <a:solidFill>
                <a:schemeClr val="accent3"/>
              </a:solidFill>
              <a:round/>
            </a:ln>
            <a:effectLst/>
          </c:spPr>
          <c:marker>
            <c:symbol val="none"/>
          </c:marker>
          <c:cat>
            <c:strRef>
              <c:f>'Task 6.1'!$B$5:$B$55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6.1'!$E$5:$E$55</c:f>
              <c:numCache>
                <c:formatCode>#,##0</c:formatCode>
                <c:ptCount val="50"/>
                <c:pt idx="0">
                  <c:v>111209</c:v>
                </c:pt>
                <c:pt idx="1">
                  <c:v>297095</c:v>
                </c:pt>
                <c:pt idx="2">
                  <c:v>163790</c:v>
                </c:pt>
                <c:pt idx="3">
                  <c:v>389668</c:v>
                </c:pt>
                <c:pt idx="4">
                  <c:v>218723</c:v>
                </c:pt>
                <c:pt idx="5">
                  <c:v>231802</c:v>
                </c:pt>
                <c:pt idx="6">
                  <c:v>253858</c:v>
                </c:pt>
                <c:pt idx="7">
                  <c:v>272227</c:v>
                </c:pt>
                <c:pt idx="8">
                  <c:v>306304</c:v>
                </c:pt>
                <c:pt idx="9">
                  <c:v>313014</c:v>
                </c:pt>
                <c:pt idx="10">
                  <c:v>673289</c:v>
                </c:pt>
                <c:pt idx="12">
                  <c:v>377618</c:v>
                </c:pt>
                <c:pt idx="13">
                  <c:v>405141</c:v>
                </c:pt>
                <c:pt idx="15">
                  <c:v>453977</c:v>
                </c:pt>
                <c:pt idx="16">
                  <c:v>460228</c:v>
                </c:pt>
                <c:pt idx="17">
                  <c:v>976411</c:v>
                </c:pt>
                <c:pt idx="19">
                  <c:v>1572941</c:v>
                </c:pt>
                <c:pt idx="22">
                  <c:v>1202875</c:v>
                </c:pt>
                <c:pt idx="23">
                  <c:v>1223008</c:v>
                </c:pt>
                <c:pt idx="24">
                  <c:v>637512</c:v>
                </c:pt>
                <c:pt idx="27">
                  <c:v>700757</c:v>
                </c:pt>
                <c:pt idx="28">
                  <c:v>729561</c:v>
                </c:pt>
                <c:pt idx="30">
                  <c:v>772614</c:v>
                </c:pt>
                <c:pt idx="31">
                  <c:v>1589207</c:v>
                </c:pt>
                <c:pt idx="32">
                  <c:v>817407</c:v>
                </c:pt>
                <c:pt idx="33">
                  <c:v>2499836</c:v>
                </c:pt>
                <c:pt idx="34">
                  <c:v>1725104</c:v>
                </c:pt>
                <c:pt idx="35">
                  <c:v>1778284</c:v>
                </c:pt>
                <c:pt idx="36">
                  <c:v>904407</c:v>
                </c:pt>
                <c:pt idx="37">
                  <c:v>912374</c:v>
                </c:pt>
                <c:pt idx="39">
                  <c:v>1955311</c:v>
                </c:pt>
                <c:pt idx="40">
                  <c:v>988501</c:v>
                </c:pt>
                <c:pt idx="43">
                  <c:v>1057293</c:v>
                </c:pt>
                <c:pt idx="44">
                  <c:v>1085943</c:v>
                </c:pt>
                <c:pt idx="46">
                  <c:v>1131337</c:v>
                </c:pt>
                <c:pt idx="47">
                  <c:v>3437179</c:v>
                </c:pt>
                <c:pt idx="49">
                  <c:v>1186398</c:v>
                </c:pt>
              </c:numCache>
            </c:numRef>
          </c:val>
          <c:smooth val="0"/>
          <c:extLst>
            <c:ext xmlns:c16="http://schemas.microsoft.com/office/drawing/2014/chart" uri="{C3380CC4-5D6E-409C-BE32-E72D297353CC}">
              <c16:uniqueId val="{00000002-21B0-4F2D-AFB8-807F038E96BC}"/>
            </c:ext>
          </c:extLst>
        </c:ser>
        <c:ser>
          <c:idx val="3"/>
          <c:order val="3"/>
          <c:tx>
            <c:strRef>
              <c:f>'Task 6.1'!$F$3:$F$4</c:f>
              <c:strCache>
                <c:ptCount val="1"/>
                <c:pt idx="0">
                  <c:v>YouTube</c:v>
                </c:pt>
              </c:strCache>
            </c:strRef>
          </c:tx>
          <c:spPr>
            <a:ln w="28575" cap="rnd">
              <a:solidFill>
                <a:schemeClr val="accent4"/>
              </a:solidFill>
              <a:round/>
            </a:ln>
            <a:effectLst/>
          </c:spPr>
          <c:marker>
            <c:symbol val="none"/>
          </c:marker>
          <c:cat>
            <c:strRef>
              <c:f>'Task 6.1'!$B$5:$B$55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6.1'!$F$5:$F$55</c:f>
              <c:numCache>
                <c:formatCode>#,##0</c:formatCode>
                <c:ptCount val="50"/>
                <c:pt idx="0">
                  <c:v>246535</c:v>
                </c:pt>
                <c:pt idx="1">
                  <c:v>141896</c:v>
                </c:pt>
                <c:pt idx="3">
                  <c:v>198388</c:v>
                </c:pt>
                <c:pt idx="6">
                  <c:v>255684</c:v>
                </c:pt>
                <c:pt idx="7">
                  <c:v>289283</c:v>
                </c:pt>
                <c:pt idx="8">
                  <c:v>300265</c:v>
                </c:pt>
                <c:pt idx="9">
                  <c:v>315557</c:v>
                </c:pt>
                <c:pt idx="10">
                  <c:v>340085</c:v>
                </c:pt>
                <c:pt idx="11">
                  <c:v>729433</c:v>
                </c:pt>
                <c:pt idx="12">
                  <c:v>391152</c:v>
                </c:pt>
                <c:pt idx="14">
                  <c:v>862353</c:v>
                </c:pt>
                <c:pt idx="15">
                  <c:v>895821</c:v>
                </c:pt>
                <c:pt idx="18">
                  <c:v>1002177</c:v>
                </c:pt>
                <c:pt idx="19">
                  <c:v>522852</c:v>
                </c:pt>
                <c:pt idx="20">
                  <c:v>545824</c:v>
                </c:pt>
                <c:pt idx="21">
                  <c:v>1143345</c:v>
                </c:pt>
                <c:pt idx="22">
                  <c:v>599760</c:v>
                </c:pt>
                <c:pt idx="23">
                  <c:v>625922</c:v>
                </c:pt>
                <c:pt idx="25">
                  <c:v>675785</c:v>
                </c:pt>
                <c:pt idx="26">
                  <c:v>694115</c:v>
                </c:pt>
                <c:pt idx="27">
                  <c:v>709008</c:v>
                </c:pt>
                <c:pt idx="29">
                  <c:v>748744</c:v>
                </c:pt>
                <c:pt idx="31">
                  <c:v>798137</c:v>
                </c:pt>
                <c:pt idx="32">
                  <c:v>818408</c:v>
                </c:pt>
                <c:pt idx="33">
                  <c:v>846217</c:v>
                </c:pt>
                <c:pt idx="35">
                  <c:v>1762198</c:v>
                </c:pt>
                <c:pt idx="38">
                  <c:v>1900474</c:v>
                </c:pt>
                <c:pt idx="39">
                  <c:v>966020</c:v>
                </c:pt>
                <c:pt idx="40">
                  <c:v>995050</c:v>
                </c:pt>
                <c:pt idx="42">
                  <c:v>1041686</c:v>
                </c:pt>
                <c:pt idx="43">
                  <c:v>1064988</c:v>
                </c:pt>
                <c:pt idx="44">
                  <c:v>1073082</c:v>
                </c:pt>
                <c:pt idx="48">
                  <c:v>1157985</c:v>
                </c:pt>
              </c:numCache>
            </c:numRef>
          </c:val>
          <c:smooth val="0"/>
          <c:extLst>
            <c:ext xmlns:c16="http://schemas.microsoft.com/office/drawing/2014/chart" uri="{C3380CC4-5D6E-409C-BE32-E72D297353CC}">
              <c16:uniqueId val="{00000003-21B0-4F2D-AFB8-807F038E96BC}"/>
            </c:ext>
          </c:extLst>
        </c:ser>
        <c:dLbls>
          <c:showLegendKey val="0"/>
          <c:showVal val="0"/>
          <c:showCatName val="0"/>
          <c:showSerName val="0"/>
          <c:showPercent val="0"/>
          <c:showBubbleSize val="0"/>
        </c:dLbls>
        <c:smooth val="0"/>
        <c:axId val="679860000"/>
        <c:axId val="679864320"/>
      </c:lineChart>
      <c:catAx>
        <c:axId val="67986000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64320"/>
        <c:crosses val="autoZero"/>
        <c:auto val="1"/>
        <c:lblAlgn val="ctr"/>
        <c:lblOffset val="100"/>
        <c:noMultiLvlLbl val="0"/>
      </c:catAx>
      <c:valAx>
        <c:axId val="6798643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Total</a:t>
                </a:r>
                <a:r>
                  <a:rPr lang="en-IN" b="1" baseline="0">
                    <a:solidFill>
                      <a:schemeClr val="tx1"/>
                    </a:solidFill>
                  </a:rPr>
                  <a:t> Followers</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Insta!$M$1</c:f>
              <c:strCache>
                <c:ptCount val="1"/>
                <c:pt idx="0">
                  <c:v>Net Followers Gain</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Insta!$K$2:$L$201</c:f>
              <c:strCache>
                <c:ptCount val="51"/>
                <c:pt idx="0">
                  <c:v>03-06-2024</c:v>
                </c:pt>
                <c:pt idx="1">
                  <c:v>10-06-2024</c:v>
                </c:pt>
                <c:pt idx="2">
                  <c:v>17-06-2024</c:v>
                </c:pt>
                <c:pt idx="3">
                  <c:v>17-06-2024</c:v>
                </c:pt>
                <c:pt idx="4">
                  <c:v>24-06-2024</c:v>
                </c:pt>
                <c:pt idx="5">
                  <c:v>01-07-2024</c:v>
                </c:pt>
                <c:pt idx="6">
                  <c:v>01-07-2024</c:v>
                </c:pt>
                <c:pt idx="7">
                  <c:v>15-07-2024</c:v>
                </c:pt>
                <c:pt idx="8">
                  <c:v>15-07-2024</c:v>
                </c:pt>
                <c:pt idx="9">
                  <c:v>05-08-2024</c:v>
                </c:pt>
                <c:pt idx="10">
                  <c:v>12-08-2024</c:v>
                </c:pt>
                <c:pt idx="11">
                  <c:v>19-08-2024</c:v>
                </c:pt>
                <c:pt idx="12">
                  <c:v>19-08-2024</c:v>
                </c:pt>
                <c:pt idx="13">
                  <c:v>26-08-2024</c:v>
                </c:pt>
                <c:pt idx="14">
                  <c:v>02-09-2024</c:v>
                </c:pt>
                <c:pt idx="15">
                  <c:v>02-09-2024</c:v>
                </c:pt>
                <c:pt idx="16">
                  <c:v>09-09-2024</c:v>
                </c:pt>
                <c:pt idx="17">
                  <c:v>23-09-2024</c:v>
                </c:pt>
                <c:pt idx="18">
                  <c:v>23-09-2024</c:v>
                </c:pt>
                <c:pt idx="19">
                  <c:v>23-09-2024</c:v>
                </c:pt>
                <c:pt idx="20">
                  <c:v>30-09-2024</c:v>
                </c:pt>
                <c:pt idx="21">
                  <c:v>30-09-2024</c:v>
                </c:pt>
                <c:pt idx="22">
                  <c:v>07-10-2024</c:v>
                </c:pt>
                <c:pt idx="23">
                  <c:v>21-10-2024</c:v>
                </c:pt>
                <c:pt idx="24">
                  <c:v>21-10-2024</c:v>
                </c:pt>
                <c:pt idx="25">
                  <c:v>21-10-2024</c:v>
                </c:pt>
                <c:pt idx="26">
                  <c:v>18-11-2024</c:v>
                </c:pt>
                <c:pt idx="27">
                  <c:v>25-11-2024</c:v>
                </c:pt>
                <c:pt idx="28">
                  <c:v>25-11-2024</c:v>
                </c:pt>
                <c:pt idx="29">
                  <c:v>02-12-2024</c:v>
                </c:pt>
                <c:pt idx="30">
                  <c:v>02-12-2024</c:v>
                </c:pt>
                <c:pt idx="31">
                  <c:v>09-12-2024</c:v>
                </c:pt>
                <c:pt idx="32">
                  <c:v>16-12-2024</c:v>
                </c:pt>
                <c:pt idx="33">
                  <c:v>16-12-2024</c:v>
                </c:pt>
                <c:pt idx="34">
                  <c:v>23-12-2024</c:v>
                </c:pt>
                <c:pt idx="35">
                  <c:v>30-12-2024</c:v>
                </c:pt>
                <c:pt idx="36">
                  <c:v>13-01-2025</c:v>
                </c:pt>
                <c:pt idx="37">
                  <c:v>27-01-2025</c:v>
                </c:pt>
                <c:pt idx="38">
                  <c:v>17-02-2025</c:v>
                </c:pt>
                <c:pt idx="39">
                  <c:v>17-02-2025</c:v>
                </c:pt>
                <c:pt idx="40">
                  <c:v>24-02-2025</c:v>
                </c:pt>
                <c:pt idx="41">
                  <c:v>24-02-2025</c:v>
                </c:pt>
                <c:pt idx="42">
                  <c:v>10-03-2025</c:v>
                </c:pt>
                <c:pt idx="43">
                  <c:v>17-03-2025</c:v>
                </c:pt>
                <c:pt idx="44">
                  <c:v>31-03-2025</c:v>
                </c:pt>
                <c:pt idx="45">
                  <c:v>07-04-2025</c:v>
                </c:pt>
                <c:pt idx="46">
                  <c:v>21-04-2025</c:v>
                </c:pt>
                <c:pt idx="47">
                  <c:v>21-04-2025</c:v>
                </c:pt>
                <c:pt idx="48">
                  <c:v>21-04-2025</c:v>
                </c:pt>
                <c:pt idx="49">
                  <c:v>05-05-2025</c:v>
                </c:pt>
                <c:pt idx="50">
                  <c:v>12-05-2025</c:v>
                </c:pt>
              </c:strCache>
            </c:strRef>
          </c:cat>
          <c:val>
            <c:numRef>
              <c:f>Insta!$M$2:$M$201</c:f>
              <c:numCache>
                <c:formatCode>#,##0</c:formatCode>
                <c:ptCount val="51"/>
                <c:pt idx="0">
                  <c:v>3777</c:v>
                </c:pt>
                <c:pt idx="1">
                  <c:v>7215</c:v>
                </c:pt>
                <c:pt idx="2">
                  <c:v>7452</c:v>
                </c:pt>
                <c:pt idx="3">
                  <c:v>5678</c:v>
                </c:pt>
                <c:pt idx="4">
                  <c:v>4885</c:v>
                </c:pt>
                <c:pt idx="5">
                  <c:v>3202</c:v>
                </c:pt>
                <c:pt idx="6">
                  <c:v>2726</c:v>
                </c:pt>
                <c:pt idx="7">
                  <c:v>3586</c:v>
                </c:pt>
                <c:pt idx="8">
                  <c:v>1381</c:v>
                </c:pt>
                <c:pt idx="9">
                  <c:v>3213</c:v>
                </c:pt>
                <c:pt idx="10">
                  <c:v>6853</c:v>
                </c:pt>
                <c:pt idx="11">
                  <c:v>6920</c:v>
                </c:pt>
                <c:pt idx="12">
                  <c:v>6915</c:v>
                </c:pt>
                <c:pt idx="13">
                  <c:v>8231</c:v>
                </c:pt>
                <c:pt idx="14">
                  <c:v>5520</c:v>
                </c:pt>
                <c:pt idx="15">
                  <c:v>1876</c:v>
                </c:pt>
                <c:pt idx="16">
                  <c:v>7442</c:v>
                </c:pt>
                <c:pt idx="17">
                  <c:v>1309</c:v>
                </c:pt>
                <c:pt idx="18">
                  <c:v>4027</c:v>
                </c:pt>
                <c:pt idx="19">
                  <c:v>7704</c:v>
                </c:pt>
                <c:pt idx="20">
                  <c:v>8361</c:v>
                </c:pt>
                <c:pt idx="21">
                  <c:v>1543</c:v>
                </c:pt>
                <c:pt idx="22">
                  <c:v>4808</c:v>
                </c:pt>
                <c:pt idx="23">
                  <c:v>7565</c:v>
                </c:pt>
                <c:pt idx="24">
                  <c:v>7921</c:v>
                </c:pt>
                <c:pt idx="25">
                  <c:v>8487</c:v>
                </c:pt>
                <c:pt idx="26">
                  <c:v>5206</c:v>
                </c:pt>
                <c:pt idx="27">
                  <c:v>8485</c:v>
                </c:pt>
                <c:pt idx="28">
                  <c:v>6052</c:v>
                </c:pt>
                <c:pt idx="29">
                  <c:v>1369</c:v>
                </c:pt>
                <c:pt idx="30">
                  <c:v>7630</c:v>
                </c:pt>
                <c:pt idx="31">
                  <c:v>3461</c:v>
                </c:pt>
                <c:pt idx="32">
                  <c:v>3592</c:v>
                </c:pt>
                <c:pt idx="33">
                  <c:v>1210</c:v>
                </c:pt>
                <c:pt idx="34">
                  <c:v>4314</c:v>
                </c:pt>
                <c:pt idx="35">
                  <c:v>4214</c:v>
                </c:pt>
                <c:pt idx="36">
                  <c:v>2919</c:v>
                </c:pt>
                <c:pt idx="37">
                  <c:v>3643</c:v>
                </c:pt>
                <c:pt idx="38">
                  <c:v>5439</c:v>
                </c:pt>
                <c:pt idx="39">
                  <c:v>6029</c:v>
                </c:pt>
                <c:pt idx="40">
                  <c:v>9125</c:v>
                </c:pt>
                <c:pt idx="41">
                  <c:v>5962</c:v>
                </c:pt>
                <c:pt idx="42">
                  <c:v>2994</c:v>
                </c:pt>
                <c:pt idx="43">
                  <c:v>8292</c:v>
                </c:pt>
                <c:pt idx="44">
                  <c:v>6128</c:v>
                </c:pt>
                <c:pt idx="45">
                  <c:v>1425</c:v>
                </c:pt>
                <c:pt idx="46">
                  <c:v>5491</c:v>
                </c:pt>
                <c:pt idx="47">
                  <c:v>6425</c:v>
                </c:pt>
                <c:pt idx="48">
                  <c:v>3096</c:v>
                </c:pt>
                <c:pt idx="49">
                  <c:v>7959</c:v>
                </c:pt>
                <c:pt idx="50">
                  <c:v>2805</c:v>
                </c:pt>
              </c:numCache>
            </c:numRef>
          </c:val>
          <c:smooth val="0"/>
          <c:extLst>
            <c:ext xmlns:c16="http://schemas.microsoft.com/office/drawing/2014/chart" uri="{C3380CC4-5D6E-409C-BE32-E72D297353CC}">
              <c16:uniqueId val="{00000000-0D00-44F4-8959-3AA148FD1FAB}"/>
            </c:ext>
          </c:extLst>
        </c:ser>
        <c:dLbls>
          <c:showLegendKey val="0"/>
          <c:showVal val="0"/>
          <c:showCatName val="0"/>
          <c:showSerName val="0"/>
          <c:showPercent val="0"/>
          <c:showBubbleSize val="0"/>
        </c:dLbls>
        <c:smooth val="0"/>
        <c:axId val="1293943920"/>
        <c:axId val="1293942000"/>
      </c:lineChart>
      <c:dateAx>
        <c:axId val="129394392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42000"/>
        <c:crosses val="autoZero"/>
        <c:auto val="1"/>
        <c:lblOffset val="100"/>
        <c:baseTimeUnit val="days"/>
      </c:dateAx>
      <c:valAx>
        <c:axId val="1293942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4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Insta!$AB$1</c:f>
              <c:strCache>
                <c:ptCount val="1"/>
                <c:pt idx="0">
                  <c:v>Total_Followers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5"/>
            <c:dispRSqr val="0"/>
            <c:dispEq val="0"/>
          </c:trendline>
          <c:cat>
            <c:strRef>
              <c:f>Insta!$Z$2:$AA$201</c:f>
              <c:strCache>
                <c:ptCount val="51"/>
                <c:pt idx="0">
                  <c:v>03-06-2024</c:v>
                </c:pt>
                <c:pt idx="1">
                  <c:v>10-06-2024</c:v>
                </c:pt>
                <c:pt idx="2">
                  <c:v>17-06-2024</c:v>
                </c:pt>
                <c:pt idx="3">
                  <c:v>17-06-2024</c:v>
                </c:pt>
                <c:pt idx="4">
                  <c:v>24-06-2024</c:v>
                </c:pt>
                <c:pt idx="5">
                  <c:v>01-07-2024</c:v>
                </c:pt>
                <c:pt idx="6">
                  <c:v>01-07-2024</c:v>
                </c:pt>
                <c:pt idx="7">
                  <c:v>15-07-2024</c:v>
                </c:pt>
                <c:pt idx="8">
                  <c:v>15-07-2024</c:v>
                </c:pt>
                <c:pt idx="9">
                  <c:v>05-08-2024</c:v>
                </c:pt>
                <c:pt idx="10">
                  <c:v>12-08-2024</c:v>
                </c:pt>
                <c:pt idx="11">
                  <c:v>19-08-2024</c:v>
                </c:pt>
                <c:pt idx="12">
                  <c:v>19-08-2024</c:v>
                </c:pt>
                <c:pt idx="13">
                  <c:v>26-08-2024</c:v>
                </c:pt>
                <c:pt idx="14">
                  <c:v>02-09-2024</c:v>
                </c:pt>
                <c:pt idx="15">
                  <c:v>02-09-2024</c:v>
                </c:pt>
                <c:pt idx="16">
                  <c:v>09-09-2024</c:v>
                </c:pt>
                <c:pt idx="17">
                  <c:v>23-09-2024</c:v>
                </c:pt>
                <c:pt idx="18">
                  <c:v>23-09-2024</c:v>
                </c:pt>
                <c:pt idx="19">
                  <c:v>23-09-2024</c:v>
                </c:pt>
                <c:pt idx="20">
                  <c:v>30-09-2024</c:v>
                </c:pt>
                <c:pt idx="21">
                  <c:v>30-09-2024</c:v>
                </c:pt>
                <c:pt idx="22">
                  <c:v>07-10-2024</c:v>
                </c:pt>
                <c:pt idx="23">
                  <c:v>21-10-2024</c:v>
                </c:pt>
                <c:pt idx="24">
                  <c:v>21-10-2024</c:v>
                </c:pt>
                <c:pt idx="25">
                  <c:v>21-10-2024</c:v>
                </c:pt>
                <c:pt idx="26">
                  <c:v>18-11-2024</c:v>
                </c:pt>
                <c:pt idx="27">
                  <c:v>25-11-2024</c:v>
                </c:pt>
                <c:pt idx="28">
                  <c:v>25-11-2024</c:v>
                </c:pt>
                <c:pt idx="29">
                  <c:v>02-12-2024</c:v>
                </c:pt>
                <c:pt idx="30">
                  <c:v>02-12-2024</c:v>
                </c:pt>
                <c:pt idx="31">
                  <c:v>09-12-2024</c:v>
                </c:pt>
                <c:pt idx="32">
                  <c:v>16-12-2024</c:v>
                </c:pt>
                <c:pt idx="33">
                  <c:v>16-12-2024</c:v>
                </c:pt>
                <c:pt idx="34">
                  <c:v>23-12-2024</c:v>
                </c:pt>
                <c:pt idx="35">
                  <c:v>30-12-2024</c:v>
                </c:pt>
                <c:pt idx="36">
                  <c:v>13-01-2025</c:v>
                </c:pt>
                <c:pt idx="37">
                  <c:v>27-01-2025</c:v>
                </c:pt>
                <c:pt idx="38">
                  <c:v>17-02-2025</c:v>
                </c:pt>
                <c:pt idx="39">
                  <c:v>17-02-2025</c:v>
                </c:pt>
                <c:pt idx="40">
                  <c:v>24-02-2025</c:v>
                </c:pt>
                <c:pt idx="41">
                  <c:v>24-02-2025</c:v>
                </c:pt>
                <c:pt idx="42">
                  <c:v>10-03-2025</c:v>
                </c:pt>
                <c:pt idx="43">
                  <c:v>17-03-2025</c:v>
                </c:pt>
                <c:pt idx="44">
                  <c:v>31-03-2025</c:v>
                </c:pt>
                <c:pt idx="45">
                  <c:v>07-04-2025</c:v>
                </c:pt>
                <c:pt idx="46">
                  <c:v>21-04-2025</c:v>
                </c:pt>
                <c:pt idx="47">
                  <c:v>21-04-2025</c:v>
                </c:pt>
                <c:pt idx="48">
                  <c:v>21-04-2025</c:v>
                </c:pt>
                <c:pt idx="49">
                  <c:v>05-05-2025</c:v>
                </c:pt>
                <c:pt idx="50">
                  <c:v>12-05-2025</c:v>
                </c:pt>
              </c:strCache>
            </c:strRef>
          </c:cat>
          <c:val>
            <c:numRef>
              <c:f>Insta!$AB$2:$AB$201</c:f>
              <c:numCache>
                <c:formatCode>#,##0</c:formatCode>
                <c:ptCount val="51"/>
                <c:pt idx="0">
                  <c:v>103777</c:v>
                </c:pt>
                <c:pt idx="1">
                  <c:v>134418</c:v>
                </c:pt>
                <c:pt idx="2">
                  <c:v>157717</c:v>
                </c:pt>
                <c:pt idx="3">
                  <c:v>176196</c:v>
                </c:pt>
                <c:pt idx="4">
                  <c:v>189735</c:v>
                </c:pt>
                <c:pt idx="5">
                  <c:v>221925</c:v>
                </c:pt>
                <c:pt idx="6">
                  <c:v>224651</c:v>
                </c:pt>
                <c:pt idx="7">
                  <c:v>246766</c:v>
                </c:pt>
                <c:pt idx="8">
                  <c:v>257065</c:v>
                </c:pt>
                <c:pt idx="9">
                  <c:v>309517</c:v>
                </c:pt>
                <c:pt idx="10">
                  <c:v>333052</c:v>
                </c:pt>
                <c:pt idx="11">
                  <c:v>354010</c:v>
                </c:pt>
                <c:pt idx="12">
                  <c:v>365996</c:v>
                </c:pt>
                <c:pt idx="13">
                  <c:v>385849</c:v>
                </c:pt>
                <c:pt idx="14">
                  <c:v>396672</c:v>
                </c:pt>
                <c:pt idx="15">
                  <c:v>398548</c:v>
                </c:pt>
                <c:pt idx="16">
                  <c:v>420811</c:v>
                </c:pt>
                <c:pt idx="17">
                  <c:v>455286</c:v>
                </c:pt>
                <c:pt idx="18">
                  <c:v>464255</c:v>
                </c:pt>
                <c:pt idx="19">
                  <c:v>471959</c:v>
                </c:pt>
                <c:pt idx="20">
                  <c:v>480320</c:v>
                </c:pt>
                <c:pt idx="21">
                  <c:v>487561</c:v>
                </c:pt>
                <c:pt idx="22">
                  <c:v>507970</c:v>
                </c:pt>
                <c:pt idx="23">
                  <c:v>538906</c:v>
                </c:pt>
                <c:pt idx="24">
                  <c:v>553745</c:v>
                </c:pt>
                <c:pt idx="25">
                  <c:v>562232</c:v>
                </c:pt>
                <c:pt idx="26">
                  <c:v>631128</c:v>
                </c:pt>
                <c:pt idx="27">
                  <c:v>655645</c:v>
                </c:pt>
                <c:pt idx="28">
                  <c:v>661697</c:v>
                </c:pt>
                <c:pt idx="29">
                  <c:v>677154</c:v>
                </c:pt>
                <c:pt idx="30">
                  <c:v>690186</c:v>
                </c:pt>
                <c:pt idx="31">
                  <c:v>704218</c:v>
                </c:pt>
                <c:pt idx="32">
                  <c:v>713549</c:v>
                </c:pt>
                <c:pt idx="33">
                  <c:v>714759</c:v>
                </c:pt>
                <c:pt idx="34">
                  <c:v>735242</c:v>
                </c:pt>
                <c:pt idx="35">
                  <c:v>761158</c:v>
                </c:pt>
                <c:pt idx="36">
                  <c:v>810061</c:v>
                </c:pt>
                <c:pt idx="37">
                  <c:v>868909</c:v>
                </c:pt>
                <c:pt idx="38">
                  <c:v>922914</c:v>
                </c:pt>
                <c:pt idx="39">
                  <c:v>928943</c:v>
                </c:pt>
                <c:pt idx="40">
                  <c:v>938068</c:v>
                </c:pt>
                <c:pt idx="41">
                  <c:v>959389</c:v>
                </c:pt>
                <c:pt idx="42">
                  <c:v>991495</c:v>
                </c:pt>
                <c:pt idx="43">
                  <c:v>1013386</c:v>
                </c:pt>
                <c:pt idx="44">
                  <c:v>1063421</c:v>
                </c:pt>
                <c:pt idx="45">
                  <c:v>1087368</c:v>
                </c:pt>
                <c:pt idx="46">
                  <c:v>1117854</c:v>
                </c:pt>
                <c:pt idx="47">
                  <c:v>1124279</c:v>
                </c:pt>
                <c:pt idx="48">
                  <c:v>1134433</c:v>
                </c:pt>
                <c:pt idx="49">
                  <c:v>1168011</c:v>
                </c:pt>
                <c:pt idx="50">
                  <c:v>1170816</c:v>
                </c:pt>
              </c:numCache>
            </c:numRef>
          </c:val>
          <c:smooth val="0"/>
          <c:extLst>
            <c:ext xmlns:c16="http://schemas.microsoft.com/office/drawing/2014/chart" uri="{C3380CC4-5D6E-409C-BE32-E72D297353CC}">
              <c16:uniqueId val="{00000000-8B87-4531-BA30-B89A60C66F87}"/>
            </c:ext>
          </c:extLst>
        </c:ser>
        <c:dLbls>
          <c:showLegendKey val="0"/>
          <c:showVal val="0"/>
          <c:showCatName val="0"/>
          <c:showSerName val="0"/>
          <c:showPercent val="0"/>
          <c:showBubbleSize val="0"/>
        </c:dLbls>
        <c:smooth val="0"/>
        <c:axId val="1287054640"/>
        <c:axId val="1287053200"/>
      </c:lineChart>
      <c:dateAx>
        <c:axId val="128705464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53200"/>
        <c:crosses val="autoZero"/>
        <c:auto val="1"/>
        <c:lblOffset val="100"/>
        <c:baseTimeUnit val="days"/>
      </c:dateAx>
      <c:valAx>
        <c:axId val="1287053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Twitter!$M$1</c:f>
              <c:strCache>
                <c:ptCount val="1"/>
                <c:pt idx="0">
                  <c:v>Net Followers Gain</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Twitter!$K$2:$L$201</c:f>
              <c:strCache>
                <c:ptCount val="53"/>
                <c:pt idx="0">
                  <c:v>03-06-2024</c:v>
                </c:pt>
                <c:pt idx="1">
                  <c:v>10-06-2024</c:v>
                </c:pt>
                <c:pt idx="2">
                  <c:v>10-06-2024</c:v>
                </c:pt>
                <c:pt idx="3">
                  <c:v>17-06-2024</c:v>
                </c:pt>
                <c:pt idx="4">
                  <c:v>24-06-2024</c:v>
                </c:pt>
                <c:pt idx="5">
                  <c:v>24-06-2024</c:v>
                </c:pt>
                <c:pt idx="6">
                  <c:v>01-07-2024</c:v>
                </c:pt>
                <c:pt idx="7">
                  <c:v>08-07-2024</c:v>
                </c:pt>
                <c:pt idx="8">
                  <c:v>15-07-2024</c:v>
                </c:pt>
                <c:pt idx="9">
                  <c:v>22-07-2024</c:v>
                </c:pt>
                <c:pt idx="10">
                  <c:v>29-07-2024</c:v>
                </c:pt>
                <c:pt idx="11">
                  <c:v>05-08-2024</c:v>
                </c:pt>
                <c:pt idx="12">
                  <c:v>12-08-2024</c:v>
                </c:pt>
                <c:pt idx="13">
                  <c:v>12-08-2024</c:v>
                </c:pt>
                <c:pt idx="14">
                  <c:v>26-08-2024</c:v>
                </c:pt>
                <c:pt idx="15">
                  <c:v>02-09-2024</c:v>
                </c:pt>
                <c:pt idx="16">
                  <c:v>16-09-2024</c:v>
                </c:pt>
                <c:pt idx="17">
                  <c:v>23-09-2024</c:v>
                </c:pt>
                <c:pt idx="18">
                  <c:v>30-09-2024</c:v>
                </c:pt>
                <c:pt idx="19">
                  <c:v>30-09-2024</c:v>
                </c:pt>
                <c:pt idx="20">
                  <c:v>14-10-2024</c:v>
                </c:pt>
                <c:pt idx="21">
                  <c:v>14-10-2024</c:v>
                </c:pt>
                <c:pt idx="22">
                  <c:v>14-10-2024</c:v>
                </c:pt>
                <c:pt idx="23">
                  <c:v>04-11-2024</c:v>
                </c:pt>
                <c:pt idx="24">
                  <c:v>04-11-2024</c:v>
                </c:pt>
                <c:pt idx="25">
                  <c:v>11-11-2024</c:v>
                </c:pt>
                <c:pt idx="26">
                  <c:v>11-11-2024</c:v>
                </c:pt>
                <c:pt idx="27">
                  <c:v>18-11-2024</c:v>
                </c:pt>
                <c:pt idx="28">
                  <c:v>09-12-2024</c:v>
                </c:pt>
                <c:pt idx="29">
                  <c:v>16-12-2024</c:v>
                </c:pt>
                <c:pt idx="30">
                  <c:v>30-12-2024</c:v>
                </c:pt>
                <c:pt idx="31">
                  <c:v>06-01-2025</c:v>
                </c:pt>
                <c:pt idx="32">
                  <c:v>06-01-2025</c:v>
                </c:pt>
                <c:pt idx="33">
                  <c:v>13-01-2025</c:v>
                </c:pt>
                <c:pt idx="34">
                  <c:v>20-01-2025</c:v>
                </c:pt>
                <c:pt idx="35">
                  <c:v>20-01-2025</c:v>
                </c:pt>
                <c:pt idx="36">
                  <c:v>20-01-2025</c:v>
                </c:pt>
                <c:pt idx="37">
                  <c:v>27-01-2025</c:v>
                </c:pt>
                <c:pt idx="38">
                  <c:v>27-01-2025</c:v>
                </c:pt>
                <c:pt idx="39">
                  <c:v>03-02-2025</c:v>
                </c:pt>
                <c:pt idx="40">
                  <c:v>03-02-2025</c:v>
                </c:pt>
                <c:pt idx="41">
                  <c:v>10-02-2025</c:v>
                </c:pt>
                <c:pt idx="42">
                  <c:v>17-02-2025</c:v>
                </c:pt>
                <c:pt idx="43">
                  <c:v>03-03-2025</c:v>
                </c:pt>
                <c:pt idx="44">
                  <c:v>03-03-2025</c:v>
                </c:pt>
                <c:pt idx="45">
                  <c:v>10-03-2025</c:v>
                </c:pt>
                <c:pt idx="46">
                  <c:v>31-03-2025</c:v>
                </c:pt>
                <c:pt idx="47">
                  <c:v>07-04-2025</c:v>
                </c:pt>
                <c:pt idx="48">
                  <c:v>21-04-2025</c:v>
                </c:pt>
                <c:pt idx="49">
                  <c:v>28-04-2025</c:v>
                </c:pt>
                <c:pt idx="50">
                  <c:v>28-04-2025</c:v>
                </c:pt>
                <c:pt idx="51">
                  <c:v>28-04-2025</c:v>
                </c:pt>
                <c:pt idx="52">
                  <c:v>12-05-2025</c:v>
                </c:pt>
              </c:strCache>
            </c:strRef>
          </c:cat>
          <c:val>
            <c:numRef>
              <c:f>Twitter!$M$2:$M$201</c:f>
              <c:numCache>
                <c:formatCode>#,##0</c:formatCode>
                <c:ptCount val="53"/>
                <c:pt idx="0">
                  <c:v>7432</c:v>
                </c:pt>
                <c:pt idx="1">
                  <c:v>4934</c:v>
                </c:pt>
                <c:pt idx="2">
                  <c:v>3435</c:v>
                </c:pt>
                <c:pt idx="3">
                  <c:v>6073</c:v>
                </c:pt>
                <c:pt idx="4">
                  <c:v>8654</c:v>
                </c:pt>
                <c:pt idx="5">
                  <c:v>6430</c:v>
                </c:pt>
                <c:pt idx="6">
                  <c:v>8463</c:v>
                </c:pt>
                <c:pt idx="7">
                  <c:v>7151</c:v>
                </c:pt>
                <c:pt idx="8">
                  <c:v>7092</c:v>
                </c:pt>
                <c:pt idx="9">
                  <c:v>7733</c:v>
                </c:pt>
                <c:pt idx="10">
                  <c:v>6039</c:v>
                </c:pt>
                <c:pt idx="11">
                  <c:v>3497</c:v>
                </c:pt>
                <c:pt idx="12">
                  <c:v>5795</c:v>
                </c:pt>
                <c:pt idx="13">
                  <c:v>7005</c:v>
                </c:pt>
                <c:pt idx="14">
                  <c:v>5753</c:v>
                </c:pt>
                <c:pt idx="15">
                  <c:v>6593</c:v>
                </c:pt>
                <c:pt idx="16">
                  <c:v>3925</c:v>
                </c:pt>
                <c:pt idx="17">
                  <c:v>4942</c:v>
                </c:pt>
                <c:pt idx="18">
                  <c:v>5698</c:v>
                </c:pt>
                <c:pt idx="19">
                  <c:v>2832</c:v>
                </c:pt>
                <c:pt idx="20">
                  <c:v>7767</c:v>
                </c:pt>
                <c:pt idx="21">
                  <c:v>3011</c:v>
                </c:pt>
                <c:pt idx="22">
                  <c:v>5478</c:v>
                </c:pt>
                <c:pt idx="23">
                  <c:v>7218</c:v>
                </c:pt>
                <c:pt idx="24">
                  <c:v>1469</c:v>
                </c:pt>
                <c:pt idx="25">
                  <c:v>1017</c:v>
                </c:pt>
                <c:pt idx="26">
                  <c:v>8632</c:v>
                </c:pt>
                <c:pt idx="27">
                  <c:v>6384</c:v>
                </c:pt>
                <c:pt idx="28">
                  <c:v>6642</c:v>
                </c:pt>
                <c:pt idx="29">
                  <c:v>6275</c:v>
                </c:pt>
                <c:pt idx="30">
                  <c:v>3079</c:v>
                </c:pt>
                <c:pt idx="31">
                  <c:v>7668</c:v>
                </c:pt>
                <c:pt idx="32">
                  <c:v>1534</c:v>
                </c:pt>
                <c:pt idx="33">
                  <c:v>7346</c:v>
                </c:pt>
                <c:pt idx="34">
                  <c:v>8518</c:v>
                </c:pt>
                <c:pt idx="35">
                  <c:v>7421</c:v>
                </c:pt>
                <c:pt idx="36">
                  <c:v>4216</c:v>
                </c:pt>
                <c:pt idx="37">
                  <c:v>6361</c:v>
                </c:pt>
                <c:pt idx="38">
                  <c:v>5428</c:v>
                </c:pt>
                <c:pt idx="39">
                  <c:v>8128</c:v>
                </c:pt>
                <c:pt idx="40">
                  <c:v>7958</c:v>
                </c:pt>
                <c:pt idx="41">
                  <c:v>1020</c:v>
                </c:pt>
                <c:pt idx="42">
                  <c:v>1290</c:v>
                </c:pt>
                <c:pt idx="43">
                  <c:v>2081</c:v>
                </c:pt>
                <c:pt idx="44">
                  <c:v>4245</c:v>
                </c:pt>
                <c:pt idx="45">
                  <c:v>8723</c:v>
                </c:pt>
                <c:pt idx="46">
                  <c:v>6272</c:v>
                </c:pt>
                <c:pt idx="47">
                  <c:v>8319</c:v>
                </c:pt>
                <c:pt idx="48">
                  <c:v>7058</c:v>
                </c:pt>
                <c:pt idx="49">
                  <c:v>2926</c:v>
                </c:pt>
                <c:pt idx="50">
                  <c:v>7555</c:v>
                </c:pt>
                <c:pt idx="51">
                  <c:v>5456</c:v>
                </c:pt>
                <c:pt idx="52">
                  <c:v>7436</c:v>
                </c:pt>
              </c:numCache>
            </c:numRef>
          </c:val>
          <c:smooth val="0"/>
          <c:extLst>
            <c:ext xmlns:c16="http://schemas.microsoft.com/office/drawing/2014/chart" uri="{C3380CC4-5D6E-409C-BE32-E72D297353CC}">
              <c16:uniqueId val="{00000000-6666-4E71-A0EE-4C11E7D9ADFD}"/>
            </c:ext>
          </c:extLst>
        </c:ser>
        <c:dLbls>
          <c:showLegendKey val="0"/>
          <c:showVal val="0"/>
          <c:showCatName val="0"/>
          <c:showSerName val="0"/>
          <c:showPercent val="0"/>
          <c:showBubbleSize val="0"/>
        </c:dLbls>
        <c:smooth val="0"/>
        <c:axId val="1286857840"/>
        <c:axId val="1286864560"/>
      </c:lineChart>
      <c:dateAx>
        <c:axId val="12868578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64560"/>
        <c:crosses val="autoZero"/>
        <c:auto val="1"/>
        <c:lblOffset val="100"/>
        <c:baseTimeUnit val="days"/>
      </c:dateAx>
      <c:valAx>
        <c:axId val="128686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5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Twitter!$Z$1</c:f>
              <c:strCache>
                <c:ptCount val="1"/>
                <c:pt idx="0">
                  <c:v>Total_Followers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movingAvg"/>
            <c:period val="5"/>
            <c:dispRSqr val="0"/>
            <c:dispEq val="0"/>
          </c:trendline>
          <c:cat>
            <c:numRef>
              <c:f>Twitter!$X$2:$X$201</c:f>
              <c:numCache>
                <c:formatCode>m/d/yyyy</c:formatCode>
                <c:ptCount val="53"/>
                <c:pt idx="0">
                  <c:v>45446</c:v>
                </c:pt>
                <c:pt idx="1">
                  <c:v>45453</c:v>
                </c:pt>
                <c:pt idx="2">
                  <c:v>45453</c:v>
                </c:pt>
                <c:pt idx="3">
                  <c:v>45460</c:v>
                </c:pt>
                <c:pt idx="4">
                  <c:v>45467</c:v>
                </c:pt>
                <c:pt idx="5">
                  <c:v>45467</c:v>
                </c:pt>
                <c:pt idx="6">
                  <c:v>45474</c:v>
                </c:pt>
                <c:pt idx="7">
                  <c:v>45481</c:v>
                </c:pt>
                <c:pt idx="8">
                  <c:v>45488</c:v>
                </c:pt>
                <c:pt idx="9">
                  <c:v>45495</c:v>
                </c:pt>
                <c:pt idx="10">
                  <c:v>45502</c:v>
                </c:pt>
                <c:pt idx="11">
                  <c:v>45509</c:v>
                </c:pt>
                <c:pt idx="12">
                  <c:v>45516</c:v>
                </c:pt>
                <c:pt idx="13">
                  <c:v>45516</c:v>
                </c:pt>
                <c:pt idx="14">
                  <c:v>45530</c:v>
                </c:pt>
                <c:pt idx="15">
                  <c:v>45537</c:v>
                </c:pt>
                <c:pt idx="16">
                  <c:v>45551</c:v>
                </c:pt>
                <c:pt idx="17">
                  <c:v>45558</c:v>
                </c:pt>
                <c:pt idx="18">
                  <c:v>45565</c:v>
                </c:pt>
                <c:pt idx="19">
                  <c:v>45565</c:v>
                </c:pt>
                <c:pt idx="20">
                  <c:v>45579</c:v>
                </c:pt>
                <c:pt idx="21">
                  <c:v>45579</c:v>
                </c:pt>
                <c:pt idx="22">
                  <c:v>45579</c:v>
                </c:pt>
                <c:pt idx="23">
                  <c:v>45600</c:v>
                </c:pt>
                <c:pt idx="24">
                  <c:v>45600</c:v>
                </c:pt>
                <c:pt idx="25">
                  <c:v>45607</c:v>
                </c:pt>
                <c:pt idx="26">
                  <c:v>45607</c:v>
                </c:pt>
                <c:pt idx="27">
                  <c:v>45614</c:v>
                </c:pt>
                <c:pt idx="28">
                  <c:v>45635</c:v>
                </c:pt>
                <c:pt idx="29">
                  <c:v>45642</c:v>
                </c:pt>
                <c:pt idx="30">
                  <c:v>45656</c:v>
                </c:pt>
                <c:pt idx="31">
                  <c:v>45663</c:v>
                </c:pt>
                <c:pt idx="32">
                  <c:v>45663</c:v>
                </c:pt>
                <c:pt idx="33">
                  <c:v>45670</c:v>
                </c:pt>
                <c:pt idx="34">
                  <c:v>45677</c:v>
                </c:pt>
                <c:pt idx="35">
                  <c:v>45677</c:v>
                </c:pt>
                <c:pt idx="36">
                  <c:v>45677</c:v>
                </c:pt>
                <c:pt idx="37">
                  <c:v>45684</c:v>
                </c:pt>
                <c:pt idx="38">
                  <c:v>45684</c:v>
                </c:pt>
                <c:pt idx="39">
                  <c:v>45691</c:v>
                </c:pt>
                <c:pt idx="40">
                  <c:v>45691</c:v>
                </c:pt>
                <c:pt idx="41">
                  <c:v>45698</c:v>
                </c:pt>
                <c:pt idx="42">
                  <c:v>45705</c:v>
                </c:pt>
                <c:pt idx="43">
                  <c:v>45719</c:v>
                </c:pt>
                <c:pt idx="44">
                  <c:v>45719</c:v>
                </c:pt>
                <c:pt idx="45">
                  <c:v>45726</c:v>
                </c:pt>
                <c:pt idx="46">
                  <c:v>45747</c:v>
                </c:pt>
                <c:pt idx="47">
                  <c:v>45754</c:v>
                </c:pt>
                <c:pt idx="48">
                  <c:v>45768</c:v>
                </c:pt>
                <c:pt idx="49">
                  <c:v>45775</c:v>
                </c:pt>
                <c:pt idx="50">
                  <c:v>45775</c:v>
                </c:pt>
                <c:pt idx="51">
                  <c:v>45775</c:v>
                </c:pt>
                <c:pt idx="52">
                  <c:v>45789</c:v>
                </c:pt>
              </c:numCache>
            </c:numRef>
          </c:cat>
          <c:val>
            <c:numRef>
              <c:f>Twitter!$Z$2:$Z$201</c:f>
              <c:numCache>
                <c:formatCode>#,##0</c:formatCode>
                <c:ptCount val="53"/>
                <c:pt idx="0">
                  <c:v>111209</c:v>
                </c:pt>
                <c:pt idx="1">
                  <c:v>146830</c:v>
                </c:pt>
                <c:pt idx="2">
                  <c:v>150265</c:v>
                </c:pt>
                <c:pt idx="3">
                  <c:v>163790</c:v>
                </c:pt>
                <c:pt idx="4">
                  <c:v>184850</c:v>
                </c:pt>
                <c:pt idx="5">
                  <c:v>204818</c:v>
                </c:pt>
                <c:pt idx="6">
                  <c:v>218723</c:v>
                </c:pt>
                <c:pt idx="7">
                  <c:v>231802</c:v>
                </c:pt>
                <c:pt idx="8">
                  <c:v>253858</c:v>
                </c:pt>
                <c:pt idx="9">
                  <c:v>272227</c:v>
                </c:pt>
                <c:pt idx="10">
                  <c:v>306304</c:v>
                </c:pt>
                <c:pt idx="11">
                  <c:v>313014</c:v>
                </c:pt>
                <c:pt idx="12">
                  <c:v>326199</c:v>
                </c:pt>
                <c:pt idx="13">
                  <c:v>347090</c:v>
                </c:pt>
                <c:pt idx="14">
                  <c:v>377618</c:v>
                </c:pt>
                <c:pt idx="15">
                  <c:v>405141</c:v>
                </c:pt>
                <c:pt idx="16">
                  <c:v>453977</c:v>
                </c:pt>
                <c:pt idx="17">
                  <c:v>460228</c:v>
                </c:pt>
                <c:pt idx="18">
                  <c:v>486018</c:v>
                </c:pt>
                <c:pt idx="19">
                  <c:v>490393</c:v>
                </c:pt>
                <c:pt idx="20">
                  <c:v>515737</c:v>
                </c:pt>
                <c:pt idx="21">
                  <c:v>525863</c:v>
                </c:pt>
                <c:pt idx="22">
                  <c:v>531341</c:v>
                </c:pt>
                <c:pt idx="23">
                  <c:v>596704</c:v>
                </c:pt>
                <c:pt idx="24">
                  <c:v>606171</c:v>
                </c:pt>
                <c:pt idx="25">
                  <c:v>607188</c:v>
                </c:pt>
                <c:pt idx="26">
                  <c:v>615820</c:v>
                </c:pt>
                <c:pt idx="27">
                  <c:v>637512</c:v>
                </c:pt>
                <c:pt idx="28">
                  <c:v>700757</c:v>
                </c:pt>
                <c:pt idx="29">
                  <c:v>729561</c:v>
                </c:pt>
                <c:pt idx="30">
                  <c:v>772614</c:v>
                </c:pt>
                <c:pt idx="31">
                  <c:v>789536</c:v>
                </c:pt>
                <c:pt idx="32">
                  <c:v>799671</c:v>
                </c:pt>
                <c:pt idx="33">
                  <c:v>817407</c:v>
                </c:pt>
                <c:pt idx="34">
                  <c:v>826926</c:v>
                </c:pt>
                <c:pt idx="35">
                  <c:v>834347</c:v>
                </c:pt>
                <c:pt idx="36">
                  <c:v>838563</c:v>
                </c:pt>
                <c:pt idx="37">
                  <c:v>859838</c:v>
                </c:pt>
                <c:pt idx="38">
                  <c:v>865266</c:v>
                </c:pt>
                <c:pt idx="39">
                  <c:v>880842</c:v>
                </c:pt>
                <c:pt idx="40">
                  <c:v>897442</c:v>
                </c:pt>
                <c:pt idx="41">
                  <c:v>904407</c:v>
                </c:pt>
                <c:pt idx="42">
                  <c:v>912374</c:v>
                </c:pt>
                <c:pt idx="43">
                  <c:v>975533</c:v>
                </c:pt>
                <c:pt idx="44">
                  <c:v>979778</c:v>
                </c:pt>
                <c:pt idx="45">
                  <c:v>988501</c:v>
                </c:pt>
                <c:pt idx="46">
                  <c:v>1057293</c:v>
                </c:pt>
                <c:pt idx="47">
                  <c:v>1085943</c:v>
                </c:pt>
                <c:pt idx="48">
                  <c:v>1131337</c:v>
                </c:pt>
                <c:pt idx="49">
                  <c:v>1138871</c:v>
                </c:pt>
                <c:pt idx="50">
                  <c:v>1146426</c:v>
                </c:pt>
                <c:pt idx="51">
                  <c:v>1151882</c:v>
                </c:pt>
                <c:pt idx="52">
                  <c:v>1186398</c:v>
                </c:pt>
              </c:numCache>
            </c:numRef>
          </c:val>
          <c:smooth val="0"/>
          <c:extLst>
            <c:ext xmlns:c16="http://schemas.microsoft.com/office/drawing/2014/chart" uri="{C3380CC4-5D6E-409C-BE32-E72D297353CC}">
              <c16:uniqueId val="{00000001-B380-45F7-88F2-1F542E5D1B84}"/>
            </c:ext>
          </c:extLst>
        </c:ser>
        <c:dLbls>
          <c:showLegendKey val="0"/>
          <c:showVal val="0"/>
          <c:showCatName val="0"/>
          <c:showSerName val="0"/>
          <c:showPercent val="0"/>
          <c:showBubbleSize val="0"/>
        </c:dLbls>
        <c:smooth val="0"/>
        <c:axId val="1386310720"/>
        <c:axId val="1386321760"/>
        <c:extLst>
          <c:ext xmlns:c15="http://schemas.microsoft.com/office/drawing/2012/chart" uri="{02D57815-91ED-43cb-92C2-25804820EDAC}">
            <c15:filteredLineSeries>
              <c15:ser>
                <c:idx val="0"/>
                <c:order val="0"/>
                <c:tx>
                  <c:strRef>
                    <c:extLst>
                      <c:ext uri="{02D57815-91ED-43cb-92C2-25804820EDAC}">
                        <c15:formulaRef>
                          <c15:sqref>Twitter!$Y$1</c15:sqref>
                        </c15:formulaRef>
                      </c:ext>
                    </c:extLst>
                    <c:strCache>
                      <c:ptCount val="1"/>
                      <c:pt idx="0">
                        <c:v>Column1</c:v>
                      </c:pt>
                    </c:strCache>
                  </c:strRef>
                </c:tx>
                <c:spPr>
                  <a:ln w="28575" cap="rnd">
                    <a:solidFill>
                      <a:schemeClr val="accent1"/>
                    </a:solidFill>
                    <a:round/>
                  </a:ln>
                  <a:effectLst/>
                </c:spPr>
                <c:marker>
                  <c:symbol val="none"/>
                </c:marker>
                <c:cat>
                  <c:numRef>
                    <c:extLst>
                      <c:ext uri="{02D57815-91ED-43cb-92C2-25804820EDAC}">
                        <c15:formulaRef>
                          <c15:sqref>Twitter!$X$2:$X$201</c15:sqref>
                        </c15:formulaRef>
                      </c:ext>
                    </c:extLst>
                    <c:numCache>
                      <c:formatCode>m/d/yyyy</c:formatCode>
                      <c:ptCount val="53"/>
                      <c:pt idx="0">
                        <c:v>45446</c:v>
                      </c:pt>
                      <c:pt idx="1">
                        <c:v>45453</c:v>
                      </c:pt>
                      <c:pt idx="2">
                        <c:v>45453</c:v>
                      </c:pt>
                      <c:pt idx="3">
                        <c:v>45460</c:v>
                      </c:pt>
                      <c:pt idx="4">
                        <c:v>45467</c:v>
                      </c:pt>
                      <c:pt idx="5">
                        <c:v>45467</c:v>
                      </c:pt>
                      <c:pt idx="6">
                        <c:v>45474</c:v>
                      </c:pt>
                      <c:pt idx="7">
                        <c:v>45481</c:v>
                      </c:pt>
                      <c:pt idx="8">
                        <c:v>45488</c:v>
                      </c:pt>
                      <c:pt idx="9">
                        <c:v>45495</c:v>
                      </c:pt>
                      <c:pt idx="10">
                        <c:v>45502</c:v>
                      </c:pt>
                      <c:pt idx="11">
                        <c:v>45509</c:v>
                      </c:pt>
                      <c:pt idx="12">
                        <c:v>45516</c:v>
                      </c:pt>
                      <c:pt idx="13">
                        <c:v>45516</c:v>
                      </c:pt>
                      <c:pt idx="14">
                        <c:v>45530</c:v>
                      </c:pt>
                      <c:pt idx="15">
                        <c:v>45537</c:v>
                      </c:pt>
                      <c:pt idx="16">
                        <c:v>45551</c:v>
                      </c:pt>
                      <c:pt idx="17">
                        <c:v>45558</c:v>
                      </c:pt>
                      <c:pt idx="18">
                        <c:v>45565</c:v>
                      </c:pt>
                      <c:pt idx="19">
                        <c:v>45565</c:v>
                      </c:pt>
                      <c:pt idx="20">
                        <c:v>45579</c:v>
                      </c:pt>
                      <c:pt idx="21">
                        <c:v>45579</c:v>
                      </c:pt>
                      <c:pt idx="22">
                        <c:v>45579</c:v>
                      </c:pt>
                      <c:pt idx="23">
                        <c:v>45600</c:v>
                      </c:pt>
                      <c:pt idx="24">
                        <c:v>45600</c:v>
                      </c:pt>
                      <c:pt idx="25">
                        <c:v>45607</c:v>
                      </c:pt>
                      <c:pt idx="26">
                        <c:v>45607</c:v>
                      </c:pt>
                      <c:pt idx="27">
                        <c:v>45614</c:v>
                      </c:pt>
                      <c:pt idx="28">
                        <c:v>45635</c:v>
                      </c:pt>
                      <c:pt idx="29">
                        <c:v>45642</c:v>
                      </c:pt>
                      <c:pt idx="30">
                        <c:v>45656</c:v>
                      </c:pt>
                      <c:pt idx="31">
                        <c:v>45663</c:v>
                      </c:pt>
                      <c:pt idx="32">
                        <c:v>45663</c:v>
                      </c:pt>
                      <c:pt idx="33">
                        <c:v>45670</c:v>
                      </c:pt>
                      <c:pt idx="34">
                        <c:v>45677</c:v>
                      </c:pt>
                      <c:pt idx="35">
                        <c:v>45677</c:v>
                      </c:pt>
                      <c:pt idx="36">
                        <c:v>45677</c:v>
                      </c:pt>
                      <c:pt idx="37">
                        <c:v>45684</c:v>
                      </c:pt>
                      <c:pt idx="38">
                        <c:v>45684</c:v>
                      </c:pt>
                      <c:pt idx="39">
                        <c:v>45691</c:v>
                      </c:pt>
                      <c:pt idx="40">
                        <c:v>45691</c:v>
                      </c:pt>
                      <c:pt idx="41">
                        <c:v>45698</c:v>
                      </c:pt>
                      <c:pt idx="42">
                        <c:v>45705</c:v>
                      </c:pt>
                      <c:pt idx="43">
                        <c:v>45719</c:v>
                      </c:pt>
                      <c:pt idx="44">
                        <c:v>45719</c:v>
                      </c:pt>
                      <c:pt idx="45">
                        <c:v>45726</c:v>
                      </c:pt>
                      <c:pt idx="46">
                        <c:v>45747</c:v>
                      </c:pt>
                      <c:pt idx="47">
                        <c:v>45754</c:v>
                      </c:pt>
                      <c:pt idx="48">
                        <c:v>45768</c:v>
                      </c:pt>
                      <c:pt idx="49">
                        <c:v>45775</c:v>
                      </c:pt>
                      <c:pt idx="50">
                        <c:v>45775</c:v>
                      </c:pt>
                      <c:pt idx="51">
                        <c:v>45775</c:v>
                      </c:pt>
                      <c:pt idx="52">
                        <c:v>45789</c:v>
                      </c:pt>
                    </c:numCache>
                  </c:numRef>
                </c:cat>
                <c:val>
                  <c:numRef>
                    <c:extLst>
                      <c:ext uri="{02D57815-91ED-43cb-92C2-25804820EDAC}">
                        <c15:formulaRef>
                          <c15:sqref>Twitter!$Y$2:$Y$201</c15:sqref>
                        </c15:formulaRef>
                      </c:ext>
                    </c:extLst>
                    <c:numCache>
                      <c:formatCode>General</c:formatCode>
                      <c:ptCount val="53"/>
                    </c:numCache>
                  </c:numRef>
                </c:val>
                <c:smooth val="0"/>
                <c:extLst>
                  <c:ext xmlns:c16="http://schemas.microsoft.com/office/drawing/2014/chart" uri="{C3380CC4-5D6E-409C-BE32-E72D297353CC}">
                    <c16:uniqueId val="{00000000-B380-45F7-88F2-1F542E5D1B84}"/>
                  </c:ext>
                </c:extLst>
              </c15:ser>
            </c15:filteredLineSeries>
          </c:ext>
        </c:extLst>
      </c:lineChart>
      <c:dateAx>
        <c:axId val="13863107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21760"/>
        <c:crosses val="autoZero"/>
        <c:auto val="1"/>
        <c:lblOffset val="100"/>
        <c:baseTimeUnit val="days"/>
      </c:dateAx>
      <c:valAx>
        <c:axId val="1386321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1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303258320520588E-2"/>
          <c:y val="0.17171296296296296"/>
          <c:w val="0.83197401730109177"/>
          <c:h val="0.5986931321084864"/>
        </c:manualLayout>
      </c:layout>
      <c:lineChart>
        <c:grouping val="standard"/>
        <c:varyColors val="0"/>
        <c:ser>
          <c:idx val="0"/>
          <c:order val="0"/>
          <c:tx>
            <c:strRef>
              <c:f>YouTube!$M$1</c:f>
              <c:strCache>
                <c:ptCount val="1"/>
                <c:pt idx="0">
                  <c:v>Net Followers Gain</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YouTube!$K$2:$L$201</c:f>
              <c:strCache>
                <c:ptCount val="41"/>
                <c:pt idx="0">
                  <c:v>03-06-2024</c:v>
                </c:pt>
                <c:pt idx="1">
                  <c:v>03-06-2024</c:v>
                </c:pt>
                <c:pt idx="2">
                  <c:v>10-06-2024</c:v>
                </c:pt>
                <c:pt idx="3">
                  <c:v>24-06-2024</c:v>
                </c:pt>
                <c:pt idx="4">
                  <c:v>15-07-2024</c:v>
                </c:pt>
                <c:pt idx="5">
                  <c:v>22-07-2024</c:v>
                </c:pt>
                <c:pt idx="6">
                  <c:v>29-07-2024</c:v>
                </c:pt>
                <c:pt idx="7">
                  <c:v>05-08-2024</c:v>
                </c:pt>
                <c:pt idx="8">
                  <c:v>12-08-2024</c:v>
                </c:pt>
                <c:pt idx="9">
                  <c:v>19-08-2024</c:v>
                </c:pt>
                <c:pt idx="10">
                  <c:v>19-08-2024</c:v>
                </c:pt>
                <c:pt idx="11">
                  <c:v>26-08-2024</c:v>
                </c:pt>
                <c:pt idx="12">
                  <c:v>09-09-2024</c:v>
                </c:pt>
                <c:pt idx="13">
                  <c:v>09-09-2024</c:v>
                </c:pt>
                <c:pt idx="14">
                  <c:v>16-09-2024</c:v>
                </c:pt>
                <c:pt idx="15">
                  <c:v>16-09-2024</c:v>
                </c:pt>
                <c:pt idx="16">
                  <c:v>07-10-2024</c:v>
                </c:pt>
                <c:pt idx="17">
                  <c:v>07-10-2024</c:v>
                </c:pt>
                <c:pt idx="18">
                  <c:v>14-10-2024</c:v>
                </c:pt>
                <c:pt idx="19">
                  <c:v>21-10-2024</c:v>
                </c:pt>
                <c:pt idx="20">
                  <c:v>28-10-2024</c:v>
                </c:pt>
                <c:pt idx="21">
                  <c:v>28-10-2024</c:v>
                </c:pt>
                <c:pt idx="22">
                  <c:v>04-11-2024</c:v>
                </c:pt>
                <c:pt idx="23">
                  <c:v>11-11-2024</c:v>
                </c:pt>
                <c:pt idx="24">
                  <c:v>25-11-2024</c:v>
                </c:pt>
                <c:pt idx="25">
                  <c:v>02-12-2024</c:v>
                </c:pt>
                <c:pt idx="26">
                  <c:v>09-12-2024</c:v>
                </c:pt>
                <c:pt idx="27">
                  <c:v>23-12-2024</c:v>
                </c:pt>
                <c:pt idx="28">
                  <c:v>06-01-2025</c:v>
                </c:pt>
                <c:pt idx="29">
                  <c:v>13-01-2025</c:v>
                </c:pt>
                <c:pt idx="30">
                  <c:v>20-01-2025</c:v>
                </c:pt>
                <c:pt idx="31">
                  <c:v>03-02-2025</c:v>
                </c:pt>
                <c:pt idx="32">
                  <c:v>03-02-2025</c:v>
                </c:pt>
                <c:pt idx="33">
                  <c:v>24-02-2025</c:v>
                </c:pt>
                <c:pt idx="34">
                  <c:v>24-02-2025</c:v>
                </c:pt>
                <c:pt idx="35">
                  <c:v>03-03-2025</c:v>
                </c:pt>
                <c:pt idx="36">
                  <c:v>10-03-2025</c:v>
                </c:pt>
                <c:pt idx="37">
                  <c:v>24-03-2025</c:v>
                </c:pt>
                <c:pt idx="38">
                  <c:v>31-03-2025</c:v>
                </c:pt>
                <c:pt idx="39">
                  <c:v>07-04-2025</c:v>
                </c:pt>
                <c:pt idx="40">
                  <c:v>05-05-2025</c:v>
                </c:pt>
              </c:strCache>
            </c:strRef>
          </c:cat>
          <c:val>
            <c:numRef>
              <c:f>YouTube!$M$2:$M$201</c:f>
              <c:numCache>
                <c:formatCode>#,##0</c:formatCode>
                <c:ptCount val="41"/>
                <c:pt idx="0">
                  <c:v>8123</c:v>
                </c:pt>
                <c:pt idx="1">
                  <c:v>7871</c:v>
                </c:pt>
                <c:pt idx="2">
                  <c:v>7478</c:v>
                </c:pt>
                <c:pt idx="3">
                  <c:v>8653</c:v>
                </c:pt>
                <c:pt idx="4">
                  <c:v>1826</c:v>
                </c:pt>
                <c:pt idx="5">
                  <c:v>9082</c:v>
                </c:pt>
                <c:pt idx="6">
                  <c:v>3445</c:v>
                </c:pt>
                <c:pt idx="7">
                  <c:v>2543</c:v>
                </c:pt>
                <c:pt idx="8">
                  <c:v>7033</c:v>
                </c:pt>
                <c:pt idx="9">
                  <c:v>5071</c:v>
                </c:pt>
                <c:pt idx="10">
                  <c:v>4356</c:v>
                </c:pt>
                <c:pt idx="11">
                  <c:v>5303</c:v>
                </c:pt>
                <c:pt idx="12">
                  <c:v>9118</c:v>
                </c:pt>
                <c:pt idx="13">
                  <c:v>2495</c:v>
                </c:pt>
                <c:pt idx="14">
                  <c:v>7224</c:v>
                </c:pt>
                <c:pt idx="15">
                  <c:v>2084</c:v>
                </c:pt>
                <c:pt idx="16">
                  <c:v>6201</c:v>
                </c:pt>
                <c:pt idx="17">
                  <c:v>4147</c:v>
                </c:pt>
                <c:pt idx="18">
                  <c:v>7115</c:v>
                </c:pt>
                <c:pt idx="19">
                  <c:v>6918</c:v>
                </c:pt>
                <c:pt idx="20">
                  <c:v>6439</c:v>
                </c:pt>
                <c:pt idx="21">
                  <c:v>6003</c:v>
                </c:pt>
                <c:pt idx="22">
                  <c:v>3056</c:v>
                </c:pt>
                <c:pt idx="23">
                  <c:v>5220</c:v>
                </c:pt>
                <c:pt idx="24">
                  <c:v>5143</c:v>
                </c:pt>
                <c:pt idx="25">
                  <c:v>3929</c:v>
                </c:pt>
                <c:pt idx="26">
                  <c:v>4790</c:v>
                </c:pt>
                <c:pt idx="27">
                  <c:v>7328</c:v>
                </c:pt>
                <c:pt idx="28">
                  <c:v>8601</c:v>
                </c:pt>
                <c:pt idx="29">
                  <c:v>1001</c:v>
                </c:pt>
                <c:pt idx="30">
                  <c:v>7654</c:v>
                </c:pt>
                <c:pt idx="31">
                  <c:v>3805</c:v>
                </c:pt>
                <c:pt idx="32">
                  <c:v>8642</c:v>
                </c:pt>
                <c:pt idx="33">
                  <c:v>8979</c:v>
                </c:pt>
                <c:pt idx="34">
                  <c:v>6380</c:v>
                </c:pt>
                <c:pt idx="35">
                  <c:v>6631</c:v>
                </c:pt>
                <c:pt idx="36">
                  <c:v>3555</c:v>
                </c:pt>
                <c:pt idx="37">
                  <c:v>4189</c:v>
                </c:pt>
                <c:pt idx="38">
                  <c:v>1567</c:v>
                </c:pt>
                <c:pt idx="39">
                  <c:v>6434</c:v>
                </c:pt>
                <c:pt idx="40">
                  <c:v>5210</c:v>
                </c:pt>
              </c:numCache>
            </c:numRef>
          </c:val>
          <c:smooth val="0"/>
          <c:extLst>
            <c:ext xmlns:c16="http://schemas.microsoft.com/office/drawing/2014/chart" uri="{C3380CC4-5D6E-409C-BE32-E72D297353CC}">
              <c16:uniqueId val="{00000000-0C63-4447-812E-832475D37C04}"/>
            </c:ext>
          </c:extLst>
        </c:ser>
        <c:dLbls>
          <c:showLegendKey val="0"/>
          <c:showVal val="0"/>
          <c:showCatName val="0"/>
          <c:showSerName val="0"/>
          <c:showPercent val="0"/>
          <c:showBubbleSize val="0"/>
        </c:dLbls>
        <c:smooth val="0"/>
        <c:axId val="1287074320"/>
        <c:axId val="1287094960"/>
      </c:lineChart>
      <c:dateAx>
        <c:axId val="12870743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94960"/>
        <c:crosses val="autoZero"/>
        <c:auto val="1"/>
        <c:lblOffset val="100"/>
        <c:baseTimeUnit val="days"/>
      </c:dateAx>
      <c:valAx>
        <c:axId val="128709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74320"/>
        <c:crosses val="autoZero"/>
        <c:crossBetween val="between"/>
      </c:valAx>
      <c:spPr>
        <a:noFill/>
        <a:ln>
          <a:noFill/>
        </a:ln>
        <a:effectLst/>
      </c:spPr>
    </c:plotArea>
    <c:legend>
      <c:legendPos val="r"/>
      <c:layout>
        <c:manualLayout>
          <c:xMode val="edge"/>
          <c:yMode val="edge"/>
          <c:x val="0.71765188929786128"/>
          <c:y val="1.3644648585593464E-3"/>
          <c:w val="0.28234811070213855"/>
          <c:h val="0.17824292796733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YouTube!$Z$1</c:f>
              <c:strCache>
                <c:ptCount val="1"/>
                <c:pt idx="0">
                  <c:v>Total_Followers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movingAvg"/>
            <c:period val="5"/>
            <c:dispRSqr val="0"/>
            <c:dispEq val="0"/>
          </c:trendline>
          <c:cat>
            <c:numRef>
              <c:f>YouTube!$X$2:$X$201</c:f>
              <c:numCache>
                <c:formatCode>m/d/yyyy</c:formatCode>
                <c:ptCount val="41"/>
                <c:pt idx="0">
                  <c:v>45446</c:v>
                </c:pt>
                <c:pt idx="1">
                  <c:v>45446</c:v>
                </c:pt>
                <c:pt idx="2">
                  <c:v>45453</c:v>
                </c:pt>
                <c:pt idx="3">
                  <c:v>45467</c:v>
                </c:pt>
                <c:pt idx="4">
                  <c:v>45488</c:v>
                </c:pt>
                <c:pt idx="5">
                  <c:v>45495</c:v>
                </c:pt>
                <c:pt idx="6">
                  <c:v>45502</c:v>
                </c:pt>
                <c:pt idx="7">
                  <c:v>45509</c:v>
                </c:pt>
                <c:pt idx="8">
                  <c:v>45516</c:v>
                </c:pt>
                <c:pt idx="9">
                  <c:v>45523</c:v>
                </c:pt>
                <c:pt idx="10">
                  <c:v>45523</c:v>
                </c:pt>
                <c:pt idx="11">
                  <c:v>45530</c:v>
                </c:pt>
                <c:pt idx="12">
                  <c:v>45544</c:v>
                </c:pt>
                <c:pt idx="13">
                  <c:v>45544</c:v>
                </c:pt>
                <c:pt idx="14">
                  <c:v>45551</c:v>
                </c:pt>
                <c:pt idx="15">
                  <c:v>45551</c:v>
                </c:pt>
                <c:pt idx="16">
                  <c:v>45572</c:v>
                </c:pt>
                <c:pt idx="17">
                  <c:v>45572</c:v>
                </c:pt>
                <c:pt idx="18">
                  <c:v>45579</c:v>
                </c:pt>
                <c:pt idx="19">
                  <c:v>45586</c:v>
                </c:pt>
                <c:pt idx="20">
                  <c:v>45593</c:v>
                </c:pt>
                <c:pt idx="21">
                  <c:v>45593</c:v>
                </c:pt>
                <c:pt idx="22">
                  <c:v>45600</c:v>
                </c:pt>
                <c:pt idx="23">
                  <c:v>45607</c:v>
                </c:pt>
                <c:pt idx="24">
                  <c:v>45621</c:v>
                </c:pt>
                <c:pt idx="25">
                  <c:v>45628</c:v>
                </c:pt>
                <c:pt idx="26">
                  <c:v>45635</c:v>
                </c:pt>
                <c:pt idx="27">
                  <c:v>45649</c:v>
                </c:pt>
                <c:pt idx="28">
                  <c:v>45663</c:v>
                </c:pt>
                <c:pt idx="29">
                  <c:v>45670</c:v>
                </c:pt>
                <c:pt idx="30">
                  <c:v>45677</c:v>
                </c:pt>
                <c:pt idx="31">
                  <c:v>45691</c:v>
                </c:pt>
                <c:pt idx="32">
                  <c:v>45691</c:v>
                </c:pt>
                <c:pt idx="33">
                  <c:v>45712</c:v>
                </c:pt>
                <c:pt idx="34">
                  <c:v>45712</c:v>
                </c:pt>
                <c:pt idx="35">
                  <c:v>45719</c:v>
                </c:pt>
                <c:pt idx="36">
                  <c:v>45726</c:v>
                </c:pt>
                <c:pt idx="37">
                  <c:v>45740</c:v>
                </c:pt>
                <c:pt idx="38">
                  <c:v>45747</c:v>
                </c:pt>
                <c:pt idx="39">
                  <c:v>45754</c:v>
                </c:pt>
                <c:pt idx="40">
                  <c:v>45782</c:v>
                </c:pt>
              </c:numCache>
            </c:numRef>
          </c:cat>
          <c:val>
            <c:numRef>
              <c:f>YouTube!$Z$2:$Z$201</c:f>
              <c:numCache>
                <c:formatCode>#,##0</c:formatCode>
                <c:ptCount val="41"/>
                <c:pt idx="0">
                  <c:v>119332</c:v>
                </c:pt>
                <c:pt idx="1">
                  <c:v>127203</c:v>
                </c:pt>
                <c:pt idx="2">
                  <c:v>141896</c:v>
                </c:pt>
                <c:pt idx="3">
                  <c:v>198388</c:v>
                </c:pt>
                <c:pt idx="4">
                  <c:v>255684</c:v>
                </c:pt>
                <c:pt idx="5">
                  <c:v>289283</c:v>
                </c:pt>
                <c:pt idx="6">
                  <c:v>300265</c:v>
                </c:pt>
                <c:pt idx="7">
                  <c:v>315557</c:v>
                </c:pt>
                <c:pt idx="8">
                  <c:v>340085</c:v>
                </c:pt>
                <c:pt idx="9">
                  <c:v>359081</c:v>
                </c:pt>
                <c:pt idx="10">
                  <c:v>370352</c:v>
                </c:pt>
                <c:pt idx="11">
                  <c:v>391152</c:v>
                </c:pt>
                <c:pt idx="12">
                  <c:v>429929</c:v>
                </c:pt>
                <c:pt idx="13">
                  <c:v>432424</c:v>
                </c:pt>
                <c:pt idx="14">
                  <c:v>445769</c:v>
                </c:pt>
                <c:pt idx="15">
                  <c:v>450052</c:v>
                </c:pt>
                <c:pt idx="16">
                  <c:v>499015</c:v>
                </c:pt>
                <c:pt idx="17">
                  <c:v>503162</c:v>
                </c:pt>
                <c:pt idx="18">
                  <c:v>522852</c:v>
                </c:pt>
                <c:pt idx="19">
                  <c:v>545824</c:v>
                </c:pt>
                <c:pt idx="20">
                  <c:v>568671</c:v>
                </c:pt>
                <c:pt idx="21">
                  <c:v>574674</c:v>
                </c:pt>
                <c:pt idx="22">
                  <c:v>599760</c:v>
                </c:pt>
                <c:pt idx="23">
                  <c:v>625922</c:v>
                </c:pt>
                <c:pt idx="24">
                  <c:v>675785</c:v>
                </c:pt>
                <c:pt idx="25">
                  <c:v>694115</c:v>
                </c:pt>
                <c:pt idx="26">
                  <c:v>709008</c:v>
                </c:pt>
                <c:pt idx="27">
                  <c:v>748744</c:v>
                </c:pt>
                <c:pt idx="28">
                  <c:v>798137</c:v>
                </c:pt>
                <c:pt idx="29">
                  <c:v>818408</c:v>
                </c:pt>
                <c:pt idx="30">
                  <c:v>846217</c:v>
                </c:pt>
                <c:pt idx="31">
                  <c:v>872714</c:v>
                </c:pt>
                <c:pt idx="32">
                  <c:v>889484</c:v>
                </c:pt>
                <c:pt idx="33">
                  <c:v>947047</c:v>
                </c:pt>
                <c:pt idx="34">
                  <c:v>953427</c:v>
                </c:pt>
                <c:pt idx="35">
                  <c:v>966020</c:v>
                </c:pt>
                <c:pt idx="36">
                  <c:v>995050</c:v>
                </c:pt>
                <c:pt idx="37">
                  <c:v>1041686</c:v>
                </c:pt>
                <c:pt idx="38">
                  <c:v>1064988</c:v>
                </c:pt>
                <c:pt idx="39">
                  <c:v>1073082</c:v>
                </c:pt>
                <c:pt idx="40">
                  <c:v>1157985</c:v>
                </c:pt>
              </c:numCache>
            </c:numRef>
          </c:val>
          <c:smooth val="0"/>
          <c:extLst>
            <c:ext xmlns:c16="http://schemas.microsoft.com/office/drawing/2014/chart" uri="{C3380CC4-5D6E-409C-BE32-E72D297353CC}">
              <c16:uniqueId val="{00000001-DE0F-404B-940F-9923934564DA}"/>
            </c:ext>
          </c:extLst>
        </c:ser>
        <c:dLbls>
          <c:showLegendKey val="0"/>
          <c:showVal val="0"/>
          <c:showCatName val="0"/>
          <c:showSerName val="0"/>
          <c:showPercent val="0"/>
          <c:showBubbleSize val="0"/>
        </c:dLbls>
        <c:smooth val="0"/>
        <c:axId val="1521801920"/>
        <c:axId val="1521799520"/>
        <c:extLst>
          <c:ext xmlns:c15="http://schemas.microsoft.com/office/drawing/2012/chart" uri="{02D57815-91ED-43cb-92C2-25804820EDAC}">
            <c15:filteredLineSeries>
              <c15:ser>
                <c:idx val="0"/>
                <c:order val="0"/>
                <c:tx>
                  <c:strRef>
                    <c:extLst>
                      <c:ext uri="{02D57815-91ED-43cb-92C2-25804820EDAC}">
                        <c15:formulaRef>
                          <c15:sqref>YouTube!$Y$1</c15:sqref>
                        </c15:formulaRef>
                      </c:ext>
                    </c:extLst>
                    <c:strCache>
                      <c:ptCount val="1"/>
                      <c:pt idx="0">
                        <c:v>Column1</c:v>
                      </c:pt>
                    </c:strCache>
                  </c:strRef>
                </c:tx>
                <c:spPr>
                  <a:ln w="28575" cap="rnd">
                    <a:solidFill>
                      <a:schemeClr val="accent1"/>
                    </a:solidFill>
                    <a:round/>
                  </a:ln>
                  <a:effectLst/>
                </c:spPr>
                <c:marker>
                  <c:symbol val="none"/>
                </c:marker>
                <c:cat>
                  <c:numRef>
                    <c:extLst>
                      <c:ext uri="{02D57815-91ED-43cb-92C2-25804820EDAC}">
                        <c15:formulaRef>
                          <c15:sqref>YouTube!$X$2:$X$201</c15:sqref>
                        </c15:formulaRef>
                      </c:ext>
                    </c:extLst>
                    <c:numCache>
                      <c:formatCode>m/d/yyyy</c:formatCode>
                      <c:ptCount val="41"/>
                      <c:pt idx="0">
                        <c:v>45446</c:v>
                      </c:pt>
                      <c:pt idx="1">
                        <c:v>45446</c:v>
                      </c:pt>
                      <c:pt idx="2">
                        <c:v>45453</c:v>
                      </c:pt>
                      <c:pt idx="3">
                        <c:v>45467</c:v>
                      </c:pt>
                      <c:pt idx="4">
                        <c:v>45488</c:v>
                      </c:pt>
                      <c:pt idx="5">
                        <c:v>45495</c:v>
                      </c:pt>
                      <c:pt idx="6">
                        <c:v>45502</c:v>
                      </c:pt>
                      <c:pt idx="7">
                        <c:v>45509</c:v>
                      </c:pt>
                      <c:pt idx="8">
                        <c:v>45516</c:v>
                      </c:pt>
                      <c:pt idx="9">
                        <c:v>45523</c:v>
                      </c:pt>
                      <c:pt idx="10">
                        <c:v>45523</c:v>
                      </c:pt>
                      <c:pt idx="11">
                        <c:v>45530</c:v>
                      </c:pt>
                      <c:pt idx="12">
                        <c:v>45544</c:v>
                      </c:pt>
                      <c:pt idx="13">
                        <c:v>45544</c:v>
                      </c:pt>
                      <c:pt idx="14">
                        <c:v>45551</c:v>
                      </c:pt>
                      <c:pt idx="15">
                        <c:v>45551</c:v>
                      </c:pt>
                      <c:pt idx="16">
                        <c:v>45572</c:v>
                      </c:pt>
                      <c:pt idx="17">
                        <c:v>45572</c:v>
                      </c:pt>
                      <c:pt idx="18">
                        <c:v>45579</c:v>
                      </c:pt>
                      <c:pt idx="19">
                        <c:v>45586</c:v>
                      </c:pt>
                      <c:pt idx="20">
                        <c:v>45593</c:v>
                      </c:pt>
                      <c:pt idx="21">
                        <c:v>45593</c:v>
                      </c:pt>
                      <c:pt idx="22">
                        <c:v>45600</c:v>
                      </c:pt>
                      <c:pt idx="23">
                        <c:v>45607</c:v>
                      </c:pt>
                      <c:pt idx="24">
                        <c:v>45621</c:v>
                      </c:pt>
                      <c:pt idx="25">
                        <c:v>45628</c:v>
                      </c:pt>
                      <c:pt idx="26">
                        <c:v>45635</c:v>
                      </c:pt>
                      <c:pt idx="27">
                        <c:v>45649</c:v>
                      </c:pt>
                      <c:pt idx="28">
                        <c:v>45663</c:v>
                      </c:pt>
                      <c:pt idx="29">
                        <c:v>45670</c:v>
                      </c:pt>
                      <c:pt idx="30">
                        <c:v>45677</c:v>
                      </c:pt>
                      <c:pt idx="31">
                        <c:v>45691</c:v>
                      </c:pt>
                      <c:pt idx="32">
                        <c:v>45691</c:v>
                      </c:pt>
                      <c:pt idx="33">
                        <c:v>45712</c:v>
                      </c:pt>
                      <c:pt idx="34">
                        <c:v>45712</c:v>
                      </c:pt>
                      <c:pt idx="35">
                        <c:v>45719</c:v>
                      </c:pt>
                      <c:pt idx="36">
                        <c:v>45726</c:v>
                      </c:pt>
                      <c:pt idx="37">
                        <c:v>45740</c:v>
                      </c:pt>
                      <c:pt idx="38">
                        <c:v>45747</c:v>
                      </c:pt>
                      <c:pt idx="39">
                        <c:v>45754</c:v>
                      </c:pt>
                      <c:pt idx="40">
                        <c:v>45782</c:v>
                      </c:pt>
                    </c:numCache>
                  </c:numRef>
                </c:cat>
                <c:val>
                  <c:numRef>
                    <c:extLst>
                      <c:ext uri="{02D57815-91ED-43cb-92C2-25804820EDAC}">
                        <c15:formulaRef>
                          <c15:sqref>YouTube!$Y$2:$Y$201</c15:sqref>
                        </c15:formulaRef>
                      </c:ext>
                    </c:extLst>
                    <c:numCache>
                      <c:formatCode>General</c:formatCode>
                      <c:ptCount val="41"/>
                    </c:numCache>
                  </c:numRef>
                </c:val>
                <c:smooth val="0"/>
                <c:extLst>
                  <c:ext xmlns:c16="http://schemas.microsoft.com/office/drawing/2014/chart" uri="{C3380CC4-5D6E-409C-BE32-E72D297353CC}">
                    <c16:uniqueId val="{00000000-DE0F-404B-940F-9923934564DA}"/>
                  </c:ext>
                </c:extLst>
              </c15:ser>
            </c15:filteredLineSeries>
          </c:ext>
        </c:extLst>
      </c:lineChart>
      <c:dateAx>
        <c:axId val="15218019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99520"/>
        <c:crosses val="autoZero"/>
        <c:auto val="1"/>
        <c:lblOffset val="100"/>
        <c:baseTimeUnit val="days"/>
      </c:dateAx>
      <c:valAx>
        <c:axId val="1521799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0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LinkdIn!$M$1</c:f>
              <c:strCache>
                <c:ptCount val="1"/>
                <c:pt idx="0">
                  <c:v>Net Followers Gain</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LinkdIn!$K$2:$L$201</c:f>
              <c:strCache>
                <c:ptCount val="55"/>
                <c:pt idx="0">
                  <c:v>17-06-2024</c:v>
                </c:pt>
                <c:pt idx="1">
                  <c:v>01-07-2024</c:v>
                </c:pt>
                <c:pt idx="2">
                  <c:v>08-07-2024</c:v>
                </c:pt>
                <c:pt idx="3">
                  <c:v>08-07-2024</c:v>
                </c:pt>
                <c:pt idx="4">
                  <c:v>08-07-2024</c:v>
                </c:pt>
                <c:pt idx="5">
                  <c:v>22-07-2024</c:v>
                </c:pt>
                <c:pt idx="6">
                  <c:v>22-07-2024</c:v>
                </c:pt>
                <c:pt idx="7">
                  <c:v>29-07-2024</c:v>
                </c:pt>
                <c:pt idx="8">
                  <c:v>29-07-2024</c:v>
                </c:pt>
                <c:pt idx="9">
                  <c:v>05-08-2024</c:v>
                </c:pt>
                <c:pt idx="10">
                  <c:v>26-08-2024</c:v>
                </c:pt>
                <c:pt idx="11">
                  <c:v>02-09-2024</c:v>
                </c:pt>
                <c:pt idx="12">
                  <c:v>09-09-2024</c:v>
                </c:pt>
                <c:pt idx="13">
                  <c:v>16-09-2024</c:v>
                </c:pt>
                <c:pt idx="14">
                  <c:v>07-10-2024</c:v>
                </c:pt>
                <c:pt idx="15">
                  <c:v>28-10-2024</c:v>
                </c:pt>
                <c:pt idx="16">
                  <c:v>28-10-2024</c:v>
                </c:pt>
                <c:pt idx="17">
                  <c:v>04-11-2024</c:v>
                </c:pt>
                <c:pt idx="18">
                  <c:v>11-11-2024</c:v>
                </c:pt>
                <c:pt idx="19">
                  <c:v>18-11-2024</c:v>
                </c:pt>
                <c:pt idx="20">
                  <c:v>18-11-2024</c:v>
                </c:pt>
                <c:pt idx="21">
                  <c:v>25-11-2024</c:v>
                </c:pt>
                <c:pt idx="22">
                  <c:v>02-12-2024</c:v>
                </c:pt>
                <c:pt idx="23">
                  <c:v>09-12-2024</c:v>
                </c:pt>
                <c:pt idx="24">
                  <c:v>16-12-2024</c:v>
                </c:pt>
                <c:pt idx="25">
                  <c:v>23-12-2024</c:v>
                </c:pt>
                <c:pt idx="26">
                  <c:v>23-12-2024</c:v>
                </c:pt>
                <c:pt idx="27">
                  <c:v>30-12-2024</c:v>
                </c:pt>
                <c:pt idx="28">
                  <c:v>30-12-2024</c:v>
                </c:pt>
                <c:pt idx="29">
                  <c:v>06-01-2025</c:v>
                </c:pt>
                <c:pt idx="30">
                  <c:v>13-01-2025</c:v>
                </c:pt>
                <c:pt idx="31">
                  <c:v>27-01-2025</c:v>
                </c:pt>
                <c:pt idx="32">
                  <c:v>10-02-2025</c:v>
                </c:pt>
                <c:pt idx="33">
                  <c:v>10-02-2025</c:v>
                </c:pt>
                <c:pt idx="34">
                  <c:v>10-02-2025</c:v>
                </c:pt>
                <c:pt idx="35">
                  <c:v>17-02-2025</c:v>
                </c:pt>
                <c:pt idx="36">
                  <c:v>03-03-2025</c:v>
                </c:pt>
                <c:pt idx="37">
                  <c:v>10-03-2025</c:v>
                </c:pt>
                <c:pt idx="38">
                  <c:v>17-03-2025</c:v>
                </c:pt>
                <c:pt idx="39">
                  <c:v>17-03-2025</c:v>
                </c:pt>
                <c:pt idx="40">
                  <c:v>17-03-2025</c:v>
                </c:pt>
                <c:pt idx="41">
                  <c:v>24-03-2025</c:v>
                </c:pt>
                <c:pt idx="42">
                  <c:v>24-03-2025</c:v>
                </c:pt>
                <c:pt idx="43">
                  <c:v>24-03-2025</c:v>
                </c:pt>
                <c:pt idx="44">
                  <c:v>31-03-2025</c:v>
                </c:pt>
                <c:pt idx="45">
                  <c:v>07-04-2025</c:v>
                </c:pt>
                <c:pt idx="46">
                  <c:v>14-04-2025</c:v>
                </c:pt>
                <c:pt idx="47">
                  <c:v>14-04-2025</c:v>
                </c:pt>
                <c:pt idx="48">
                  <c:v>14-04-2025</c:v>
                </c:pt>
                <c:pt idx="49">
                  <c:v>14-04-2025</c:v>
                </c:pt>
                <c:pt idx="50">
                  <c:v>28-04-2025</c:v>
                </c:pt>
                <c:pt idx="51">
                  <c:v>05-05-2025</c:v>
                </c:pt>
                <c:pt idx="52">
                  <c:v>05-05-2025</c:v>
                </c:pt>
                <c:pt idx="53">
                  <c:v>12-05-2025</c:v>
                </c:pt>
                <c:pt idx="54">
                  <c:v>12-05-2025</c:v>
                </c:pt>
              </c:strCache>
            </c:strRef>
          </c:cat>
          <c:val>
            <c:numRef>
              <c:f>LinkdIn!$M$2:$M$201</c:f>
              <c:numCache>
                <c:formatCode>#,##0</c:formatCode>
                <c:ptCount val="55"/>
                <c:pt idx="0">
                  <c:v>6728</c:v>
                </c:pt>
                <c:pt idx="1">
                  <c:v>5442</c:v>
                </c:pt>
                <c:pt idx="2">
                  <c:v>1918</c:v>
                </c:pt>
                <c:pt idx="3">
                  <c:v>6236</c:v>
                </c:pt>
                <c:pt idx="4">
                  <c:v>3224</c:v>
                </c:pt>
                <c:pt idx="5">
                  <c:v>7429</c:v>
                </c:pt>
                <c:pt idx="6">
                  <c:v>7974</c:v>
                </c:pt>
                <c:pt idx="7">
                  <c:v>1741</c:v>
                </c:pt>
                <c:pt idx="8">
                  <c:v>5796</c:v>
                </c:pt>
                <c:pt idx="9">
                  <c:v>4847</c:v>
                </c:pt>
                <c:pt idx="10">
                  <c:v>1513</c:v>
                </c:pt>
                <c:pt idx="11">
                  <c:v>8228</c:v>
                </c:pt>
                <c:pt idx="12">
                  <c:v>6121</c:v>
                </c:pt>
                <c:pt idx="13">
                  <c:v>2199</c:v>
                </c:pt>
                <c:pt idx="14">
                  <c:v>2421</c:v>
                </c:pt>
                <c:pt idx="15">
                  <c:v>6452</c:v>
                </c:pt>
                <c:pt idx="16">
                  <c:v>8360</c:v>
                </c:pt>
                <c:pt idx="17">
                  <c:v>4942</c:v>
                </c:pt>
                <c:pt idx="18">
                  <c:v>4882</c:v>
                </c:pt>
                <c:pt idx="19">
                  <c:v>3179</c:v>
                </c:pt>
                <c:pt idx="20">
                  <c:v>6469</c:v>
                </c:pt>
                <c:pt idx="21">
                  <c:v>8945</c:v>
                </c:pt>
                <c:pt idx="22">
                  <c:v>5402</c:v>
                </c:pt>
                <c:pt idx="23">
                  <c:v>949</c:v>
                </c:pt>
                <c:pt idx="24">
                  <c:v>8527</c:v>
                </c:pt>
                <c:pt idx="25">
                  <c:v>1367</c:v>
                </c:pt>
                <c:pt idx="26">
                  <c:v>6174</c:v>
                </c:pt>
                <c:pt idx="27">
                  <c:v>8200</c:v>
                </c:pt>
                <c:pt idx="28">
                  <c:v>8377</c:v>
                </c:pt>
                <c:pt idx="29">
                  <c:v>9254</c:v>
                </c:pt>
                <c:pt idx="30">
                  <c:v>7471</c:v>
                </c:pt>
                <c:pt idx="31">
                  <c:v>7260</c:v>
                </c:pt>
                <c:pt idx="32">
                  <c:v>3420</c:v>
                </c:pt>
                <c:pt idx="33">
                  <c:v>2525</c:v>
                </c:pt>
                <c:pt idx="34">
                  <c:v>6677</c:v>
                </c:pt>
                <c:pt idx="35">
                  <c:v>5101</c:v>
                </c:pt>
                <c:pt idx="36">
                  <c:v>7432</c:v>
                </c:pt>
                <c:pt idx="37">
                  <c:v>2535</c:v>
                </c:pt>
                <c:pt idx="38">
                  <c:v>7509</c:v>
                </c:pt>
                <c:pt idx="39">
                  <c:v>4852</c:v>
                </c:pt>
                <c:pt idx="40">
                  <c:v>7367</c:v>
                </c:pt>
                <c:pt idx="41">
                  <c:v>9044</c:v>
                </c:pt>
                <c:pt idx="42">
                  <c:v>2848</c:v>
                </c:pt>
                <c:pt idx="43">
                  <c:v>9335</c:v>
                </c:pt>
                <c:pt idx="44">
                  <c:v>1660</c:v>
                </c:pt>
                <c:pt idx="45">
                  <c:v>4542</c:v>
                </c:pt>
                <c:pt idx="46">
                  <c:v>7849</c:v>
                </c:pt>
                <c:pt idx="47">
                  <c:v>6368</c:v>
                </c:pt>
                <c:pt idx="48">
                  <c:v>4788</c:v>
                </c:pt>
                <c:pt idx="49">
                  <c:v>5990</c:v>
                </c:pt>
                <c:pt idx="50">
                  <c:v>1512</c:v>
                </c:pt>
                <c:pt idx="51">
                  <c:v>893</c:v>
                </c:pt>
                <c:pt idx="52">
                  <c:v>2067</c:v>
                </c:pt>
                <c:pt idx="53">
                  <c:v>7025</c:v>
                </c:pt>
                <c:pt idx="54">
                  <c:v>1121</c:v>
                </c:pt>
              </c:numCache>
            </c:numRef>
          </c:val>
          <c:smooth val="0"/>
          <c:extLst>
            <c:ext xmlns:c16="http://schemas.microsoft.com/office/drawing/2014/chart" uri="{C3380CC4-5D6E-409C-BE32-E72D297353CC}">
              <c16:uniqueId val="{00000000-6B2D-4C96-82FB-5EFF58DCDE34}"/>
            </c:ext>
          </c:extLst>
        </c:ser>
        <c:dLbls>
          <c:showLegendKey val="0"/>
          <c:showVal val="0"/>
          <c:showCatName val="0"/>
          <c:showSerName val="0"/>
          <c:showPercent val="0"/>
          <c:showBubbleSize val="0"/>
        </c:dLbls>
        <c:smooth val="0"/>
        <c:axId val="238858400"/>
        <c:axId val="238886720"/>
      </c:lineChart>
      <c:dateAx>
        <c:axId val="23885840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86720"/>
        <c:crosses val="autoZero"/>
        <c:auto val="1"/>
        <c:lblOffset val="100"/>
        <c:baseTimeUnit val="days"/>
      </c:dateAx>
      <c:valAx>
        <c:axId val="238886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LinkdIn!$Y$1</c:f>
              <c:strCache>
                <c:ptCount val="1"/>
                <c:pt idx="0">
                  <c:v>Total_Followers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movingAvg"/>
            <c:period val="5"/>
            <c:dispRSqr val="0"/>
            <c:dispEq val="0"/>
          </c:trendline>
          <c:cat>
            <c:numRef>
              <c:f>LinkdIn!$W$2:$W$201</c:f>
              <c:numCache>
                <c:formatCode>m/d/yyyy</c:formatCode>
                <c:ptCount val="55"/>
                <c:pt idx="0">
                  <c:v>45460</c:v>
                </c:pt>
                <c:pt idx="1">
                  <c:v>45474</c:v>
                </c:pt>
                <c:pt idx="2">
                  <c:v>45481</c:v>
                </c:pt>
                <c:pt idx="3">
                  <c:v>45481</c:v>
                </c:pt>
                <c:pt idx="4">
                  <c:v>45481</c:v>
                </c:pt>
                <c:pt idx="5">
                  <c:v>45495</c:v>
                </c:pt>
                <c:pt idx="6">
                  <c:v>45495</c:v>
                </c:pt>
                <c:pt idx="7">
                  <c:v>45502</c:v>
                </c:pt>
                <c:pt idx="8">
                  <c:v>45502</c:v>
                </c:pt>
                <c:pt idx="9">
                  <c:v>45509</c:v>
                </c:pt>
                <c:pt idx="10">
                  <c:v>45530</c:v>
                </c:pt>
                <c:pt idx="11">
                  <c:v>45537</c:v>
                </c:pt>
                <c:pt idx="12">
                  <c:v>45544</c:v>
                </c:pt>
                <c:pt idx="13">
                  <c:v>45551</c:v>
                </c:pt>
                <c:pt idx="14">
                  <c:v>45572</c:v>
                </c:pt>
                <c:pt idx="15">
                  <c:v>45593</c:v>
                </c:pt>
                <c:pt idx="16">
                  <c:v>45593</c:v>
                </c:pt>
                <c:pt idx="17">
                  <c:v>45600</c:v>
                </c:pt>
                <c:pt idx="18">
                  <c:v>45607</c:v>
                </c:pt>
                <c:pt idx="19">
                  <c:v>45614</c:v>
                </c:pt>
                <c:pt idx="20">
                  <c:v>45614</c:v>
                </c:pt>
                <c:pt idx="21">
                  <c:v>45621</c:v>
                </c:pt>
                <c:pt idx="22">
                  <c:v>45628</c:v>
                </c:pt>
                <c:pt idx="23">
                  <c:v>45635</c:v>
                </c:pt>
                <c:pt idx="24">
                  <c:v>45642</c:v>
                </c:pt>
                <c:pt idx="25">
                  <c:v>45649</c:v>
                </c:pt>
                <c:pt idx="26">
                  <c:v>45649</c:v>
                </c:pt>
                <c:pt idx="27">
                  <c:v>45656</c:v>
                </c:pt>
                <c:pt idx="28">
                  <c:v>45656</c:v>
                </c:pt>
                <c:pt idx="29">
                  <c:v>45663</c:v>
                </c:pt>
                <c:pt idx="30">
                  <c:v>45670</c:v>
                </c:pt>
                <c:pt idx="31">
                  <c:v>45684</c:v>
                </c:pt>
                <c:pt idx="32">
                  <c:v>45698</c:v>
                </c:pt>
                <c:pt idx="33">
                  <c:v>45698</c:v>
                </c:pt>
                <c:pt idx="34">
                  <c:v>45698</c:v>
                </c:pt>
                <c:pt idx="35">
                  <c:v>45705</c:v>
                </c:pt>
                <c:pt idx="36">
                  <c:v>45719</c:v>
                </c:pt>
                <c:pt idx="37">
                  <c:v>45726</c:v>
                </c:pt>
                <c:pt idx="38">
                  <c:v>45733</c:v>
                </c:pt>
                <c:pt idx="39">
                  <c:v>45733</c:v>
                </c:pt>
                <c:pt idx="40">
                  <c:v>45733</c:v>
                </c:pt>
                <c:pt idx="41">
                  <c:v>45740</c:v>
                </c:pt>
                <c:pt idx="42">
                  <c:v>45740</c:v>
                </c:pt>
                <c:pt idx="43">
                  <c:v>45740</c:v>
                </c:pt>
                <c:pt idx="44">
                  <c:v>45747</c:v>
                </c:pt>
                <c:pt idx="45">
                  <c:v>45754</c:v>
                </c:pt>
                <c:pt idx="46">
                  <c:v>45761</c:v>
                </c:pt>
                <c:pt idx="47">
                  <c:v>45761</c:v>
                </c:pt>
                <c:pt idx="48">
                  <c:v>45761</c:v>
                </c:pt>
                <c:pt idx="49">
                  <c:v>45761</c:v>
                </c:pt>
                <c:pt idx="50">
                  <c:v>45775</c:v>
                </c:pt>
                <c:pt idx="51">
                  <c:v>45782</c:v>
                </c:pt>
                <c:pt idx="52">
                  <c:v>45782</c:v>
                </c:pt>
                <c:pt idx="53">
                  <c:v>45789</c:v>
                </c:pt>
                <c:pt idx="54">
                  <c:v>45789</c:v>
                </c:pt>
              </c:numCache>
            </c:numRef>
          </c:cat>
          <c:val>
            <c:numRef>
              <c:f>LinkdIn!$Y$2:$Y$201</c:f>
              <c:numCache>
                <c:formatCode>#,##0</c:formatCode>
                <c:ptCount val="55"/>
                <c:pt idx="0">
                  <c:v>170518</c:v>
                </c:pt>
                <c:pt idx="1">
                  <c:v>210260</c:v>
                </c:pt>
                <c:pt idx="2">
                  <c:v>233720</c:v>
                </c:pt>
                <c:pt idx="3">
                  <c:v>239956</c:v>
                </c:pt>
                <c:pt idx="4">
                  <c:v>243180</c:v>
                </c:pt>
                <c:pt idx="5">
                  <c:v>264494</c:v>
                </c:pt>
                <c:pt idx="6">
                  <c:v>280201</c:v>
                </c:pt>
                <c:pt idx="7">
                  <c:v>291024</c:v>
                </c:pt>
                <c:pt idx="8">
                  <c:v>296820</c:v>
                </c:pt>
                <c:pt idx="9">
                  <c:v>320404</c:v>
                </c:pt>
                <c:pt idx="10">
                  <c:v>371865</c:v>
                </c:pt>
                <c:pt idx="11">
                  <c:v>413369</c:v>
                </c:pt>
                <c:pt idx="12">
                  <c:v>438545</c:v>
                </c:pt>
                <c:pt idx="13">
                  <c:v>447968</c:v>
                </c:pt>
                <c:pt idx="14">
                  <c:v>492814</c:v>
                </c:pt>
                <c:pt idx="15">
                  <c:v>581126</c:v>
                </c:pt>
                <c:pt idx="16">
                  <c:v>589486</c:v>
                </c:pt>
                <c:pt idx="17">
                  <c:v>604702</c:v>
                </c:pt>
                <c:pt idx="18">
                  <c:v>620702</c:v>
                </c:pt>
                <c:pt idx="19">
                  <c:v>640691</c:v>
                </c:pt>
                <c:pt idx="20">
                  <c:v>647160</c:v>
                </c:pt>
                <c:pt idx="21">
                  <c:v>670642</c:v>
                </c:pt>
                <c:pt idx="22">
                  <c:v>682556</c:v>
                </c:pt>
                <c:pt idx="23">
                  <c:v>709957</c:v>
                </c:pt>
                <c:pt idx="24">
                  <c:v>723286</c:v>
                </c:pt>
                <c:pt idx="25">
                  <c:v>730928</c:v>
                </c:pt>
                <c:pt idx="26">
                  <c:v>741416</c:v>
                </c:pt>
                <c:pt idx="27">
                  <c:v>756944</c:v>
                </c:pt>
                <c:pt idx="28">
                  <c:v>769535</c:v>
                </c:pt>
                <c:pt idx="29">
                  <c:v>781868</c:v>
                </c:pt>
                <c:pt idx="30">
                  <c:v>807142</c:v>
                </c:pt>
                <c:pt idx="31">
                  <c:v>853477</c:v>
                </c:pt>
                <c:pt idx="32">
                  <c:v>900862</c:v>
                </c:pt>
                <c:pt idx="33">
                  <c:v>903387</c:v>
                </c:pt>
                <c:pt idx="34">
                  <c:v>911084</c:v>
                </c:pt>
                <c:pt idx="35">
                  <c:v>917475</c:v>
                </c:pt>
                <c:pt idx="36">
                  <c:v>973452</c:v>
                </c:pt>
                <c:pt idx="37">
                  <c:v>997585</c:v>
                </c:pt>
                <c:pt idx="38">
                  <c:v>1005094</c:v>
                </c:pt>
                <c:pt idx="39">
                  <c:v>1018238</c:v>
                </c:pt>
                <c:pt idx="40">
                  <c:v>1025605</c:v>
                </c:pt>
                <c:pt idx="41">
                  <c:v>1034649</c:v>
                </c:pt>
                <c:pt idx="42">
                  <c:v>1037497</c:v>
                </c:pt>
                <c:pt idx="43">
                  <c:v>1051021</c:v>
                </c:pt>
                <c:pt idx="44">
                  <c:v>1066648</c:v>
                </c:pt>
                <c:pt idx="45">
                  <c:v>1077624</c:v>
                </c:pt>
                <c:pt idx="46">
                  <c:v>1095217</c:v>
                </c:pt>
                <c:pt idx="47">
                  <c:v>1101585</c:v>
                </c:pt>
                <c:pt idx="48">
                  <c:v>1106373</c:v>
                </c:pt>
                <c:pt idx="49">
                  <c:v>1112363</c:v>
                </c:pt>
                <c:pt idx="50">
                  <c:v>1135945</c:v>
                </c:pt>
                <c:pt idx="51">
                  <c:v>1152775</c:v>
                </c:pt>
                <c:pt idx="52">
                  <c:v>1160052</c:v>
                </c:pt>
                <c:pt idx="53">
                  <c:v>1177841</c:v>
                </c:pt>
                <c:pt idx="54">
                  <c:v>1178962</c:v>
                </c:pt>
              </c:numCache>
            </c:numRef>
          </c:val>
          <c:smooth val="0"/>
          <c:extLst>
            <c:ext xmlns:c16="http://schemas.microsoft.com/office/drawing/2014/chart" uri="{C3380CC4-5D6E-409C-BE32-E72D297353CC}">
              <c16:uniqueId val="{00000001-7399-4A04-8534-61DC80FDACE0}"/>
            </c:ext>
          </c:extLst>
        </c:ser>
        <c:dLbls>
          <c:showLegendKey val="0"/>
          <c:showVal val="0"/>
          <c:showCatName val="0"/>
          <c:showSerName val="0"/>
          <c:showPercent val="0"/>
          <c:showBubbleSize val="0"/>
        </c:dLbls>
        <c:smooth val="0"/>
        <c:axId val="243908672"/>
        <c:axId val="243924512"/>
        <c:extLst>
          <c:ext xmlns:c15="http://schemas.microsoft.com/office/drawing/2012/chart" uri="{02D57815-91ED-43cb-92C2-25804820EDAC}">
            <c15:filteredLineSeries>
              <c15:ser>
                <c:idx val="0"/>
                <c:order val="0"/>
                <c:tx>
                  <c:strRef>
                    <c:extLst>
                      <c:ext uri="{02D57815-91ED-43cb-92C2-25804820EDAC}">
                        <c15:formulaRef>
                          <c15:sqref>LinkdIn!$X$1</c15:sqref>
                        </c15:formulaRef>
                      </c:ext>
                    </c:extLst>
                    <c:strCache>
                      <c:ptCount val="1"/>
                      <c:pt idx="0">
                        <c:v>Column1</c:v>
                      </c:pt>
                    </c:strCache>
                  </c:strRef>
                </c:tx>
                <c:spPr>
                  <a:ln w="28575" cap="rnd">
                    <a:solidFill>
                      <a:schemeClr val="accent1"/>
                    </a:solidFill>
                    <a:round/>
                  </a:ln>
                  <a:effectLst/>
                </c:spPr>
                <c:marker>
                  <c:symbol val="none"/>
                </c:marker>
                <c:cat>
                  <c:numRef>
                    <c:extLst>
                      <c:ext uri="{02D57815-91ED-43cb-92C2-25804820EDAC}">
                        <c15:formulaRef>
                          <c15:sqref>LinkdIn!$W$2:$W$201</c15:sqref>
                        </c15:formulaRef>
                      </c:ext>
                    </c:extLst>
                    <c:numCache>
                      <c:formatCode>m/d/yyyy</c:formatCode>
                      <c:ptCount val="55"/>
                      <c:pt idx="0">
                        <c:v>45460</c:v>
                      </c:pt>
                      <c:pt idx="1">
                        <c:v>45474</c:v>
                      </c:pt>
                      <c:pt idx="2">
                        <c:v>45481</c:v>
                      </c:pt>
                      <c:pt idx="3">
                        <c:v>45481</c:v>
                      </c:pt>
                      <c:pt idx="4">
                        <c:v>45481</c:v>
                      </c:pt>
                      <c:pt idx="5">
                        <c:v>45495</c:v>
                      </c:pt>
                      <c:pt idx="6">
                        <c:v>45495</c:v>
                      </c:pt>
                      <c:pt idx="7">
                        <c:v>45502</c:v>
                      </c:pt>
                      <c:pt idx="8">
                        <c:v>45502</c:v>
                      </c:pt>
                      <c:pt idx="9">
                        <c:v>45509</c:v>
                      </c:pt>
                      <c:pt idx="10">
                        <c:v>45530</c:v>
                      </c:pt>
                      <c:pt idx="11">
                        <c:v>45537</c:v>
                      </c:pt>
                      <c:pt idx="12">
                        <c:v>45544</c:v>
                      </c:pt>
                      <c:pt idx="13">
                        <c:v>45551</c:v>
                      </c:pt>
                      <c:pt idx="14">
                        <c:v>45572</c:v>
                      </c:pt>
                      <c:pt idx="15">
                        <c:v>45593</c:v>
                      </c:pt>
                      <c:pt idx="16">
                        <c:v>45593</c:v>
                      </c:pt>
                      <c:pt idx="17">
                        <c:v>45600</c:v>
                      </c:pt>
                      <c:pt idx="18">
                        <c:v>45607</c:v>
                      </c:pt>
                      <c:pt idx="19">
                        <c:v>45614</c:v>
                      </c:pt>
                      <c:pt idx="20">
                        <c:v>45614</c:v>
                      </c:pt>
                      <c:pt idx="21">
                        <c:v>45621</c:v>
                      </c:pt>
                      <c:pt idx="22">
                        <c:v>45628</c:v>
                      </c:pt>
                      <c:pt idx="23">
                        <c:v>45635</c:v>
                      </c:pt>
                      <c:pt idx="24">
                        <c:v>45642</c:v>
                      </c:pt>
                      <c:pt idx="25">
                        <c:v>45649</c:v>
                      </c:pt>
                      <c:pt idx="26">
                        <c:v>45649</c:v>
                      </c:pt>
                      <c:pt idx="27">
                        <c:v>45656</c:v>
                      </c:pt>
                      <c:pt idx="28">
                        <c:v>45656</c:v>
                      </c:pt>
                      <c:pt idx="29">
                        <c:v>45663</c:v>
                      </c:pt>
                      <c:pt idx="30">
                        <c:v>45670</c:v>
                      </c:pt>
                      <c:pt idx="31">
                        <c:v>45684</c:v>
                      </c:pt>
                      <c:pt idx="32">
                        <c:v>45698</c:v>
                      </c:pt>
                      <c:pt idx="33">
                        <c:v>45698</c:v>
                      </c:pt>
                      <c:pt idx="34">
                        <c:v>45698</c:v>
                      </c:pt>
                      <c:pt idx="35">
                        <c:v>45705</c:v>
                      </c:pt>
                      <c:pt idx="36">
                        <c:v>45719</c:v>
                      </c:pt>
                      <c:pt idx="37">
                        <c:v>45726</c:v>
                      </c:pt>
                      <c:pt idx="38">
                        <c:v>45733</c:v>
                      </c:pt>
                      <c:pt idx="39">
                        <c:v>45733</c:v>
                      </c:pt>
                      <c:pt idx="40">
                        <c:v>45733</c:v>
                      </c:pt>
                      <c:pt idx="41">
                        <c:v>45740</c:v>
                      </c:pt>
                      <c:pt idx="42">
                        <c:v>45740</c:v>
                      </c:pt>
                      <c:pt idx="43">
                        <c:v>45740</c:v>
                      </c:pt>
                      <c:pt idx="44">
                        <c:v>45747</c:v>
                      </c:pt>
                      <c:pt idx="45">
                        <c:v>45754</c:v>
                      </c:pt>
                      <c:pt idx="46">
                        <c:v>45761</c:v>
                      </c:pt>
                      <c:pt idx="47">
                        <c:v>45761</c:v>
                      </c:pt>
                      <c:pt idx="48">
                        <c:v>45761</c:v>
                      </c:pt>
                      <c:pt idx="49">
                        <c:v>45761</c:v>
                      </c:pt>
                      <c:pt idx="50">
                        <c:v>45775</c:v>
                      </c:pt>
                      <c:pt idx="51">
                        <c:v>45782</c:v>
                      </c:pt>
                      <c:pt idx="52">
                        <c:v>45782</c:v>
                      </c:pt>
                      <c:pt idx="53">
                        <c:v>45789</c:v>
                      </c:pt>
                      <c:pt idx="54">
                        <c:v>45789</c:v>
                      </c:pt>
                    </c:numCache>
                  </c:numRef>
                </c:cat>
                <c:val>
                  <c:numRef>
                    <c:extLst>
                      <c:ext uri="{02D57815-91ED-43cb-92C2-25804820EDAC}">
                        <c15:formulaRef>
                          <c15:sqref>LinkdIn!$X$2:$X$201</c15:sqref>
                        </c15:formulaRef>
                      </c:ext>
                    </c:extLst>
                    <c:numCache>
                      <c:formatCode>General</c:formatCode>
                      <c:ptCount val="55"/>
                    </c:numCache>
                  </c:numRef>
                </c:val>
                <c:smooth val="0"/>
                <c:extLst>
                  <c:ext xmlns:c16="http://schemas.microsoft.com/office/drawing/2014/chart" uri="{C3380CC4-5D6E-409C-BE32-E72D297353CC}">
                    <c16:uniqueId val="{00000000-7399-4A04-8534-61DC80FDACE0}"/>
                  </c:ext>
                </c:extLst>
              </c15:ser>
            </c15:filteredLineSeries>
          </c:ext>
        </c:extLst>
      </c:lineChart>
      <c:dateAx>
        <c:axId val="2439086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24512"/>
        <c:crosses val="autoZero"/>
        <c:auto val="1"/>
        <c:lblOffset val="100"/>
        <c:baseTimeUnit val="days"/>
      </c:dateAx>
      <c:valAx>
        <c:axId val="243924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0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Project (Task 6).xlsx]Task 6.3!PivotTable1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Total Followers Growth With Moving Avg </a:t>
            </a:r>
            <a:endParaRPr lang="en-US" b="1">
              <a:solidFill>
                <a:schemeClr val="tx1"/>
              </a:solidFill>
            </a:endParaRPr>
          </a:p>
        </c:rich>
      </c:tx>
      <c:layout>
        <c:manualLayout>
          <c:xMode val="edge"/>
          <c:yMode val="edge"/>
          <c:x val="0.17209816376554543"/>
          <c:y val="2.3281599500881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78257936725135"/>
          <c:y val="0.14003882099780293"/>
          <c:w val="0.81742721555969444"/>
          <c:h val="0.56378684687398695"/>
        </c:manualLayout>
      </c:layout>
      <c:lineChart>
        <c:grouping val="standard"/>
        <c:varyColors val="0"/>
        <c:ser>
          <c:idx val="0"/>
          <c:order val="0"/>
          <c:tx>
            <c:strRef>
              <c:f>'Task 6.3'!$L$1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trendline>
            <c:spPr>
              <a:ln w="19050" cap="rnd">
                <a:solidFill>
                  <a:schemeClr val="accent1"/>
                </a:solidFill>
                <a:prstDash val="sysDot"/>
              </a:ln>
              <a:effectLst/>
            </c:spPr>
            <c:trendlineType val="linear"/>
            <c:dispRSqr val="0"/>
            <c:dispEq val="0"/>
          </c:trendline>
          <c:cat>
            <c:strRef>
              <c:f>'Task 6.3'!$K$2:$K$35</c:f>
              <c:strCache>
                <c:ptCount val="33"/>
                <c:pt idx="0">
                  <c:v>03-06-2024</c:v>
                </c:pt>
                <c:pt idx="1">
                  <c:v>10-06-2024</c:v>
                </c:pt>
                <c:pt idx="2">
                  <c:v>24-06-2024</c:v>
                </c:pt>
                <c:pt idx="3">
                  <c:v>15-07-2024</c:v>
                </c:pt>
                <c:pt idx="4">
                  <c:v>22-07-2024</c:v>
                </c:pt>
                <c:pt idx="5">
                  <c:v>29-07-2024</c:v>
                </c:pt>
                <c:pt idx="6">
                  <c:v>05-08-2024</c:v>
                </c:pt>
                <c:pt idx="7">
                  <c:v>12-08-2024</c:v>
                </c:pt>
                <c:pt idx="8">
                  <c:v>19-08-2024</c:v>
                </c:pt>
                <c:pt idx="9">
                  <c:v>26-08-2024</c:v>
                </c:pt>
                <c:pt idx="10">
                  <c:v>09-09-2024</c:v>
                </c:pt>
                <c:pt idx="11">
                  <c:v>16-09-2024</c:v>
                </c:pt>
                <c:pt idx="12">
                  <c:v>07-10-2024</c:v>
                </c:pt>
                <c:pt idx="13">
                  <c:v>14-10-2024</c:v>
                </c:pt>
                <c:pt idx="14">
                  <c:v>21-10-2024</c:v>
                </c:pt>
                <c:pt idx="15">
                  <c:v>28-10-2024</c:v>
                </c:pt>
                <c:pt idx="16">
                  <c:v>04-11-2024</c:v>
                </c:pt>
                <c:pt idx="17">
                  <c:v>11-11-2024</c:v>
                </c:pt>
                <c:pt idx="18">
                  <c:v>25-11-2024</c:v>
                </c:pt>
                <c:pt idx="19">
                  <c:v>02-12-2024</c:v>
                </c:pt>
                <c:pt idx="20">
                  <c:v>09-12-2024</c:v>
                </c:pt>
                <c:pt idx="21">
                  <c:v>23-12-2024</c:v>
                </c:pt>
                <c:pt idx="22">
                  <c:v>06-01-2025</c:v>
                </c:pt>
                <c:pt idx="23">
                  <c:v>13-01-2025</c:v>
                </c:pt>
                <c:pt idx="24">
                  <c:v>20-01-2025</c:v>
                </c:pt>
                <c:pt idx="25">
                  <c:v>03-02-2025</c:v>
                </c:pt>
                <c:pt idx="26">
                  <c:v>24-02-2025</c:v>
                </c:pt>
                <c:pt idx="27">
                  <c:v>03-03-2025</c:v>
                </c:pt>
                <c:pt idx="28">
                  <c:v>10-03-2025</c:v>
                </c:pt>
                <c:pt idx="29">
                  <c:v>24-03-2025</c:v>
                </c:pt>
                <c:pt idx="30">
                  <c:v>31-03-2025</c:v>
                </c:pt>
                <c:pt idx="31">
                  <c:v>07-04-2025</c:v>
                </c:pt>
                <c:pt idx="32">
                  <c:v>05-05-2025</c:v>
                </c:pt>
              </c:strCache>
            </c:strRef>
          </c:cat>
          <c:val>
            <c:numRef>
              <c:f>'Task 6.3'!$L$2:$L$35</c:f>
              <c:numCache>
                <c:formatCode>#,##0</c:formatCode>
                <c:ptCount val="33"/>
                <c:pt idx="0">
                  <c:v>246535</c:v>
                </c:pt>
                <c:pt idx="1">
                  <c:v>141896</c:v>
                </c:pt>
                <c:pt idx="2">
                  <c:v>198388</c:v>
                </c:pt>
                <c:pt idx="3">
                  <c:v>255684</c:v>
                </c:pt>
                <c:pt idx="4">
                  <c:v>289283</c:v>
                </c:pt>
                <c:pt idx="5">
                  <c:v>300265</c:v>
                </c:pt>
                <c:pt idx="6">
                  <c:v>315557</c:v>
                </c:pt>
                <c:pt idx="7">
                  <c:v>340085</c:v>
                </c:pt>
                <c:pt idx="8">
                  <c:v>729433</c:v>
                </c:pt>
                <c:pt idx="9">
                  <c:v>391152</c:v>
                </c:pt>
                <c:pt idx="10">
                  <c:v>862353</c:v>
                </c:pt>
                <c:pt idx="11">
                  <c:v>895821</c:v>
                </c:pt>
                <c:pt idx="12">
                  <c:v>1002177</c:v>
                </c:pt>
                <c:pt idx="13">
                  <c:v>522852</c:v>
                </c:pt>
                <c:pt idx="14">
                  <c:v>545824</c:v>
                </c:pt>
                <c:pt idx="15">
                  <c:v>1143345</c:v>
                </c:pt>
                <c:pt idx="16">
                  <c:v>599760</c:v>
                </c:pt>
                <c:pt idx="17">
                  <c:v>625922</c:v>
                </c:pt>
                <c:pt idx="18">
                  <c:v>675785</c:v>
                </c:pt>
                <c:pt idx="19">
                  <c:v>694115</c:v>
                </c:pt>
                <c:pt idx="20">
                  <c:v>709008</c:v>
                </c:pt>
                <c:pt idx="21">
                  <c:v>748744</c:v>
                </c:pt>
                <c:pt idx="22">
                  <c:v>798137</c:v>
                </c:pt>
                <c:pt idx="23">
                  <c:v>818408</c:v>
                </c:pt>
                <c:pt idx="24">
                  <c:v>846217</c:v>
                </c:pt>
                <c:pt idx="25">
                  <c:v>1762198</c:v>
                </c:pt>
                <c:pt idx="26">
                  <c:v>1900474</c:v>
                </c:pt>
                <c:pt idx="27">
                  <c:v>966020</c:v>
                </c:pt>
                <c:pt idx="28">
                  <c:v>995050</c:v>
                </c:pt>
                <c:pt idx="29">
                  <c:v>1041686</c:v>
                </c:pt>
                <c:pt idx="30">
                  <c:v>1064988</c:v>
                </c:pt>
                <c:pt idx="31">
                  <c:v>1073082</c:v>
                </c:pt>
                <c:pt idx="32">
                  <c:v>1157985</c:v>
                </c:pt>
              </c:numCache>
            </c:numRef>
          </c:val>
          <c:smooth val="0"/>
          <c:extLst>
            <c:ext xmlns:c16="http://schemas.microsoft.com/office/drawing/2014/chart" uri="{C3380CC4-5D6E-409C-BE32-E72D297353CC}">
              <c16:uniqueId val="{00000004-D01E-4826-A3DC-FEBCAFC04CCC}"/>
            </c:ext>
          </c:extLst>
        </c:ser>
        <c:dLbls>
          <c:showLegendKey val="0"/>
          <c:showVal val="0"/>
          <c:showCatName val="0"/>
          <c:showSerName val="0"/>
          <c:showPercent val="0"/>
          <c:showBubbleSize val="0"/>
        </c:dLbls>
        <c:smooth val="0"/>
        <c:axId val="957167328"/>
        <c:axId val="957155808"/>
      </c:lineChart>
      <c:catAx>
        <c:axId val="9571673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Week</a:t>
                </a:r>
                <a:r>
                  <a:rPr lang="en-IN" b="1" baseline="0">
                    <a:solidFill>
                      <a:schemeClr val="tx1"/>
                    </a:solidFill>
                  </a:rPr>
                  <a:t> Start Date</a:t>
                </a:r>
                <a:endParaRPr lang="en-IN" b="1">
                  <a:solidFill>
                    <a:schemeClr val="tx1"/>
                  </a:solidFill>
                </a:endParaRPr>
              </a:p>
            </c:rich>
          </c:tx>
          <c:layout>
            <c:manualLayout>
              <c:xMode val="edge"/>
              <c:yMode val="edge"/>
              <c:x val="0.41174096120875203"/>
              <c:y val="0.9410003938317815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55808"/>
        <c:crosses val="autoZero"/>
        <c:auto val="1"/>
        <c:lblAlgn val="ctr"/>
        <c:lblOffset val="100"/>
        <c:noMultiLvlLbl val="0"/>
      </c:catAx>
      <c:valAx>
        <c:axId val="9571558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Total</a:t>
                </a:r>
                <a:r>
                  <a:rPr lang="en-IN" b="1" baseline="0">
                    <a:solidFill>
                      <a:schemeClr val="tx1"/>
                    </a:solidFill>
                  </a:rPr>
                  <a:t> Followers</a:t>
                </a:r>
              </a:p>
            </c:rich>
          </c:tx>
          <c:layout>
            <c:manualLayout>
              <c:xMode val="edge"/>
              <c:yMode val="edge"/>
              <c:x val="0"/>
              <c:y val="0.3390109475458229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67328"/>
        <c:crosses val="autoZero"/>
        <c:crossBetween val="between"/>
      </c:valAx>
      <c:spPr>
        <a:noFill/>
        <a:ln>
          <a:noFill/>
        </a:ln>
        <a:effectLst/>
      </c:spPr>
    </c:plotArea>
    <c:legend>
      <c:legendPos val="r"/>
      <c:layout>
        <c:manualLayout>
          <c:xMode val="edge"/>
          <c:yMode val="edge"/>
          <c:x val="0.72258666011837236"/>
          <c:y val="3.9850643345144213E-3"/>
          <c:w val="0.27741333988162775"/>
          <c:h val="0.19643987068629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Project (Task 6).xlsx]Task 6.3.!PivotTable1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Net Followers Growth With Moving Avg </a:t>
            </a:r>
          </a:p>
        </c:rich>
      </c:tx>
      <c:layout>
        <c:manualLayout>
          <c:xMode val="edge"/>
          <c:yMode val="edge"/>
          <c:x val="0.18756361184018663"/>
          <c:y val="2.443280977312390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5688247302421"/>
          <c:y val="0.12596858638743458"/>
          <c:w val="0.85582239720034992"/>
          <c:h val="0.63553805774278216"/>
        </c:manualLayout>
      </c:layout>
      <c:lineChart>
        <c:grouping val="standard"/>
        <c:varyColors val="0"/>
        <c:ser>
          <c:idx val="0"/>
          <c:order val="0"/>
          <c:tx>
            <c:strRef>
              <c:f>'Task 6.3.'!$L$1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'Task 6.3.'!$K$2:$K$52</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6.3.'!$L$2:$L$52</c:f>
              <c:numCache>
                <c:formatCode>#,##0</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val>
          <c:smooth val="0"/>
          <c:extLst>
            <c:ext xmlns:c16="http://schemas.microsoft.com/office/drawing/2014/chart" uri="{C3380CC4-5D6E-409C-BE32-E72D297353CC}">
              <c16:uniqueId val="{00000007-8D6C-4C25-A30C-61A496861EDE}"/>
            </c:ext>
          </c:extLst>
        </c:ser>
        <c:dLbls>
          <c:showLegendKey val="0"/>
          <c:showVal val="0"/>
          <c:showCatName val="0"/>
          <c:showSerName val="0"/>
          <c:showPercent val="0"/>
          <c:showBubbleSize val="0"/>
        </c:dLbls>
        <c:smooth val="0"/>
        <c:axId val="1286966320"/>
        <c:axId val="1286974960"/>
      </c:lineChart>
      <c:catAx>
        <c:axId val="128696632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Week</a:t>
                </a:r>
                <a:r>
                  <a:rPr lang="en-IN" b="1" baseline="0">
                    <a:solidFill>
                      <a:schemeClr val="tx1"/>
                    </a:solidFill>
                  </a:rPr>
                  <a:t> Start Date</a:t>
                </a:r>
              </a:p>
            </c:rich>
          </c:tx>
          <c:layout>
            <c:manualLayout>
              <c:xMode val="edge"/>
              <c:yMode val="edge"/>
              <c:x val="0.34418234179060953"/>
              <c:y val="0.9469283093540008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4960"/>
        <c:crosses val="autoZero"/>
        <c:auto val="1"/>
        <c:lblAlgn val="ctr"/>
        <c:lblOffset val="100"/>
        <c:noMultiLvlLbl val="0"/>
      </c:catAx>
      <c:valAx>
        <c:axId val="12869749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Net</a:t>
                </a:r>
                <a:r>
                  <a:rPr lang="en-IN" b="1" baseline="0">
                    <a:solidFill>
                      <a:schemeClr val="tx1"/>
                    </a:solidFill>
                  </a:rPr>
                  <a:t> Follower Gain</a:t>
                </a:r>
                <a:endParaRPr lang="en-IN" b="1">
                  <a:solidFill>
                    <a:schemeClr val="tx1"/>
                  </a:solidFill>
                </a:endParaRPr>
              </a:p>
            </c:rich>
          </c:tx>
          <c:layout>
            <c:manualLayout>
              <c:xMode val="edge"/>
              <c:yMode val="edge"/>
              <c:x val="2.3148148148148147E-3"/>
              <c:y val="0.336817963199626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6320"/>
        <c:crosses val="autoZero"/>
        <c:crossBetween val="between"/>
      </c:valAx>
      <c:spPr>
        <a:noFill/>
        <a:ln>
          <a:noFill/>
        </a:ln>
        <a:effectLst/>
      </c:spPr>
    </c:plotArea>
    <c:legend>
      <c:legendPos val="r"/>
      <c:layout>
        <c:manualLayout>
          <c:xMode val="edge"/>
          <c:yMode val="edge"/>
          <c:x val="0.7265496500437445"/>
          <c:y val="1.4654189168762084E-3"/>
          <c:w val="0.27345034995625545"/>
          <c:h val="0.11780187162468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baseline="0">
                <a:solidFill>
                  <a:srgbClr val="0E2841"/>
                </a:solidFill>
              </a:rPr>
              <a:t>Correlation -- Ad Spend vs Net Follower Gain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'Task 6.4.'!$N$1</c:f>
              <c:strCache>
                <c:ptCount val="1"/>
                <c:pt idx="0">
                  <c:v>Net Follower Gain</c:v>
                </c:pt>
              </c:strCache>
            </c:strRef>
          </c:tx>
          <c:spPr>
            <a:ln w="38100" cap="rnd">
              <a:noFill/>
              <a:round/>
            </a:ln>
            <a:effectLst/>
          </c:spPr>
          <c:marker>
            <c:symbol val="circle"/>
            <c:size val="5"/>
            <c:spPr>
              <a:solidFill>
                <a:schemeClr val="accent1"/>
              </a:solidFill>
              <a:ln w="9525">
                <a:solidFill>
                  <a:schemeClr val="accent1"/>
                </a:solidFill>
              </a:ln>
              <a:effectLst/>
            </c:spPr>
          </c:marker>
          <c:xVal>
            <c:numRef>
              <c:f>'Task 6.4.'!$M$2:$M$201</c:f>
              <c:numCache>
                <c:formatCode>[$$-409]#,##0</c:formatCode>
                <c:ptCount val="200"/>
                <c:pt idx="0">
                  <c:v>10161</c:v>
                </c:pt>
                <c:pt idx="1">
                  <c:v>10162</c:v>
                </c:pt>
                <c:pt idx="2">
                  <c:v>10541</c:v>
                </c:pt>
                <c:pt idx="3">
                  <c:v>11013</c:v>
                </c:pt>
                <c:pt idx="4">
                  <c:v>11171</c:v>
                </c:pt>
                <c:pt idx="5">
                  <c:v>11431</c:v>
                </c:pt>
                <c:pt idx="6">
                  <c:v>11619</c:v>
                </c:pt>
                <c:pt idx="7">
                  <c:v>11651</c:v>
                </c:pt>
                <c:pt idx="8">
                  <c:v>11828</c:v>
                </c:pt>
                <c:pt idx="9">
                  <c:v>12023</c:v>
                </c:pt>
                <c:pt idx="10">
                  <c:v>12096</c:v>
                </c:pt>
                <c:pt idx="11">
                  <c:v>12539</c:v>
                </c:pt>
                <c:pt idx="12">
                  <c:v>12563</c:v>
                </c:pt>
                <c:pt idx="13">
                  <c:v>12643</c:v>
                </c:pt>
                <c:pt idx="14">
                  <c:v>12839</c:v>
                </c:pt>
                <c:pt idx="15">
                  <c:v>13384</c:v>
                </c:pt>
                <c:pt idx="16">
                  <c:v>13390</c:v>
                </c:pt>
                <c:pt idx="17">
                  <c:v>13471</c:v>
                </c:pt>
                <c:pt idx="18">
                  <c:v>13586</c:v>
                </c:pt>
                <c:pt idx="19">
                  <c:v>15017</c:v>
                </c:pt>
                <c:pt idx="20">
                  <c:v>15105</c:v>
                </c:pt>
                <c:pt idx="21">
                  <c:v>15110</c:v>
                </c:pt>
                <c:pt idx="22">
                  <c:v>15347</c:v>
                </c:pt>
                <c:pt idx="23">
                  <c:v>15432</c:v>
                </c:pt>
                <c:pt idx="24">
                  <c:v>15469</c:v>
                </c:pt>
                <c:pt idx="25">
                  <c:v>15997</c:v>
                </c:pt>
                <c:pt idx="26">
                  <c:v>16256</c:v>
                </c:pt>
                <c:pt idx="27">
                  <c:v>16397</c:v>
                </c:pt>
                <c:pt idx="28">
                  <c:v>16643</c:v>
                </c:pt>
                <c:pt idx="29">
                  <c:v>17531</c:v>
                </c:pt>
                <c:pt idx="30">
                  <c:v>17710</c:v>
                </c:pt>
                <c:pt idx="31">
                  <c:v>17736</c:v>
                </c:pt>
                <c:pt idx="32">
                  <c:v>17896</c:v>
                </c:pt>
                <c:pt idx="33">
                  <c:v>17909</c:v>
                </c:pt>
                <c:pt idx="34">
                  <c:v>17927</c:v>
                </c:pt>
                <c:pt idx="35">
                  <c:v>17999</c:v>
                </c:pt>
                <c:pt idx="36">
                  <c:v>18329</c:v>
                </c:pt>
                <c:pt idx="37">
                  <c:v>18461</c:v>
                </c:pt>
                <c:pt idx="38">
                  <c:v>19067</c:v>
                </c:pt>
                <c:pt idx="39">
                  <c:v>19435</c:v>
                </c:pt>
                <c:pt idx="40">
                  <c:v>19518</c:v>
                </c:pt>
                <c:pt idx="41">
                  <c:v>19557</c:v>
                </c:pt>
                <c:pt idx="42">
                  <c:v>19596</c:v>
                </c:pt>
                <c:pt idx="43">
                  <c:v>19833</c:v>
                </c:pt>
                <c:pt idx="44">
                  <c:v>20028</c:v>
                </c:pt>
                <c:pt idx="45">
                  <c:v>20258</c:v>
                </c:pt>
                <c:pt idx="46">
                  <c:v>20720</c:v>
                </c:pt>
                <c:pt idx="47">
                  <c:v>21005</c:v>
                </c:pt>
                <c:pt idx="48">
                  <c:v>21918</c:v>
                </c:pt>
                <c:pt idx="49">
                  <c:v>21929</c:v>
                </c:pt>
                <c:pt idx="50">
                  <c:v>22087</c:v>
                </c:pt>
                <c:pt idx="51">
                  <c:v>22448</c:v>
                </c:pt>
                <c:pt idx="52">
                  <c:v>22693</c:v>
                </c:pt>
                <c:pt idx="53">
                  <c:v>23109</c:v>
                </c:pt>
                <c:pt idx="54">
                  <c:v>23428</c:v>
                </c:pt>
                <c:pt idx="55">
                  <c:v>23493</c:v>
                </c:pt>
                <c:pt idx="56">
                  <c:v>23944</c:v>
                </c:pt>
                <c:pt idx="57">
                  <c:v>23975</c:v>
                </c:pt>
                <c:pt idx="58">
                  <c:v>24226</c:v>
                </c:pt>
                <c:pt idx="59">
                  <c:v>24289</c:v>
                </c:pt>
                <c:pt idx="60">
                  <c:v>24472</c:v>
                </c:pt>
                <c:pt idx="61">
                  <c:v>24537</c:v>
                </c:pt>
                <c:pt idx="62">
                  <c:v>25078</c:v>
                </c:pt>
                <c:pt idx="63">
                  <c:v>25261</c:v>
                </c:pt>
                <c:pt idx="64">
                  <c:v>25379</c:v>
                </c:pt>
                <c:pt idx="65">
                  <c:v>25379</c:v>
                </c:pt>
                <c:pt idx="66">
                  <c:v>25892</c:v>
                </c:pt>
                <c:pt idx="67">
                  <c:v>26029</c:v>
                </c:pt>
                <c:pt idx="68">
                  <c:v>26044</c:v>
                </c:pt>
                <c:pt idx="69">
                  <c:v>26087</c:v>
                </c:pt>
                <c:pt idx="70">
                  <c:v>26184</c:v>
                </c:pt>
                <c:pt idx="71">
                  <c:v>26370</c:v>
                </c:pt>
                <c:pt idx="72">
                  <c:v>27015</c:v>
                </c:pt>
                <c:pt idx="73">
                  <c:v>27069</c:v>
                </c:pt>
                <c:pt idx="74">
                  <c:v>27073</c:v>
                </c:pt>
                <c:pt idx="75">
                  <c:v>27081</c:v>
                </c:pt>
                <c:pt idx="76">
                  <c:v>27833</c:v>
                </c:pt>
                <c:pt idx="77">
                  <c:v>28284</c:v>
                </c:pt>
                <c:pt idx="78">
                  <c:v>28313</c:v>
                </c:pt>
                <c:pt idx="79">
                  <c:v>28394</c:v>
                </c:pt>
                <c:pt idx="80">
                  <c:v>28509</c:v>
                </c:pt>
                <c:pt idx="81">
                  <c:v>28681</c:v>
                </c:pt>
                <c:pt idx="82">
                  <c:v>28745</c:v>
                </c:pt>
                <c:pt idx="83">
                  <c:v>28994</c:v>
                </c:pt>
                <c:pt idx="84">
                  <c:v>29194</c:v>
                </c:pt>
                <c:pt idx="85">
                  <c:v>29675</c:v>
                </c:pt>
                <c:pt idx="86">
                  <c:v>29715</c:v>
                </c:pt>
                <c:pt idx="87">
                  <c:v>29873</c:v>
                </c:pt>
                <c:pt idx="88">
                  <c:v>30644</c:v>
                </c:pt>
                <c:pt idx="89">
                  <c:v>31621</c:v>
                </c:pt>
                <c:pt idx="90">
                  <c:v>31817</c:v>
                </c:pt>
                <c:pt idx="91">
                  <c:v>32436</c:v>
                </c:pt>
                <c:pt idx="92">
                  <c:v>32669</c:v>
                </c:pt>
                <c:pt idx="93">
                  <c:v>33225</c:v>
                </c:pt>
                <c:pt idx="94">
                  <c:v>33252</c:v>
                </c:pt>
                <c:pt idx="95">
                  <c:v>33284</c:v>
                </c:pt>
                <c:pt idx="96">
                  <c:v>33705</c:v>
                </c:pt>
                <c:pt idx="97">
                  <c:v>33762</c:v>
                </c:pt>
                <c:pt idx="98">
                  <c:v>33928</c:v>
                </c:pt>
                <c:pt idx="99">
                  <c:v>34286</c:v>
                </c:pt>
                <c:pt idx="100">
                  <c:v>34570</c:v>
                </c:pt>
                <c:pt idx="101">
                  <c:v>35051</c:v>
                </c:pt>
                <c:pt idx="102">
                  <c:v>35122</c:v>
                </c:pt>
                <c:pt idx="103">
                  <c:v>35279</c:v>
                </c:pt>
                <c:pt idx="104">
                  <c:v>36201</c:v>
                </c:pt>
                <c:pt idx="105">
                  <c:v>36661</c:v>
                </c:pt>
                <c:pt idx="106">
                  <c:v>37037</c:v>
                </c:pt>
                <c:pt idx="107">
                  <c:v>37386</c:v>
                </c:pt>
                <c:pt idx="108">
                  <c:v>37523</c:v>
                </c:pt>
                <c:pt idx="109">
                  <c:v>37766</c:v>
                </c:pt>
                <c:pt idx="110">
                  <c:v>38047</c:v>
                </c:pt>
                <c:pt idx="111">
                  <c:v>38228</c:v>
                </c:pt>
                <c:pt idx="112">
                  <c:v>38272</c:v>
                </c:pt>
                <c:pt idx="113">
                  <c:v>38731</c:v>
                </c:pt>
                <c:pt idx="114">
                  <c:v>38854</c:v>
                </c:pt>
                <c:pt idx="115">
                  <c:v>39197</c:v>
                </c:pt>
                <c:pt idx="116">
                  <c:v>39252</c:v>
                </c:pt>
                <c:pt idx="117">
                  <c:v>39309</c:v>
                </c:pt>
                <c:pt idx="118">
                  <c:v>39312</c:v>
                </c:pt>
                <c:pt idx="119">
                  <c:v>39411</c:v>
                </c:pt>
                <c:pt idx="120">
                  <c:v>39750</c:v>
                </c:pt>
                <c:pt idx="121">
                  <c:v>40254</c:v>
                </c:pt>
                <c:pt idx="122">
                  <c:v>40268</c:v>
                </c:pt>
                <c:pt idx="123">
                  <c:v>40314</c:v>
                </c:pt>
                <c:pt idx="124">
                  <c:v>40447</c:v>
                </c:pt>
                <c:pt idx="125">
                  <c:v>40508</c:v>
                </c:pt>
                <c:pt idx="126">
                  <c:v>40682</c:v>
                </c:pt>
                <c:pt idx="127">
                  <c:v>41358</c:v>
                </c:pt>
                <c:pt idx="128">
                  <c:v>41703</c:v>
                </c:pt>
                <c:pt idx="129">
                  <c:v>42262</c:v>
                </c:pt>
                <c:pt idx="130">
                  <c:v>42373</c:v>
                </c:pt>
                <c:pt idx="131">
                  <c:v>42591</c:v>
                </c:pt>
                <c:pt idx="132">
                  <c:v>42972</c:v>
                </c:pt>
                <c:pt idx="133">
                  <c:v>43598</c:v>
                </c:pt>
                <c:pt idx="134">
                  <c:v>43787</c:v>
                </c:pt>
                <c:pt idx="135">
                  <c:v>43848</c:v>
                </c:pt>
                <c:pt idx="136">
                  <c:v>43937</c:v>
                </c:pt>
                <c:pt idx="137">
                  <c:v>44051</c:v>
                </c:pt>
                <c:pt idx="138">
                  <c:v>44501</c:v>
                </c:pt>
                <c:pt idx="139">
                  <c:v>44521</c:v>
                </c:pt>
                <c:pt idx="140">
                  <c:v>44546</c:v>
                </c:pt>
                <c:pt idx="141">
                  <c:v>44742</c:v>
                </c:pt>
                <c:pt idx="142">
                  <c:v>44782</c:v>
                </c:pt>
                <c:pt idx="143">
                  <c:v>44865</c:v>
                </c:pt>
                <c:pt idx="144">
                  <c:v>44947</c:v>
                </c:pt>
                <c:pt idx="145">
                  <c:v>45525</c:v>
                </c:pt>
                <c:pt idx="146">
                  <c:v>46060</c:v>
                </c:pt>
                <c:pt idx="147">
                  <c:v>46727</c:v>
                </c:pt>
                <c:pt idx="148">
                  <c:v>46727</c:v>
                </c:pt>
                <c:pt idx="149">
                  <c:v>46751</c:v>
                </c:pt>
                <c:pt idx="150">
                  <c:v>46768</c:v>
                </c:pt>
                <c:pt idx="151">
                  <c:v>47051</c:v>
                </c:pt>
                <c:pt idx="152">
                  <c:v>47481</c:v>
                </c:pt>
                <c:pt idx="153">
                  <c:v>47766</c:v>
                </c:pt>
                <c:pt idx="154">
                  <c:v>47804</c:v>
                </c:pt>
                <c:pt idx="155">
                  <c:v>47861</c:v>
                </c:pt>
                <c:pt idx="156">
                  <c:v>48019</c:v>
                </c:pt>
                <c:pt idx="157">
                  <c:v>48328</c:v>
                </c:pt>
                <c:pt idx="158">
                  <c:v>48356</c:v>
                </c:pt>
                <c:pt idx="159">
                  <c:v>48659</c:v>
                </c:pt>
                <c:pt idx="160">
                  <c:v>49110</c:v>
                </c:pt>
                <c:pt idx="161">
                  <c:v>50372</c:v>
                </c:pt>
                <c:pt idx="162">
                  <c:v>50785</c:v>
                </c:pt>
                <c:pt idx="163">
                  <c:v>51796</c:v>
                </c:pt>
                <c:pt idx="164">
                  <c:v>51800</c:v>
                </c:pt>
                <c:pt idx="165">
                  <c:v>51903</c:v>
                </c:pt>
                <c:pt idx="166">
                  <c:v>52003</c:v>
                </c:pt>
                <c:pt idx="167">
                  <c:v>52092</c:v>
                </c:pt>
                <c:pt idx="168">
                  <c:v>52821</c:v>
                </c:pt>
                <c:pt idx="169">
                  <c:v>52845</c:v>
                </c:pt>
                <c:pt idx="170">
                  <c:v>52963</c:v>
                </c:pt>
                <c:pt idx="171">
                  <c:v>53363</c:v>
                </c:pt>
                <c:pt idx="172">
                  <c:v>53543</c:v>
                </c:pt>
                <c:pt idx="173">
                  <c:v>53590</c:v>
                </c:pt>
                <c:pt idx="174">
                  <c:v>53619</c:v>
                </c:pt>
                <c:pt idx="175">
                  <c:v>53922</c:v>
                </c:pt>
                <c:pt idx="176">
                  <c:v>53934</c:v>
                </c:pt>
                <c:pt idx="177">
                  <c:v>54848</c:v>
                </c:pt>
                <c:pt idx="178">
                  <c:v>55253</c:v>
                </c:pt>
                <c:pt idx="179">
                  <c:v>55603</c:v>
                </c:pt>
                <c:pt idx="180">
                  <c:v>55657</c:v>
                </c:pt>
                <c:pt idx="181">
                  <c:v>55951</c:v>
                </c:pt>
                <c:pt idx="182">
                  <c:v>56026</c:v>
                </c:pt>
                <c:pt idx="183">
                  <c:v>56698</c:v>
                </c:pt>
                <c:pt idx="184">
                  <c:v>56850</c:v>
                </c:pt>
                <c:pt idx="185">
                  <c:v>56907</c:v>
                </c:pt>
                <c:pt idx="186">
                  <c:v>57299</c:v>
                </c:pt>
                <c:pt idx="187">
                  <c:v>57639</c:v>
                </c:pt>
                <c:pt idx="188">
                  <c:v>58201</c:v>
                </c:pt>
                <c:pt idx="189">
                  <c:v>58330</c:v>
                </c:pt>
                <c:pt idx="190">
                  <c:v>58709</c:v>
                </c:pt>
                <c:pt idx="191">
                  <c:v>58831</c:v>
                </c:pt>
                <c:pt idx="192">
                  <c:v>58868</c:v>
                </c:pt>
                <c:pt idx="193">
                  <c:v>58998</c:v>
                </c:pt>
                <c:pt idx="194">
                  <c:v>59378</c:v>
                </c:pt>
                <c:pt idx="195">
                  <c:v>59733</c:v>
                </c:pt>
                <c:pt idx="196">
                  <c:v>59745</c:v>
                </c:pt>
                <c:pt idx="197">
                  <c:v>59811</c:v>
                </c:pt>
                <c:pt idx="198">
                  <c:v>59815</c:v>
                </c:pt>
                <c:pt idx="199">
                  <c:v>59823</c:v>
                </c:pt>
              </c:numCache>
            </c:numRef>
          </c:xVal>
          <c:yVal>
            <c:numRef>
              <c:f>'Task 6.4.'!$N$2:$N$201</c:f>
              <c:numCache>
                <c:formatCode>#,##0</c:formatCode>
                <c:ptCount val="200"/>
                <c:pt idx="0">
                  <c:v>4356</c:v>
                </c:pt>
                <c:pt idx="1">
                  <c:v>6380</c:v>
                </c:pt>
                <c:pt idx="2">
                  <c:v>6121</c:v>
                </c:pt>
                <c:pt idx="3">
                  <c:v>3202</c:v>
                </c:pt>
                <c:pt idx="4">
                  <c:v>6425</c:v>
                </c:pt>
                <c:pt idx="5">
                  <c:v>6677</c:v>
                </c:pt>
                <c:pt idx="6">
                  <c:v>8642</c:v>
                </c:pt>
                <c:pt idx="7">
                  <c:v>4147</c:v>
                </c:pt>
                <c:pt idx="8">
                  <c:v>1918</c:v>
                </c:pt>
                <c:pt idx="9">
                  <c:v>7092</c:v>
                </c:pt>
                <c:pt idx="10">
                  <c:v>8200</c:v>
                </c:pt>
                <c:pt idx="11">
                  <c:v>7555</c:v>
                </c:pt>
                <c:pt idx="12">
                  <c:v>3445</c:v>
                </c:pt>
                <c:pt idx="13">
                  <c:v>4189</c:v>
                </c:pt>
                <c:pt idx="14">
                  <c:v>1001</c:v>
                </c:pt>
                <c:pt idx="15">
                  <c:v>8518</c:v>
                </c:pt>
                <c:pt idx="16">
                  <c:v>6593</c:v>
                </c:pt>
                <c:pt idx="17">
                  <c:v>5206</c:v>
                </c:pt>
                <c:pt idx="18">
                  <c:v>3497</c:v>
                </c:pt>
                <c:pt idx="19">
                  <c:v>8527</c:v>
                </c:pt>
                <c:pt idx="20">
                  <c:v>2919</c:v>
                </c:pt>
                <c:pt idx="21">
                  <c:v>7452</c:v>
                </c:pt>
                <c:pt idx="22">
                  <c:v>9044</c:v>
                </c:pt>
                <c:pt idx="23">
                  <c:v>2067</c:v>
                </c:pt>
                <c:pt idx="24">
                  <c:v>8361</c:v>
                </c:pt>
                <c:pt idx="25">
                  <c:v>8228</c:v>
                </c:pt>
                <c:pt idx="26">
                  <c:v>1543</c:v>
                </c:pt>
                <c:pt idx="27">
                  <c:v>5402</c:v>
                </c:pt>
                <c:pt idx="28">
                  <c:v>7033</c:v>
                </c:pt>
                <c:pt idx="29">
                  <c:v>5428</c:v>
                </c:pt>
                <c:pt idx="30">
                  <c:v>8128</c:v>
                </c:pt>
                <c:pt idx="31">
                  <c:v>3805</c:v>
                </c:pt>
                <c:pt idx="32">
                  <c:v>2535</c:v>
                </c:pt>
                <c:pt idx="33">
                  <c:v>6236</c:v>
                </c:pt>
                <c:pt idx="34">
                  <c:v>5990</c:v>
                </c:pt>
                <c:pt idx="35">
                  <c:v>4314</c:v>
                </c:pt>
                <c:pt idx="36">
                  <c:v>6469</c:v>
                </c:pt>
                <c:pt idx="37">
                  <c:v>7432</c:v>
                </c:pt>
                <c:pt idx="38">
                  <c:v>1290</c:v>
                </c:pt>
                <c:pt idx="39">
                  <c:v>9125</c:v>
                </c:pt>
                <c:pt idx="40">
                  <c:v>3011</c:v>
                </c:pt>
                <c:pt idx="41">
                  <c:v>6029</c:v>
                </c:pt>
                <c:pt idx="42">
                  <c:v>4885</c:v>
                </c:pt>
                <c:pt idx="43">
                  <c:v>3555</c:v>
                </c:pt>
                <c:pt idx="44">
                  <c:v>8487</c:v>
                </c:pt>
                <c:pt idx="45">
                  <c:v>4942</c:v>
                </c:pt>
                <c:pt idx="46">
                  <c:v>2832</c:v>
                </c:pt>
                <c:pt idx="47">
                  <c:v>5071</c:v>
                </c:pt>
                <c:pt idx="48">
                  <c:v>7058</c:v>
                </c:pt>
                <c:pt idx="49">
                  <c:v>2926</c:v>
                </c:pt>
                <c:pt idx="50">
                  <c:v>6073</c:v>
                </c:pt>
                <c:pt idx="51">
                  <c:v>6439</c:v>
                </c:pt>
                <c:pt idx="52">
                  <c:v>7442</c:v>
                </c:pt>
                <c:pt idx="53">
                  <c:v>3586</c:v>
                </c:pt>
                <c:pt idx="54">
                  <c:v>2084</c:v>
                </c:pt>
                <c:pt idx="55">
                  <c:v>7654</c:v>
                </c:pt>
                <c:pt idx="56">
                  <c:v>3777</c:v>
                </c:pt>
                <c:pt idx="57">
                  <c:v>7958</c:v>
                </c:pt>
                <c:pt idx="58">
                  <c:v>8231</c:v>
                </c:pt>
                <c:pt idx="59">
                  <c:v>6368</c:v>
                </c:pt>
                <c:pt idx="60">
                  <c:v>4882</c:v>
                </c:pt>
                <c:pt idx="61">
                  <c:v>1826</c:v>
                </c:pt>
                <c:pt idx="62">
                  <c:v>7471</c:v>
                </c:pt>
                <c:pt idx="63">
                  <c:v>1020</c:v>
                </c:pt>
                <c:pt idx="64">
                  <c:v>7215</c:v>
                </c:pt>
                <c:pt idx="65">
                  <c:v>9082</c:v>
                </c:pt>
                <c:pt idx="66">
                  <c:v>1567</c:v>
                </c:pt>
                <c:pt idx="67">
                  <c:v>1513</c:v>
                </c:pt>
                <c:pt idx="68">
                  <c:v>4027</c:v>
                </c:pt>
                <c:pt idx="69">
                  <c:v>2543</c:v>
                </c:pt>
                <c:pt idx="70">
                  <c:v>7565</c:v>
                </c:pt>
                <c:pt idx="71">
                  <c:v>6275</c:v>
                </c:pt>
                <c:pt idx="72">
                  <c:v>2081</c:v>
                </c:pt>
                <c:pt idx="73">
                  <c:v>7260</c:v>
                </c:pt>
                <c:pt idx="74">
                  <c:v>6434</c:v>
                </c:pt>
                <c:pt idx="75">
                  <c:v>5678</c:v>
                </c:pt>
                <c:pt idx="76">
                  <c:v>3592</c:v>
                </c:pt>
                <c:pt idx="77">
                  <c:v>3461</c:v>
                </c:pt>
                <c:pt idx="78">
                  <c:v>5442</c:v>
                </c:pt>
                <c:pt idx="79">
                  <c:v>3056</c:v>
                </c:pt>
                <c:pt idx="80">
                  <c:v>1017</c:v>
                </c:pt>
                <c:pt idx="81">
                  <c:v>6272</c:v>
                </c:pt>
                <c:pt idx="82">
                  <c:v>2805</c:v>
                </c:pt>
                <c:pt idx="83">
                  <c:v>4790</c:v>
                </c:pt>
                <c:pt idx="84">
                  <c:v>4808</c:v>
                </c:pt>
                <c:pt idx="85">
                  <c:v>6631</c:v>
                </c:pt>
                <c:pt idx="86">
                  <c:v>8601</c:v>
                </c:pt>
                <c:pt idx="87">
                  <c:v>7432</c:v>
                </c:pt>
                <c:pt idx="88">
                  <c:v>7959</c:v>
                </c:pt>
                <c:pt idx="89">
                  <c:v>7921</c:v>
                </c:pt>
                <c:pt idx="90">
                  <c:v>7224</c:v>
                </c:pt>
                <c:pt idx="91">
                  <c:v>6174</c:v>
                </c:pt>
                <c:pt idx="92">
                  <c:v>5210</c:v>
                </c:pt>
                <c:pt idx="93">
                  <c:v>5795</c:v>
                </c:pt>
                <c:pt idx="94">
                  <c:v>2525</c:v>
                </c:pt>
                <c:pt idx="95">
                  <c:v>949</c:v>
                </c:pt>
                <c:pt idx="96">
                  <c:v>7151</c:v>
                </c:pt>
                <c:pt idx="97">
                  <c:v>6728</c:v>
                </c:pt>
                <c:pt idx="98">
                  <c:v>7871</c:v>
                </c:pt>
                <c:pt idx="99">
                  <c:v>3435</c:v>
                </c:pt>
                <c:pt idx="100">
                  <c:v>6642</c:v>
                </c:pt>
                <c:pt idx="101">
                  <c:v>7767</c:v>
                </c:pt>
                <c:pt idx="102">
                  <c:v>1210</c:v>
                </c:pt>
                <c:pt idx="103">
                  <c:v>8377</c:v>
                </c:pt>
                <c:pt idx="104">
                  <c:v>7668</c:v>
                </c:pt>
                <c:pt idx="105">
                  <c:v>1381</c:v>
                </c:pt>
                <c:pt idx="106">
                  <c:v>5439</c:v>
                </c:pt>
                <c:pt idx="107">
                  <c:v>7115</c:v>
                </c:pt>
                <c:pt idx="108">
                  <c:v>7005</c:v>
                </c:pt>
                <c:pt idx="109">
                  <c:v>1741</c:v>
                </c:pt>
                <c:pt idx="110">
                  <c:v>8723</c:v>
                </c:pt>
                <c:pt idx="111">
                  <c:v>7025</c:v>
                </c:pt>
                <c:pt idx="112">
                  <c:v>5143</c:v>
                </c:pt>
                <c:pt idx="113">
                  <c:v>5303</c:v>
                </c:pt>
                <c:pt idx="114">
                  <c:v>5698</c:v>
                </c:pt>
                <c:pt idx="115">
                  <c:v>3213</c:v>
                </c:pt>
                <c:pt idx="116">
                  <c:v>1367</c:v>
                </c:pt>
                <c:pt idx="117">
                  <c:v>1534</c:v>
                </c:pt>
                <c:pt idx="118">
                  <c:v>7346</c:v>
                </c:pt>
                <c:pt idx="119">
                  <c:v>7704</c:v>
                </c:pt>
                <c:pt idx="120">
                  <c:v>6853</c:v>
                </c:pt>
                <c:pt idx="121">
                  <c:v>1469</c:v>
                </c:pt>
                <c:pt idx="122">
                  <c:v>3179</c:v>
                </c:pt>
                <c:pt idx="123">
                  <c:v>2848</c:v>
                </c:pt>
                <c:pt idx="124">
                  <c:v>7218</c:v>
                </c:pt>
                <c:pt idx="125">
                  <c:v>7367</c:v>
                </c:pt>
                <c:pt idx="126">
                  <c:v>8319</c:v>
                </c:pt>
                <c:pt idx="127">
                  <c:v>7849</c:v>
                </c:pt>
                <c:pt idx="128">
                  <c:v>7436</c:v>
                </c:pt>
                <c:pt idx="129">
                  <c:v>1425</c:v>
                </c:pt>
                <c:pt idx="130">
                  <c:v>7630</c:v>
                </c:pt>
                <c:pt idx="131">
                  <c:v>4245</c:v>
                </c:pt>
                <c:pt idx="132">
                  <c:v>7509</c:v>
                </c:pt>
                <c:pt idx="133">
                  <c:v>6201</c:v>
                </c:pt>
                <c:pt idx="134">
                  <c:v>6918</c:v>
                </c:pt>
                <c:pt idx="135">
                  <c:v>7733</c:v>
                </c:pt>
                <c:pt idx="136">
                  <c:v>2421</c:v>
                </c:pt>
                <c:pt idx="137">
                  <c:v>6452</c:v>
                </c:pt>
                <c:pt idx="138">
                  <c:v>4942</c:v>
                </c:pt>
                <c:pt idx="139">
                  <c:v>1121</c:v>
                </c:pt>
                <c:pt idx="140">
                  <c:v>4934</c:v>
                </c:pt>
                <c:pt idx="141">
                  <c:v>5962</c:v>
                </c:pt>
                <c:pt idx="142">
                  <c:v>2994</c:v>
                </c:pt>
                <c:pt idx="143">
                  <c:v>8485</c:v>
                </c:pt>
                <c:pt idx="144">
                  <c:v>8654</c:v>
                </c:pt>
                <c:pt idx="145">
                  <c:v>3929</c:v>
                </c:pt>
                <c:pt idx="146">
                  <c:v>6039</c:v>
                </c:pt>
                <c:pt idx="147">
                  <c:v>6920</c:v>
                </c:pt>
                <c:pt idx="148">
                  <c:v>5456</c:v>
                </c:pt>
                <c:pt idx="149">
                  <c:v>7478</c:v>
                </c:pt>
                <c:pt idx="150">
                  <c:v>4542</c:v>
                </c:pt>
                <c:pt idx="151">
                  <c:v>3643</c:v>
                </c:pt>
                <c:pt idx="152">
                  <c:v>5101</c:v>
                </c:pt>
                <c:pt idx="153">
                  <c:v>8979</c:v>
                </c:pt>
                <c:pt idx="154">
                  <c:v>7974</c:v>
                </c:pt>
                <c:pt idx="155">
                  <c:v>2199</c:v>
                </c:pt>
                <c:pt idx="156">
                  <c:v>8653</c:v>
                </c:pt>
                <c:pt idx="157">
                  <c:v>6128</c:v>
                </c:pt>
                <c:pt idx="158">
                  <c:v>3224</c:v>
                </c:pt>
                <c:pt idx="159">
                  <c:v>7429</c:v>
                </c:pt>
                <c:pt idx="160">
                  <c:v>1512</c:v>
                </c:pt>
                <c:pt idx="161">
                  <c:v>8123</c:v>
                </c:pt>
                <c:pt idx="162">
                  <c:v>9335</c:v>
                </c:pt>
                <c:pt idx="163">
                  <c:v>6384</c:v>
                </c:pt>
                <c:pt idx="164">
                  <c:v>4852</c:v>
                </c:pt>
                <c:pt idx="165">
                  <c:v>3096</c:v>
                </c:pt>
                <c:pt idx="166">
                  <c:v>6430</c:v>
                </c:pt>
                <c:pt idx="167">
                  <c:v>2495</c:v>
                </c:pt>
                <c:pt idx="168">
                  <c:v>4216</c:v>
                </c:pt>
                <c:pt idx="169">
                  <c:v>1369</c:v>
                </c:pt>
                <c:pt idx="170">
                  <c:v>7328</c:v>
                </c:pt>
                <c:pt idx="171">
                  <c:v>3079</c:v>
                </c:pt>
                <c:pt idx="172">
                  <c:v>6915</c:v>
                </c:pt>
                <c:pt idx="173">
                  <c:v>5796</c:v>
                </c:pt>
                <c:pt idx="174">
                  <c:v>7421</c:v>
                </c:pt>
                <c:pt idx="175">
                  <c:v>5520</c:v>
                </c:pt>
                <c:pt idx="176">
                  <c:v>3925</c:v>
                </c:pt>
                <c:pt idx="177">
                  <c:v>1876</c:v>
                </c:pt>
                <c:pt idx="178">
                  <c:v>6003</c:v>
                </c:pt>
                <c:pt idx="179">
                  <c:v>3420</c:v>
                </c:pt>
                <c:pt idx="180">
                  <c:v>5220</c:v>
                </c:pt>
                <c:pt idx="181">
                  <c:v>893</c:v>
                </c:pt>
                <c:pt idx="182">
                  <c:v>5478</c:v>
                </c:pt>
                <c:pt idx="183">
                  <c:v>8945</c:v>
                </c:pt>
                <c:pt idx="184">
                  <c:v>6052</c:v>
                </c:pt>
                <c:pt idx="185">
                  <c:v>6361</c:v>
                </c:pt>
                <c:pt idx="186">
                  <c:v>1660</c:v>
                </c:pt>
                <c:pt idx="187">
                  <c:v>8463</c:v>
                </c:pt>
                <c:pt idx="188">
                  <c:v>4214</c:v>
                </c:pt>
                <c:pt idx="189">
                  <c:v>5491</c:v>
                </c:pt>
                <c:pt idx="190">
                  <c:v>9254</c:v>
                </c:pt>
                <c:pt idx="191">
                  <c:v>1309</c:v>
                </c:pt>
                <c:pt idx="192">
                  <c:v>4847</c:v>
                </c:pt>
                <c:pt idx="193">
                  <c:v>8632</c:v>
                </c:pt>
                <c:pt idx="194">
                  <c:v>2726</c:v>
                </c:pt>
                <c:pt idx="195">
                  <c:v>8292</c:v>
                </c:pt>
                <c:pt idx="196">
                  <c:v>5753</c:v>
                </c:pt>
                <c:pt idx="197">
                  <c:v>8360</c:v>
                </c:pt>
                <c:pt idx="198">
                  <c:v>9118</c:v>
                </c:pt>
                <c:pt idx="199">
                  <c:v>4788</c:v>
                </c:pt>
              </c:numCache>
            </c:numRef>
          </c:yVal>
          <c:smooth val="0"/>
          <c:extLst>
            <c:ext xmlns:c16="http://schemas.microsoft.com/office/drawing/2014/chart" uri="{C3380CC4-5D6E-409C-BE32-E72D297353CC}">
              <c16:uniqueId val="{00000000-A960-46F9-8557-77E19639C4E7}"/>
            </c:ext>
          </c:extLst>
        </c:ser>
        <c:dLbls>
          <c:showLegendKey val="0"/>
          <c:showVal val="0"/>
          <c:showCatName val="0"/>
          <c:showSerName val="0"/>
          <c:showPercent val="0"/>
          <c:showBubbleSize val="0"/>
        </c:dLbls>
        <c:axId val="2135621631"/>
        <c:axId val="2135627871"/>
      </c:scatterChart>
      <c:valAx>
        <c:axId val="213562163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r>
                  <a:rPr lang="en-IN" sz="1000" b="1" i="0" u="none" strike="noStrike" kern="1200" baseline="0">
                    <a:solidFill>
                      <a:schemeClr val="tx1"/>
                    </a:solidFill>
                    <a:latin typeface="+mn-lt"/>
                    <a:ea typeface="+mn-ea"/>
                    <a:cs typeface="+mn-cs"/>
                  </a:rPr>
                  <a:t>Ad Spend</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chemeClr val="tx1"/>
                  </a:solidFill>
                  <a:latin typeface="+mn-lt"/>
                  <a:ea typeface="+mn-ea"/>
                  <a:cs typeface="+mn-cs"/>
                </a:defRPr>
              </a:pPr>
              <a:endParaRPr lang="en-US"/>
            </a:p>
          </c:txPr>
        </c:title>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627871"/>
        <c:crosses val="autoZero"/>
        <c:crossBetween val="midCat"/>
      </c:valAx>
      <c:valAx>
        <c:axId val="21356278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Net</a:t>
                </a:r>
                <a:r>
                  <a:rPr lang="en-IN" b="1" baseline="0">
                    <a:solidFill>
                      <a:schemeClr val="tx1"/>
                    </a:solidFill>
                  </a:rPr>
                  <a:t> Follower Gain</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6216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Correlation -- Ad Spend vs Follower Growth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'Task 6.4'!$E$4:$E$201</c:f>
              <c:numCache>
                <c:formatCode>[$$-409]#,##0</c:formatCode>
                <c:ptCount val="198"/>
                <c:pt idx="0">
                  <c:v>10161</c:v>
                </c:pt>
                <c:pt idx="1">
                  <c:v>10162</c:v>
                </c:pt>
                <c:pt idx="2">
                  <c:v>10541</c:v>
                </c:pt>
                <c:pt idx="3">
                  <c:v>11013</c:v>
                </c:pt>
                <c:pt idx="4">
                  <c:v>11171</c:v>
                </c:pt>
                <c:pt idx="5">
                  <c:v>11431</c:v>
                </c:pt>
                <c:pt idx="6">
                  <c:v>11619</c:v>
                </c:pt>
                <c:pt idx="7">
                  <c:v>11651</c:v>
                </c:pt>
                <c:pt idx="8">
                  <c:v>11828</c:v>
                </c:pt>
                <c:pt idx="9">
                  <c:v>12023</c:v>
                </c:pt>
                <c:pt idx="10">
                  <c:v>12096</c:v>
                </c:pt>
                <c:pt idx="11">
                  <c:v>12539</c:v>
                </c:pt>
                <c:pt idx="12">
                  <c:v>12563</c:v>
                </c:pt>
                <c:pt idx="13">
                  <c:v>12643</c:v>
                </c:pt>
                <c:pt idx="14">
                  <c:v>12839</c:v>
                </c:pt>
                <c:pt idx="15">
                  <c:v>13384</c:v>
                </c:pt>
                <c:pt idx="16">
                  <c:v>13390</c:v>
                </c:pt>
                <c:pt idx="17">
                  <c:v>13471</c:v>
                </c:pt>
                <c:pt idx="18">
                  <c:v>13586</c:v>
                </c:pt>
                <c:pt idx="19">
                  <c:v>15017</c:v>
                </c:pt>
                <c:pt idx="20">
                  <c:v>15105</c:v>
                </c:pt>
                <c:pt idx="21">
                  <c:v>15110</c:v>
                </c:pt>
                <c:pt idx="22">
                  <c:v>15347</c:v>
                </c:pt>
                <c:pt idx="23">
                  <c:v>15432</c:v>
                </c:pt>
                <c:pt idx="24">
                  <c:v>15469</c:v>
                </c:pt>
                <c:pt idx="25">
                  <c:v>15997</c:v>
                </c:pt>
                <c:pt idx="26">
                  <c:v>16256</c:v>
                </c:pt>
                <c:pt idx="27">
                  <c:v>16397</c:v>
                </c:pt>
                <c:pt idx="28">
                  <c:v>16643</c:v>
                </c:pt>
                <c:pt idx="29">
                  <c:v>17531</c:v>
                </c:pt>
                <c:pt idx="30">
                  <c:v>17710</c:v>
                </c:pt>
                <c:pt idx="31">
                  <c:v>17736</c:v>
                </c:pt>
                <c:pt idx="32">
                  <c:v>17896</c:v>
                </c:pt>
                <c:pt idx="33">
                  <c:v>17909</c:v>
                </c:pt>
                <c:pt idx="34">
                  <c:v>17927</c:v>
                </c:pt>
                <c:pt idx="35">
                  <c:v>17999</c:v>
                </c:pt>
                <c:pt idx="36">
                  <c:v>18329</c:v>
                </c:pt>
                <c:pt idx="37">
                  <c:v>18461</c:v>
                </c:pt>
                <c:pt idx="38">
                  <c:v>19067</c:v>
                </c:pt>
                <c:pt idx="39">
                  <c:v>19435</c:v>
                </c:pt>
                <c:pt idx="40">
                  <c:v>19518</c:v>
                </c:pt>
                <c:pt idx="41">
                  <c:v>19557</c:v>
                </c:pt>
                <c:pt idx="42">
                  <c:v>19596</c:v>
                </c:pt>
                <c:pt idx="43">
                  <c:v>19833</c:v>
                </c:pt>
                <c:pt idx="44">
                  <c:v>20028</c:v>
                </c:pt>
                <c:pt idx="45">
                  <c:v>20258</c:v>
                </c:pt>
                <c:pt idx="46">
                  <c:v>20720</c:v>
                </c:pt>
                <c:pt idx="47">
                  <c:v>21005</c:v>
                </c:pt>
                <c:pt idx="48">
                  <c:v>21918</c:v>
                </c:pt>
                <c:pt idx="49">
                  <c:v>21929</c:v>
                </c:pt>
                <c:pt idx="50">
                  <c:v>22087</c:v>
                </c:pt>
                <c:pt idx="51">
                  <c:v>22448</c:v>
                </c:pt>
                <c:pt idx="52">
                  <c:v>22693</c:v>
                </c:pt>
                <c:pt idx="53">
                  <c:v>23109</c:v>
                </c:pt>
                <c:pt idx="54">
                  <c:v>23428</c:v>
                </c:pt>
                <c:pt idx="55">
                  <c:v>23493</c:v>
                </c:pt>
                <c:pt idx="56">
                  <c:v>23944</c:v>
                </c:pt>
                <c:pt idx="57">
                  <c:v>23975</c:v>
                </c:pt>
                <c:pt idx="58">
                  <c:v>24226</c:v>
                </c:pt>
                <c:pt idx="59">
                  <c:v>24289</c:v>
                </c:pt>
                <c:pt idx="60">
                  <c:v>24472</c:v>
                </c:pt>
                <c:pt idx="61">
                  <c:v>24537</c:v>
                </c:pt>
                <c:pt idx="62">
                  <c:v>25078</c:v>
                </c:pt>
                <c:pt idx="63">
                  <c:v>25261</c:v>
                </c:pt>
                <c:pt idx="64">
                  <c:v>25379</c:v>
                </c:pt>
                <c:pt idx="65">
                  <c:v>25892</c:v>
                </c:pt>
                <c:pt idx="66">
                  <c:v>26029</c:v>
                </c:pt>
                <c:pt idx="67">
                  <c:v>26044</c:v>
                </c:pt>
                <c:pt idx="68">
                  <c:v>26087</c:v>
                </c:pt>
                <c:pt idx="69">
                  <c:v>26184</c:v>
                </c:pt>
                <c:pt idx="70">
                  <c:v>26370</c:v>
                </c:pt>
                <c:pt idx="71">
                  <c:v>27015</c:v>
                </c:pt>
                <c:pt idx="72">
                  <c:v>27069</c:v>
                </c:pt>
                <c:pt idx="73">
                  <c:v>27073</c:v>
                </c:pt>
                <c:pt idx="74">
                  <c:v>27081</c:v>
                </c:pt>
                <c:pt idx="75">
                  <c:v>27833</c:v>
                </c:pt>
                <c:pt idx="76">
                  <c:v>28284</c:v>
                </c:pt>
                <c:pt idx="77">
                  <c:v>28313</c:v>
                </c:pt>
                <c:pt idx="78">
                  <c:v>28394</c:v>
                </c:pt>
                <c:pt idx="79">
                  <c:v>28509</c:v>
                </c:pt>
                <c:pt idx="80">
                  <c:v>28681</c:v>
                </c:pt>
                <c:pt idx="81">
                  <c:v>28745</c:v>
                </c:pt>
                <c:pt idx="82">
                  <c:v>28994</c:v>
                </c:pt>
                <c:pt idx="83">
                  <c:v>29194</c:v>
                </c:pt>
                <c:pt idx="84">
                  <c:v>29675</c:v>
                </c:pt>
                <c:pt idx="85">
                  <c:v>29715</c:v>
                </c:pt>
                <c:pt idx="86">
                  <c:v>29873</c:v>
                </c:pt>
                <c:pt idx="87">
                  <c:v>30644</c:v>
                </c:pt>
                <c:pt idx="88">
                  <c:v>31621</c:v>
                </c:pt>
                <c:pt idx="89">
                  <c:v>31817</c:v>
                </c:pt>
                <c:pt idx="90">
                  <c:v>32436</c:v>
                </c:pt>
                <c:pt idx="91">
                  <c:v>32669</c:v>
                </c:pt>
                <c:pt idx="92">
                  <c:v>33225</c:v>
                </c:pt>
                <c:pt idx="93">
                  <c:v>33252</c:v>
                </c:pt>
                <c:pt idx="94">
                  <c:v>33284</c:v>
                </c:pt>
                <c:pt idx="95">
                  <c:v>33705</c:v>
                </c:pt>
                <c:pt idx="96">
                  <c:v>33762</c:v>
                </c:pt>
                <c:pt idx="97">
                  <c:v>33928</c:v>
                </c:pt>
                <c:pt idx="98">
                  <c:v>34286</c:v>
                </c:pt>
                <c:pt idx="99">
                  <c:v>34570</c:v>
                </c:pt>
                <c:pt idx="100">
                  <c:v>35051</c:v>
                </c:pt>
                <c:pt idx="101">
                  <c:v>35122</c:v>
                </c:pt>
                <c:pt idx="102">
                  <c:v>35279</c:v>
                </c:pt>
                <c:pt idx="103">
                  <c:v>36201</c:v>
                </c:pt>
                <c:pt idx="104">
                  <c:v>36661</c:v>
                </c:pt>
                <c:pt idx="105">
                  <c:v>37037</c:v>
                </c:pt>
                <c:pt idx="106">
                  <c:v>37386</c:v>
                </c:pt>
                <c:pt idx="107">
                  <c:v>37523</c:v>
                </c:pt>
                <c:pt idx="108">
                  <c:v>37766</c:v>
                </c:pt>
                <c:pt idx="109">
                  <c:v>38047</c:v>
                </c:pt>
                <c:pt idx="110">
                  <c:v>38228</c:v>
                </c:pt>
                <c:pt idx="111">
                  <c:v>38272</c:v>
                </c:pt>
                <c:pt idx="112">
                  <c:v>38731</c:v>
                </c:pt>
                <c:pt idx="113">
                  <c:v>38854</c:v>
                </c:pt>
                <c:pt idx="114">
                  <c:v>39197</c:v>
                </c:pt>
                <c:pt idx="115">
                  <c:v>39252</c:v>
                </c:pt>
                <c:pt idx="116">
                  <c:v>39309</c:v>
                </c:pt>
                <c:pt idx="117">
                  <c:v>39312</c:v>
                </c:pt>
                <c:pt idx="118">
                  <c:v>39411</c:v>
                </c:pt>
                <c:pt idx="119">
                  <c:v>39750</c:v>
                </c:pt>
                <c:pt idx="120">
                  <c:v>40254</c:v>
                </c:pt>
                <c:pt idx="121">
                  <c:v>40268</c:v>
                </c:pt>
                <c:pt idx="122">
                  <c:v>40314</c:v>
                </c:pt>
                <c:pt idx="123">
                  <c:v>40447</c:v>
                </c:pt>
                <c:pt idx="124">
                  <c:v>40508</c:v>
                </c:pt>
                <c:pt idx="125">
                  <c:v>40682</c:v>
                </c:pt>
                <c:pt idx="126">
                  <c:v>41358</c:v>
                </c:pt>
                <c:pt idx="127">
                  <c:v>41703</c:v>
                </c:pt>
                <c:pt idx="128">
                  <c:v>42262</c:v>
                </c:pt>
                <c:pt idx="129">
                  <c:v>42373</c:v>
                </c:pt>
                <c:pt idx="130">
                  <c:v>42591</c:v>
                </c:pt>
                <c:pt idx="131">
                  <c:v>42972</c:v>
                </c:pt>
                <c:pt idx="132">
                  <c:v>43598</c:v>
                </c:pt>
                <c:pt idx="133">
                  <c:v>43787</c:v>
                </c:pt>
                <c:pt idx="134">
                  <c:v>43848</c:v>
                </c:pt>
                <c:pt idx="135">
                  <c:v>43937</c:v>
                </c:pt>
                <c:pt idx="136">
                  <c:v>44051</c:v>
                </c:pt>
                <c:pt idx="137">
                  <c:v>44501</c:v>
                </c:pt>
                <c:pt idx="138">
                  <c:v>44521</c:v>
                </c:pt>
                <c:pt idx="139">
                  <c:v>44546</c:v>
                </c:pt>
                <c:pt idx="140">
                  <c:v>44742</c:v>
                </c:pt>
                <c:pt idx="141">
                  <c:v>44782</c:v>
                </c:pt>
                <c:pt idx="142">
                  <c:v>44865</c:v>
                </c:pt>
                <c:pt idx="143">
                  <c:v>44947</c:v>
                </c:pt>
                <c:pt idx="144">
                  <c:v>45525</c:v>
                </c:pt>
                <c:pt idx="145">
                  <c:v>46060</c:v>
                </c:pt>
                <c:pt idx="146">
                  <c:v>46727</c:v>
                </c:pt>
                <c:pt idx="147">
                  <c:v>46751</c:v>
                </c:pt>
                <c:pt idx="148">
                  <c:v>46768</c:v>
                </c:pt>
                <c:pt idx="149">
                  <c:v>47051</c:v>
                </c:pt>
                <c:pt idx="150">
                  <c:v>47481</c:v>
                </c:pt>
                <c:pt idx="151">
                  <c:v>47766</c:v>
                </c:pt>
                <c:pt idx="152">
                  <c:v>47804</c:v>
                </c:pt>
                <c:pt idx="153">
                  <c:v>47861</c:v>
                </c:pt>
                <c:pt idx="154">
                  <c:v>48019</c:v>
                </c:pt>
                <c:pt idx="155">
                  <c:v>48328</c:v>
                </c:pt>
                <c:pt idx="156">
                  <c:v>48356</c:v>
                </c:pt>
                <c:pt idx="157">
                  <c:v>48659</c:v>
                </c:pt>
                <c:pt idx="158">
                  <c:v>49110</c:v>
                </c:pt>
                <c:pt idx="159">
                  <c:v>50372</c:v>
                </c:pt>
                <c:pt idx="160">
                  <c:v>50785</c:v>
                </c:pt>
                <c:pt idx="161">
                  <c:v>51796</c:v>
                </c:pt>
                <c:pt idx="162">
                  <c:v>51800</c:v>
                </c:pt>
                <c:pt idx="163">
                  <c:v>51903</c:v>
                </c:pt>
                <c:pt idx="164">
                  <c:v>52003</c:v>
                </c:pt>
                <c:pt idx="165">
                  <c:v>52092</c:v>
                </c:pt>
                <c:pt idx="166">
                  <c:v>52821</c:v>
                </c:pt>
                <c:pt idx="167">
                  <c:v>52845</c:v>
                </c:pt>
                <c:pt idx="168">
                  <c:v>52963</c:v>
                </c:pt>
                <c:pt idx="169">
                  <c:v>53363</c:v>
                </c:pt>
                <c:pt idx="170">
                  <c:v>53543</c:v>
                </c:pt>
                <c:pt idx="171">
                  <c:v>53590</c:v>
                </c:pt>
                <c:pt idx="172">
                  <c:v>53619</c:v>
                </c:pt>
                <c:pt idx="173">
                  <c:v>53922</c:v>
                </c:pt>
                <c:pt idx="174">
                  <c:v>53934</c:v>
                </c:pt>
                <c:pt idx="175">
                  <c:v>54848</c:v>
                </c:pt>
                <c:pt idx="176">
                  <c:v>55253</c:v>
                </c:pt>
                <c:pt idx="177">
                  <c:v>55603</c:v>
                </c:pt>
                <c:pt idx="178">
                  <c:v>55657</c:v>
                </c:pt>
                <c:pt idx="179">
                  <c:v>55951</c:v>
                </c:pt>
                <c:pt idx="180">
                  <c:v>56026</c:v>
                </c:pt>
                <c:pt idx="181">
                  <c:v>56698</c:v>
                </c:pt>
                <c:pt idx="182">
                  <c:v>56850</c:v>
                </c:pt>
                <c:pt idx="183">
                  <c:v>56907</c:v>
                </c:pt>
                <c:pt idx="184">
                  <c:v>57299</c:v>
                </c:pt>
                <c:pt idx="185">
                  <c:v>57639</c:v>
                </c:pt>
                <c:pt idx="186">
                  <c:v>58201</c:v>
                </c:pt>
                <c:pt idx="187">
                  <c:v>58330</c:v>
                </c:pt>
                <c:pt idx="188">
                  <c:v>58709</c:v>
                </c:pt>
                <c:pt idx="189">
                  <c:v>58831</c:v>
                </c:pt>
                <c:pt idx="190">
                  <c:v>58868</c:v>
                </c:pt>
                <c:pt idx="191">
                  <c:v>58998</c:v>
                </c:pt>
                <c:pt idx="192">
                  <c:v>59378</c:v>
                </c:pt>
                <c:pt idx="193">
                  <c:v>59733</c:v>
                </c:pt>
                <c:pt idx="194">
                  <c:v>59745</c:v>
                </c:pt>
                <c:pt idx="195">
                  <c:v>59811</c:v>
                </c:pt>
                <c:pt idx="196">
                  <c:v>59815</c:v>
                </c:pt>
                <c:pt idx="197">
                  <c:v>59823</c:v>
                </c:pt>
              </c:numCache>
            </c:numRef>
          </c:xVal>
          <c:yVal>
            <c:numRef>
              <c:f>'Task 6.4'!$F$4:$F$201</c:f>
              <c:numCache>
                <c:formatCode>0.00%</c:formatCode>
                <c:ptCount val="198"/>
                <c:pt idx="0">
                  <c:v>1.1761783384455901E-2</c:v>
                </c:pt>
                <c:pt idx="1">
                  <c:v>6.6916502259743004E-3</c:v>
                </c:pt>
                <c:pt idx="2">
                  <c:v>1.3957518612685099E-2</c:v>
                </c:pt>
                <c:pt idx="3">
                  <c:v>1.44282978483722E-2</c:v>
                </c:pt>
                <c:pt idx="4">
                  <c:v>5.7147736460433796E-3</c:v>
                </c:pt>
                <c:pt idx="5">
                  <c:v>7.3286327056561202E-3</c:v>
                </c:pt>
                <c:pt idx="6">
                  <c:v>9.7157453085159502E-3</c:v>
                </c:pt>
                <c:pt idx="7">
                  <c:v>8.2418783612434997E-3</c:v>
                </c:pt>
                <c:pt idx="8">
                  <c:v>8.2064008214958097E-3</c:v>
                </c:pt>
                <c:pt idx="9">
                  <c:v>2.79368780972039E-2</c:v>
                </c:pt>
                <c:pt idx="10">
                  <c:v>1.08330338836162E-2</c:v>
                </c:pt>
                <c:pt idx="11">
                  <c:v>6.5900459340594202E-3</c:v>
                </c:pt>
                <c:pt idx="12">
                  <c:v>1.1473198674504199E-2</c:v>
                </c:pt>
                <c:pt idx="13">
                  <c:v>4.0213653634588497E-3</c:v>
                </c:pt>
                <c:pt idx="14">
                  <c:v>1.22310632349635E-3</c:v>
                </c:pt>
                <c:pt idx="15">
                  <c:v>1.03008007971693E-2</c:v>
                </c:pt>
                <c:pt idx="16">
                  <c:v>1.62733468101229E-2</c:v>
                </c:pt>
                <c:pt idx="17">
                  <c:v>8.2487229214992797E-3</c:v>
                </c:pt>
                <c:pt idx="18">
                  <c:v>1.11720242545062E-2</c:v>
                </c:pt>
                <c:pt idx="19">
                  <c:v>1.17892507251627E-2</c:v>
                </c:pt>
                <c:pt idx="20">
                  <c:v>3.6034323341081701E-3</c:v>
                </c:pt>
                <c:pt idx="21">
                  <c:v>4.7249186834646899E-2</c:v>
                </c:pt>
                <c:pt idx="22">
                  <c:v>8.7411286339618595E-3</c:v>
                </c:pt>
                <c:pt idx="23">
                  <c:v>1.7818166771834401E-3</c:v>
                </c:pt>
                <c:pt idx="24">
                  <c:v>1.7407145236508999E-2</c:v>
                </c:pt>
                <c:pt idx="25">
                  <c:v>1.9904734026983201E-2</c:v>
                </c:pt>
                <c:pt idx="26">
                  <c:v>3.1647322078673201E-3</c:v>
                </c:pt>
                <c:pt idx="27">
                  <c:v>7.9143689309009099E-3</c:v>
                </c:pt>
                <c:pt idx="28">
                  <c:v>2.0680124086625399E-2</c:v>
                </c:pt>
                <c:pt idx="29">
                  <c:v>6.2732154042802997E-3</c:v>
                </c:pt>
                <c:pt idx="30">
                  <c:v>9.2275345635198999E-3</c:v>
                </c:pt>
                <c:pt idx="31">
                  <c:v>4.3599621410908996E-3</c:v>
                </c:pt>
                <c:pt idx="32">
                  <c:v>2.5411368454818402E-3</c:v>
                </c:pt>
                <c:pt idx="33">
                  <c:v>2.5988097817933299E-2</c:v>
                </c:pt>
                <c:pt idx="34">
                  <c:v>5.3849327962185002E-3</c:v>
                </c:pt>
                <c:pt idx="35">
                  <c:v>5.8674558852731496E-3</c:v>
                </c:pt>
                <c:pt idx="36">
                  <c:v>9.9959824463811096E-3</c:v>
                </c:pt>
                <c:pt idx="37">
                  <c:v>7.6346856342172E-3</c:v>
                </c:pt>
                <c:pt idx="38">
                  <c:v>1.4138938637006299E-3</c:v>
                </c:pt>
                <c:pt idx="39">
                  <c:v>9.7274398018054094E-3</c:v>
                </c:pt>
                <c:pt idx="40">
                  <c:v>5.7258259280459E-3</c:v>
                </c:pt>
                <c:pt idx="41">
                  <c:v>6.4901721634158397E-3</c:v>
                </c:pt>
                <c:pt idx="42">
                  <c:v>2.5746435818378301E-2</c:v>
                </c:pt>
                <c:pt idx="43">
                  <c:v>3.5726847897090599E-3</c:v>
                </c:pt>
                <c:pt idx="44">
                  <c:v>1.5095192020375899E-2</c:v>
                </c:pt>
                <c:pt idx="45">
                  <c:v>1.07381558705685E-2</c:v>
                </c:pt>
                <c:pt idx="46">
                  <c:v>5.7749600830354396E-3</c:v>
                </c:pt>
                <c:pt idx="47">
                  <c:v>1.4122161852061201E-2</c:v>
                </c:pt>
                <c:pt idx="48">
                  <c:v>6.2386362330587603E-3</c:v>
                </c:pt>
                <c:pt idx="49">
                  <c:v>2.5692110871204901E-3</c:v>
                </c:pt>
                <c:pt idx="50">
                  <c:v>3.70779656877709E-2</c:v>
                </c:pt>
                <c:pt idx="51">
                  <c:v>1.13228914433829E-2</c:v>
                </c:pt>
                <c:pt idx="52">
                  <c:v>1.76848989213685E-2</c:v>
                </c:pt>
                <c:pt idx="53">
                  <c:v>1.45319857678935E-2</c:v>
                </c:pt>
                <c:pt idx="54">
                  <c:v>4.63057602232631E-3</c:v>
                </c:pt>
                <c:pt idx="55">
                  <c:v>9.04496128061715E-3</c:v>
                </c:pt>
                <c:pt idx="56">
                  <c:v>3.6395347716738802E-2</c:v>
                </c:pt>
                <c:pt idx="57">
                  <c:v>8.8674254157928897E-3</c:v>
                </c:pt>
                <c:pt idx="58">
                  <c:v>2.13321791685348E-2</c:v>
                </c:pt>
                <c:pt idx="59">
                  <c:v>5.7807613574985097E-3</c:v>
                </c:pt>
                <c:pt idx="60">
                  <c:v>7.86528801260508E-3</c:v>
                </c:pt>
                <c:pt idx="61">
                  <c:v>7.1416279469970799E-3</c:v>
                </c:pt>
                <c:pt idx="62">
                  <c:v>9.2561160241940096E-3</c:v>
                </c:pt>
                <c:pt idx="63">
                  <c:v>1.12781081968627E-3</c:v>
                </c:pt>
                <c:pt idx="64">
                  <c:v>4.2535354727546645E-2</c:v>
                </c:pt>
                <c:pt idx="65">
                  <c:v>1.47137808125538E-3</c:v>
                </c:pt>
                <c:pt idx="66">
                  <c:v>4.0686808384763299E-3</c:v>
                </c:pt>
                <c:pt idx="67">
                  <c:v>8.6741122874282404E-3</c:v>
                </c:pt>
                <c:pt idx="68">
                  <c:v>8.0587659281841292E-3</c:v>
                </c:pt>
                <c:pt idx="69">
                  <c:v>1.40376985967868E-2</c:v>
                </c:pt>
                <c:pt idx="70">
                  <c:v>8.6010628309353201E-3</c:v>
                </c:pt>
                <c:pt idx="71">
                  <c:v>2.1331928289458199E-3</c:v>
                </c:pt>
                <c:pt idx="72">
                  <c:v>8.5063803711172108E-3</c:v>
                </c:pt>
                <c:pt idx="73">
                  <c:v>5.9958139266151197E-3</c:v>
                </c:pt>
                <c:pt idx="74">
                  <c:v>3.2225476174260498E-2</c:v>
                </c:pt>
                <c:pt idx="75">
                  <c:v>5.0339920594100803E-3</c:v>
                </c:pt>
                <c:pt idx="76">
                  <c:v>4.9146713091684701E-3</c:v>
                </c:pt>
                <c:pt idx="77">
                  <c:v>2.5882241034909201E-2</c:v>
                </c:pt>
                <c:pt idx="78">
                  <c:v>5.0953714819261002E-3</c:v>
                </c:pt>
                <c:pt idx="79">
                  <c:v>1.6749342872388799E-3</c:v>
                </c:pt>
                <c:pt idx="80">
                  <c:v>5.9321304501212101E-3</c:v>
                </c:pt>
                <c:pt idx="81">
                  <c:v>2.39576500491965E-3</c:v>
                </c:pt>
                <c:pt idx="82">
                  <c:v>6.7559181278631598E-3</c:v>
                </c:pt>
                <c:pt idx="83">
                  <c:v>9.4651258932614106E-3</c:v>
                </c:pt>
                <c:pt idx="84">
                  <c:v>6.8642471170369196E-3</c:v>
                </c:pt>
                <c:pt idx="85">
                  <c:v>1.0776345414383701E-2</c:v>
                </c:pt>
                <c:pt idx="86">
                  <c:v>6.6829123542159405E-2</c:v>
                </c:pt>
                <c:pt idx="87">
                  <c:v>6.8141481544266302E-3</c:v>
                </c:pt>
                <c:pt idx="88">
                  <c:v>1.4304418098583301E-2</c:v>
                </c:pt>
                <c:pt idx="89">
                  <c:v>1.6205702953772001E-2</c:v>
                </c:pt>
                <c:pt idx="90">
                  <c:v>8.32730882527488E-3</c:v>
                </c:pt>
                <c:pt idx="91">
                  <c:v>4.4991947218659999E-3</c:v>
                </c:pt>
                <c:pt idx="92">
                  <c:v>1.7765229200580001E-2</c:v>
                </c:pt>
                <c:pt idx="93">
                  <c:v>2.79503690002181E-3</c:v>
                </c:pt>
                <c:pt idx="94">
                  <c:v>1.3367006734210699E-3</c:v>
                </c:pt>
                <c:pt idx="95">
                  <c:v>3.0849604403758401E-2</c:v>
                </c:pt>
                <c:pt idx="96">
                  <c:v>3.9456245088495101E-2</c:v>
                </c:pt>
                <c:pt idx="97">
                  <c:v>6.1877471443283601E-2</c:v>
                </c:pt>
                <c:pt idx="98">
                  <c:v>2.2859614680730701E-2</c:v>
                </c:pt>
                <c:pt idx="99">
                  <c:v>9.4783213011072308E-3</c:v>
                </c:pt>
                <c:pt idx="100">
                  <c:v>1.50600015123988E-2</c:v>
                </c:pt>
                <c:pt idx="101">
                  <c:v>1.69287829883919E-3</c:v>
                </c:pt>
                <c:pt idx="102">
                  <c:v>1.0885794668208699E-2</c:v>
                </c:pt>
                <c:pt idx="103">
                  <c:v>9.7120333968305408E-3</c:v>
                </c:pt>
                <c:pt idx="104">
                  <c:v>5.3721821329235798E-3</c:v>
                </c:pt>
                <c:pt idx="105">
                  <c:v>5.8932901657142503E-3</c:v>
                </c:pt>
                <c:pt idx="106">
                  <c:v>1.36080573470122E-2</c:v>
                </c:pt>
                <c:pt idx="107">
                  <c:v>2.0182085338096699E-2</c:v>
                </c:pt>
                <c:pt idx="108">
                  <c:v>5.9823244818296801E-3</c:v>
                </c:pt>
                <c:pt idx="109">
                  <c:v>8.8244726105487E-3</c:v>
                </c:pt>
                <c:pt idx="110">
                  <c:v>5.9643024822535499E-3</c:v>
                </c:pt>
                <c:pt idx="111">
                  <c:v>7.6104086358827197E-3</c:v>
                </c:pt>
                <c:pt idx="112">
                  <c:v>1.35573894547388E-2</c:v>
                </c:pt>
                <c:pt idx="113">
                  <c:v>1.1723845618886499E-2</c:v>
                </c:pt>
                <c:pt idx="114">
                  <c:v>1.03806899136396E-2</c:v>
                </c:pt>
                <c:pt idx="115">
                  <c:v>1.8702252479040301E-3</c:v>
                </c:pt>
                <c:pt idx="116">
                  <c:v>1.91828889630861E-3</c:v>
                </c:pt>
                <c:pt idx="117">
                  <c:v>8.9869550909155403E-3</c:v>
                </c:pt>
                <c:pt idx="118">
                  <c:v>1.6323451825264498E-2</c:v>
                </c:pt>
                <c:pt idx="119">
                  <c:v>2.0576366453286601E-2</c:v>
                </c:pt>
                <c:pt idx="120">
                  <c:v>2.42340857612786E-3</c:v>
                </c:pt>
                <c:pt idx="121">
                  <c:v>4.96183027387618E-3</c:v>
                </c:pt>
                <c:pt idx="122">
                  <c:v>2.7450681785103999E-3</c:v>
                </c:pt>
                <c:pt idx="123">
                  <c:v>1.2096449831072E-2</c:v>
                </c:pt>
                <c:pt idx="124">
                  <c:v>7.1830773055903598E-3</c:v>
                </c:pt>
                <c:pt idx="125">
                  <c:v>7.6606230713766798E-3</c:v>
                </c:pt>
                <c:pt idx="126">
                  <c:v>7.1666162961312703E-3</c:v>
                </c:pt>
                <c:pt idx="127">
                  <c:v>6.2677111728104704E-3</c:v>
                </c:pt>
                <c:pt idx="128">
                  <c:v>1.31050389564526E-3</c:v>
                </c:pt>
                <c:pt idx="129">
                  <c:v>1.10549909734477E-2</c:v>
                </c:pt>
                <c:pt idx="130">
                  <c:v>4.3326141227910796E-3</c:v>
                </c:pt>
                <c:pt idx="131">
                  <c:v>7.4709430162751E-3</c:v>
                </c:pt>
                <c:pt idx="132">
                  <c:v>1.2426480165926901E-2</c:v>
                </c:pt>
                <c:pt idx="133">
                  <c:v>1.26744151961072E-2</c:v>
                </c:pt>
                <c:pt idx="134">
                  <c:v>2.84064402134983E-2</c:v>
                </c:pt>
                <c:pt idx="135">
                  <c:v>4.9126039438814597E-3</c:v>
                </c:pt>
                <c:pt idx="136">
                  <c:v>1.1102583604932501E-2</c:v>
                </c:pt>
                <c:pt idx="137">
                  <c:v>8.17262056351724E-3</c:v>
                </c:pt>
                <c:pt idx="138">
                  <c:v>9.5083641372665096E-4</c:v>
                </c:pt>
                <c:pt idx="139">
                  <c:v>3.3603487025812201E-2</c:v>
                </c:pt>
                <c:pt idx="140">
                  <c:v>6.2143718554204799E-3</c:v>
                </c:pt>
                <c:pt idx="141">
                  <c:v>3.0196823988018098E-3</c:v>
                </c:pt>
                <c:pt idx="142">
                  <c:v>1.29414545981438E-2</c:v>
                </c:pt>
                <c:pt idx="143">
                  <c:v>4.6816337571003501E-2</c:v>
                </c:pt>
                <c:pt idx="144">
                  <c:v>5.6604453152575597E-3</c:v>
                </c:pt>
                <c:pt idx="145">
                  <c:v>1.9715707271207701E-2</c:v>
                </c:pt>
                <c:pt idx="146">
                  <c:v>1.2142033346870126E-2</c:v>
                </c:pt>
                <c:pt idx="147">
                  <c:v>5.2700569431132702E-2</c:v>
                </c:pt>
                <c:pt idx="148">
                  <c:v>4.2148281775461604E-3</c:v>
                </c:pt>
                <c:pt idx="149">
                  <c:v>4.1926139561219902E-3</c:v>
                </c:pt>
                <c:pt idx="150">
                  <c:v>5.5598245183792498E-3</c:v>
                </c:pt>
                <c:pt idx="151">
                  <c:v>9.4810500429228992E-3</c:v>
                </c:pt>
                <c:pt idx="152">
                  <c:v>2.8458142547671102E-2</c:v>
                </c:pt>
                <c:pt idx="153">
                  <c:v>4.9088327737695503E-3</c:v>
                </c:pt>
                <c:pt idx="154">
                  <c:v>4.3616549388067798E-2</c:v>
                </c:pt>
                <c:pt idx="155">
                  <c:v>5.7625343114345098E-3</c:v>
                </c:pt>
                <c:pt idx="156">
                  <c:v>1.3257669216218401E-2</c:v>
                </c:pt>
                <c:pt idx="157">
                  <c:v>2.8087593669421599E-2</c:v>
                </c:pt>
                <c:pt idx="158">
                  <c:v>1.33105035895224E-3</c:v>
                </c:pt>
                <c:pt idx="159">
                  <c:v>6.8070592967519203E-2</c:v>
                </c:pt>
                <c:pt idx="160">
                  <c:v>8.8818396587699005E-3</c:v>
                </c:pt>
                <c:pt idx="161">
                  <c:v>1.00139291495689E-2</c:v>
                </c:pt>
                <c:pt idx="162">
                  <c:v>4.7650942117658203E-3</c:v>
                </c:pt>
                <c:pt idx="163">
                  <c:v>2.7291166600407401E-3</c:v>
                </c:pt>
                <c:pt idx="164">
                  <c:v>3.1393725160874499E-2</c:v>
                </c:pt>
                <c:pt idx="165">
                  <c:v>5.76980001110022E-3</c:v>
                </c:pt>
                <c:pt idx="166">
                  <c:v>5.0276484891415398E-3</c:v>
                </c:pt>
                <c:pt idx="167">
                  <c:v>2.0216966893793699E-3</c:v>
                </c:pt>
                <c:pt idx="168">
                  <c:v>9.78705672432768E-3</c:v>
                </c:pt>
                <c:pt idx="169">
                  <c:v>3.9851724146857297E-3</c:v>
                </c:pt>
                <c:pt idx="170">
                  <c:v>1.8893649110919199E-2</c:v>
                </c:pt>
                <c:pt idx="171">
                  <c:v>1.9526986052152799E-2</c:v>
                </c:pt>
                <c:pt idx="172">
                  <c:v>8.8943808751035195E-3</c:v>
                </c:pt>
                <c:pt idx="173">
                  <c:v>1.3915779283639899E-2</c:v>
                </c:pt>
                <c:pt idx="174">
                  <c:v>8.6458124530537899E-3</c:v>
                </c:pt>
                <c:pt idx="175">
                  <c:v>4.7070867248110602E-3</c:v>
                </c:pt>
                <c:pt idx="176">
                  <c:v>1.04459223838211E-2</c:v>
                </c:pt>
                <c:pt idx="177">
                  <c:v>3.7963639269943698E-3</c:v>
                </c:pt>
                <c:pt idx="178">
                  <c:v>8.3396972785746391E-3</c:v>
                </c:pt>
                <c:pt idx="179">
                  <c:v>7.7465246904209403E-4</c:v>
                </c:pt>
                <c:pt idx="180">
                  <c:v>1.03097634099383E-2</c:v>
                </c:pt>
                <c:pt idx="181">
                  <c:v>1.33379657104685E-2</c:v>
                </c:pt>
                <c:pt idx="182">
                  <c:v>9.1461802003031598E-3</c:v>
                </c:pt>
                <c:pt idx="183">
                  <c:v>7.397905186791E-3</c:v>
                </c:pt>
                <c:pt idx="184">
                  <c:v>1.55627723485161E-3</c:v>
                </c:pt>
                <c:pt idx="185">
                  <c:v>3.8692775794040901E-2</c:v>
                </c:pt>
                <c:pt idx="186">
                  <c:v>5.5363012672795904E-3</c:v>
                </c:pt>
                <c:pt idx="187">
                  <c:v>4.9120904876665504E-3</c:v>
                </c:pt>
                <c:pt idx="188">
                  <c:v>1.18357574424327E-2</c:v>
                </c:pt>
                <c:pt idx="189">
                  <c:v>2.8751158612388699E-3</c:v>
                </c:pt>
                <c:pt idx="190">
                  <c:v>1.51277761825695E-2</c:v>
                </c:pt>
                <c:pt idx="191">
                  <c:v>1.40170829138385E-2</c:v>
                </c:pt>
                <c:pt idx="192">
                  <c:v>1.21343773230478E-2</c:v>
                </c:pt>
                <c:pt idx="193">
                  <c:v>8.1824694637581408E-3</c:v>
                </c:pt>
                <c:pt idx="194">
                  <c:v>1.5234972909130401E-2</c:v>
                </c:pt>
                <c:pt idx="195">
                  <c:v>1.4181846557848699E-2</c:v>
                </c:pt>
                <c:pt idx="196">
                  <c:v>2.1208152974095701E-2</c:v>
                </c:pt>
                <c:pt idx="197">
                  <c:v>4.3276544167292598E-3</c:v>
                </c:pt>
              </c:numCache>
            </c:numRef>
          </c:yVal>
          <c:smooth val="0"/>
          <c:extLst>
            <c:ext xmlns:c16="http://schemas.microsoft.com/office/drawing/2014/chart" uri="{C3380CC4-5D6E-409C-BE32-E72D297353CC}">
              <c16:uniqueId val="{00000000-4BD5-450F-8136-519AF4EE492F}"/>
            </c:ext>
          </c:extLst>
        </c:ser>
        <c:dLbls>
          <c:showLegendKey val="0"/>
          <c:showVal val="0"/>
          <c:showCatName val="0"/>
          <c:showSerName val="0"/>
          <c:showPercent val="0"/>
          <c:showBubbleSize val="0"/>
        </c:dLbls>
        <c:axId val="384268639"/>
        <c:axId val="384252799"/>
      </c:scatterChart>
      <c:valAx>
        <c:axId val="384268639"/>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Ad Spend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409]#,##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252799"/>
        <c:crosses val="autoZero"/>
        <c:crossBetween val="midCat"/>
      </c:valAx>
      <c:valAx>
        <c:axId val="384252799"/>
        <c:scaling>
          <c:orientation val="minMax"/>
        </c:scaling>
        <c:delete val="0"/>
        <c:axPos val="l"/>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Follower Growth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26863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'Task 6.4..'!$L$11</c:f>
              <c:strCache>
                <c:ptCount val="1"/>
                <c:pt idx="0">
                  <c:v>Ad Spend per New Follower Gain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6.4..'!$K$12:$K$15</c:f>
              <c:strCache>
                <c:ptCount val="4"/>
                <c:pt idx="0">
                  <c:v>LinkedIn</c:v>
                </c:pt>
                <c:pt idx="1">
                  <c:v>Instagram</c:v>
                </c:pt>
                <c:pt idx="2">
                  <c:v>Twitter</c:v>
                </c:pt>
                <c:pt idx="3">
                  <c:v>YouTube</c:v>
                </c:pt>
              </c:strCache>
            </c:strRef>
          </c:cat>
          <c:val>
            <c:numRef>
              <c:f>'Task 6.4..'!$L$12:$L$15</c:f>
              <c:numCache>
                <c:formatCode>[$$-409]#,##0.00</c:formatCode>
                <c:ptCount val="4"/>
                <c:pt idx="0">
                  <c:v>6.8523651660831639</c:v>
                </c:pt>
                <c:pt idx="1">
                  <c:v>6.7817514568742299</c:v>
                </c:pt>
                <c:pt idx="2">
                  <c:v>6.1767955254822731</c:v>
                </c:pt>
                <c:pt idx="3">
                  <c:v>5.5773493119206385</c:v>
                </c:pt>
              </c:numCache>
            </c:numRef>
          </c:val>
          <c:extLst>
            <c:ext xmlns:c16="http://schemas.microsoft.com/office/drawing/2014/chart" uri="{C3380CC4-5D6E-409C-BE32-E72D297353CC}">
              <c16:uniqueId val="{00000000-671D-4617-8F3C-32BBF72B6892}"/>
            </c:ext>
          </c:extLst>
        </c:ser>
        <c:dLbls>
          <c:dLblPos val="outEnd"/>
          <c:showLegendKey val="0"/>
          <c:showVal val="1"/>
          <c:showCatName val="0"/>
          <c:showSerName val="0"/>
          <c:showPercent val="0"/>
          <c:showBubbleSize val="0"/>
        </c:dLbls>
        <c:gapWidth val="100"/>
        <c:overlap val="-24"/>
        <c:axId val="630434463"/>
        <c:axId val="630421023"/>
      </c:barChart>
      <c:catAx>
        <c:axId val="630434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421023"/>
        <c:crosses val="autoZero"/>
        <c:auto val="1"/>
        <c:lblAlgn val="ctr"/>
        <c:lblOffset val="100"/>
        <c:noMultiLvlLbl val="0"/>
      </c:catAx>
      <c:valAx>
        <c:axId val="630421023"/>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43446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9</xdr:col>
      <xdr:colOff>91440</xdr:colOff>
      <xdr:row>2</xdr:row>
      <xdr:rowOff>22860</xdr:rowOff>
    </xdr:from>
    <xdr:to>
      <xdr:col>23</xdr:col>
      <xdr:colOff>563880</xdr:colOff>
      <xdr:row>23</xdr:row>
      <xdr:rowOff>99060</xdr:rowOff>
    </xdr:to>
    <xdr:graphicFrame macro="">
      <xdr:nvGraphicFramePr>
        <xdr:cNvPr id="3" name="Chart 2">
          <a:extLst>
            <a:ext uri="{FF2B5EF4-FFF2-40B4-BE49-F238E27FC236}">
              <a16:creationId xmlns:a16="http://schemas.microsoft.com/office/drawing/2014/main" id="{7BCDD600-5F90-4A23-47F5-3910CB6F7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190500</xdr:colOff>
      <xdr:row>12</xdr:row>
      <xdr:rowOff>15240</xdr:rowOff>
    </xdr:from>
    <xdr:to>
      <xdr:col>22</xdr:col>
      <xdr:colOff>160020</xdr:colOff>
      <xdr:row>69</xdr:row>
      <xdr:rowOff>0</xdr:rowOff>
    </xdr:to>
    <xdr:graphicFrame macro="">
      <xdr:nvGraphicFramePr>
        <xdr:cNvPr id="6" name="Chart 5">
          <a:extLst>
            <a:ext uri="{FF2B5EF4-FFF2-40B4-BE49-F238E27FC236}">
              <a16:creationId xmlns:a16="http://schemas.microsoft.com/office/drawing/2014/main" id="{7856D69C-D799-3A57-45E4-A127B0A52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388620</xdr:colOff>
      <xdr:row>5</xdr:row>
      <xdr:rowOff>156210</xdr:rowOff>
    </xdr:from>
    <xdr:to>
      <xdr:col>36</xdr:col>
      <xdr:colOff>83820</xdr:colOff>
      <xdr:row>57</xdr:row>
      <xdr:rowOff>156210</xdr:rowOff>
    </xdr:to>
    <xdr:graphicFrame macro="">
      <xdr:nvGraphicFramePr>
        <xdr:cNvPr id="7" name="Chart 6">
          <a:extLst>
            <a:ext uri="{FF2B5EF4-FFF2-40B4-BE49-F238E27FC236}">
              <a16:creationId xmlns:a16="http://schemas.microsoft.com/office/drawing/2014/main" id="{C4B9D7CF-EE87-4B9A-DA7A-4ECC86E22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350520</xdr:colOff>
      <xdr:row>8</xdr:row>
      <xdr:rowOff>11430</xdr:rowOff>
    </xdr:from>
    <xdr:to>
      <xdr:col>22</xdr:col>
      <xdr:colOff>0</xdr:colOff>
      <xdr:row>66</xdr:row>
      <xdr:rowOff>11430</xdr:rowOff>
    </xdr:to>
    <xdr:graphicFrame macro="">
      <xdr:nvGraphicFramePr>
        <xdr:cNvPr id="4" name="Chart 3">
          <a:extLst>
            <a:ext uri="{FF2B5EF4-FFF2-40B4-BE49-F238E27FC236}">
              <a16:creationId xmlns:a16="http://schemas.microsoft.com/office/drawing/2014/main" id="{21713750-07AA-D554-5FF9-BEA0BBBDD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289560</xdr:colOff>
      <xdr:row>7</xdr:row>
      <xdr:rowOff>148590</xdr:rowOff>
    </xdr:from>
    <xdr:to>
      <xdr:col>33</xdr:col>
      <xdr:colOff>594360</xdr:colOff>
      <xdr:row>64</xdr:row>
      <xdr:rowOff>148590</xdr:rowOff>
    </xdr:to>
    <xdr:graphicFrame macro="">
      <xdr:nvGraphicFramePr>
        <xdr:cNvPr id="5" name="Chart 4">
          <a:extLst>
            <a:ext uri="{FF2B5EF4-FFF2-40B4-BE49-F238E27FC236}">
              <a16:creationId xmlns:a16="http://schemas.microsoft.com/office/drawing/2014/main" id="{C5EBB4C6-9277-DEF7-32F4-FB3E661CC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281940</xdr:colOff>
      <xdr:row>15</xdr:row>
      <xdr:rowOff>118110</xdr:rowOff>
    </xdr:from>
    <xdr:to>
      <xdr:col>21</xdr:col>
      <xdr:colOff>556260</xdr:colOff>
      <xdr:row>78</xdr:row>
      <xdr:rowOff>118110</xdr:rowOff>
    </xdr:to>
    <xdr:graphicFrame macro="">
      <xdr:nvGraphicFramePr>
        <xdr:cNvPr id="4" name="Chart 3">
          <a:extLst>
            <a:ext uri="{FF2B5EF4-FFF2-40B4-BE49-F238E27FC236}">
              <a16:creationId xmlns:a16="http://schemas.microsoft.com/office/drawing/2014/main" id="{9A10F02C-E158-9583-1C8D-2419212A4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586740</xdr:colOff>
      <xdr:row>27</xdr:row>
      <xdr:rowOff>148590</xdr:rowOff>
    </xdr:from>
    <xdr:to>
      <xdr:col>34</xdr:col>
      <xdr:colOff>281940</xdr:colOff>
      <xdr:row>82</xdr:row>
      <xdr:rowOff>148590</xdr:rowOff>
    </xdr:to>
    <xdr:graphicFrame macro="">
      <xdr:nvGraphicFramePr>
        <xdr:cNvPr id="6" name="Chart 5">
          <a:extLst>
            <a:ext uri="{FF2B5EF4-FFF2-40B4-BE49-F238E27FC236}">
              <a16:creationId xmlns:a16="http://schemas.microsoft.com/office/drawing/2014/main" id="{C9FCB573-07E4-2470-CF3D-633293463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335280</xdr:colOff>
      <xdr:row>23</xdr:row>
      <xdr:rowOff>110490</xdr:rowOff>
    </xdr:from>
    <xdr:to>
      <xdr:col>21</xdr:col>
      <xdr:colOff>30480</xdr:colOff>
      <xdr:row>95</xdr:row>
      <xdr:rowOff>110490</xdr:rowOff>
    </xdr:to>
    <xdr:graphicFrame macro="">
      <xdr:nvGraphicFramePr>
        <xdr:cNvPr id="2" name="Chart 1">
          <a:extLst>
            <a:ext uri="{FF2B5EF4-FFF2-40B4-BE49-F238E27FC236}">
              <a16:creationId xmlns:a16="http://schemas.microsoft.com/office/drawing/2014/main" id="{3A08973F-51F6-8A25-7B77-85D11304E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213360</xdr:colOff>
      <xdr:row>23</xdr:row>
      <xdr:rowOff>19050</xdr:rowOff>
    </xdr:from>
    <xdr:to>
      <xdr:col>32</xdr:col>
      <xdr:colOff>518160</xdr:colOff>
      <xdr:row>95</xdr:row>
      <xdr:rowOff>19050</xdr:rowOff>
    </xdr:to>
    <xdr:graphicFrame macro="">
      <xdr:nvGraphicFramePr>
        <xdr:cNvPr id="3" name="Chart 2">
          <a:extLst>
            <a:ext uri="{FF2B5EF4-FFF2-40B4-BE49-F238E27FC236}">
              <a16:creationId xmlns:a16="http://schemas.microsoft.com/office/drawing/2014/main" id="{6326E5A4-3BE5-0076-EAB2-3B37D72E8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753291</xdr:colOff>
      <xdr:row>2</xdr:row>
      <xdr:rowOff>14515</xdr:rowOff>
    </xdr:from>
    <xdr:to>
      <xdr:col>21</xdr:col>
      <xdr:colOff>21772</xdr:colOff>
      <xdr:row>20</xdr:row>
      <xdr:rowOff>21771</xdr:rowOff>
    </xdr:to>
    <xdr:graphicFrame macro="">
      <xdr:nvGraphicFramePr>
        <xdr:cNvPr id="3" name="Chart 2">
          <a:extLst>
            <a:ext uri="{FF2B5EF4-FFF2-40B4-BE49-F238E27FC236}">
              <a16:creationId xmlns:a16="http://schemas.microsoft.com/office/drawing/2014/main" id="{1EE63D1C-C7FE-E528-5A0B-45245243F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195942</xdr:colOff>
      <xdr:row>2</xdr:row>
      <xdr:rowOff>25401</xdr:rowOff>
    </xdr:from>
    <xdr:to>
      <xdr:col>24</xdr:col>
      <xdr:colOff>195942</xdr:colOff>
      <xdr:row>10</xdr:row>
      <xdr:rowOff>87086</xdr:rowOff>
    </xdr:to>
    <mc:AlternateContent xmlns:mc="http://schemas.openxmlformats.org/markup-compatibility/2006">
      <mc:Choice xmlns:a14="http://schemas.microsoft.com/office/drawing/2010/main" Requires="a14">
        <xdr:graphicFrame macro="">
          <xdr:nvGraphicFramePr>
            <xdr:cNvPr id="2" name="Platform 1">
              <a:extLst>
                <a:ext uri="{FF2B5EF4-FFF2-40B4-BE49-F238E27FC236}">
                  <a16:creationId xmlns:a16="http://schemas.microsoft.com/office/drawing/2014/main" id="{A283E36E-CE89-50D8-9B8F-78C76EBFF3A1}"/>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18846799" y="402772"/>
              <a:ext cx="1828800" cy="1513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13</xdr:col>
      <xdr:colOff>0</xdr:colOff>
      <xdr:row>1</xdr:row>
      <xdr:rowOff>194310</xdr:rowOff>
    </xdr:from>
    <xdr:to>
      <xdr:col>21</xdr:col>
      <xdr:colOff>601980</xdr:colOff>
      <xdr:row>21</xdr:row>
      <xdr:rowOff>160020</xdr:rowOff>
    </xdr:to>
    <xdr:graphicFrame macro="">
      <xdr:nvGraphicFramePr>
        <xdr:cNvPr id="2" name="Chart 1">
          <a:extLst>
            <a:ext uri="{FF2B5EF4-FFF2-40B4-BE49-F238E27FC236}">
              <a16:creationId xmlns:a16="http://schemas.microsoft.com/office/drawing/2014/main" id="{AC8869F2-F210-AF0A-B39D-AE8E78106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381000</xdr:colOff>
      <xdr:row>2</xdr:row>
      <xdr:rowOff>7621</xdr:rowOff>
    </xdr:from>
    <xdr:to>
      <xdr:col>25</xdr:col>
      <xdr:colOff>381000</xdr:colOff>
      <xdr:row>10</xdr:row>
      <xdr:rowOff>114301</xdr:rowOff>
    </xdr:to>
    <mc:AlternateContent xmlns:mc="http://schemas.openxmlformats.org/markup-compatibility/2006">
      <mc:Choice xmlns:a14="http://schemas.microsoft.com/office/drawing/2010/main" Requires="a14">
        <xdr:graphicFrame macro="">
          <xdr:nvGraphicFramePr>
            <xdr:cNvPr id="4" name="Platform">
              <a:extLst>
                <a:ext uri="{FF2B5EF4-FFF2-40B4-BE49-F238E27FC236}">
                  <a16:creationId xmlns:a16="http://schemas.microsoft.com/office/drawing/2014/main" id="{BABA4DCC-7688-D737-F057-0E66D84D074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9118580" y="38862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14</xdr:col>
      <xdr:colOff>297180</xdr:colOff>
      <xdr:row>2</xdr:row>
      <xdr:rowOff>95250</xdr:rowOff>
    </xdr:from>
    <xdr:to>
      <xdr:col>23</xdr:col>
      <xdr:colOff>182880</xdr:colOff>
      <xdr:row>24</xdr:row>
      <xdr:rowOff>160020</xdr:rowOff>
    </xdr:to>
    <xdr:graphicFrame macro="">
      <xdr:nvGraphicFramePr>
        <xdr:cNvPr id="3" name="Chart 2">
          <a:extLst>
            <a:ext uri="{FF2B5EF4-FFF2-40B4-BE49-F238E27FC236}">
              <a16:creationId xmlns:a16="http://schemas.microsoft.com/office/drawing/2014/main" id="{FC91B92A-E000-5244-A188-7F34C6153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522516</xdr:colOff>
      <xdr:row>5</xdr:row>
      <xdr:rowOff>14514</xdr:rowOff>
    </xdr:from>
    <xdr:to>
      <xdr:col>10</xdr:col>
      <xdr:colOff>573314</xdr:colOff>
      <xdr:row>22</xdr:row>
      <xdr:rowOff>108857</xdr:rowOff>
    </xdr:to>
    <xdr:graphicFrame macro="">
      <xdr:nvGraphicFramePr>
        <xdr:cNvPr id="4" name="Chart 3">
          <a:extLst>
            <a:ext uri="{FF2B5EF4-FFF2-40B4-BE49-F238E27FC236}">
              <a16:creationId xmlns:a16="http://schemas.microsoft.com/office/drawing/2014/main" id="{0E0BCE98-011E-EC42-4CDB-7A20E5B5E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190500</xdr:colOff>
      <xdr:row>8</xdr:row>
      <xdr:rowOff>72390</xdr:rowOff>
    </xdr:from>
    <xdr:to>
      <xdr:col>17</xdr:col>
      <xdr:colOff>243840</xdr:colOff>
      <xdr:row>23</xdr:row>
      <xdr:rowOff>72390</xdr:rowOff>
    </xdr:to>
    <xdr:graphicFrame macro="">
      <xdr:nvGraphicFramePr>
        <xdr:cNvPr id="3" name="Chart 2">
          <a:extLst>
            <a:ext uri="{FF2B5EF4-FFF2-40B4-BE49-F238E27FC236}">
              <a16:creationId xmlns:a16="http://schemas.microsoft.com/office/drawing/2014/main" id="{7F2E8108-9554-B5A6-0B5A-482597818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refreshedDate="45973.030402083336" createdVersion="8" refreshedVersion="8" minRefreshableVersion="3" recordCount="200" xr:uid="{3C980027-956B-4189-92D5-5319B9E2F2B6}">
  <cacheSource type="worksheet">
    <worksheetSource name="Table4_1"/>
  </cacheSource>
  <cacheFields count="9">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Platform" numFmtId="0">
      <sharedItems count="4">
        <s v="Instagram"/>
        <s v="Twitter"/>
        <s v="YouTube"/>
        <s v="LinkedIn"/>
      </sharedItems>
    </cacheField>
    <cacheField name="New_Followers" numFmtId="3">
      <sharedItems containsSemiMixedTypes="0" containsString="0" containsNumber="1" containsInteger="1" minValue="1016" maxValue="9984"/>
    </cacheField>
    <cacheField name="Unfollows" numFmtId="3">
      <sharedItems containsSemiMixedTypes="0" containsString="0" containsNumber="1" containsInteger="1" minValue="67" maxValue="1417"/>
    </cacheField>
    <cacheField name="Total_Followers" numFmtId="3">
      <sharedItems containsSemiMixedTypes="0" containsString="0" containsNumber="1" containsInteger="1" minValue="103777" maxValue="1186398"/>
    </cacheField>
    <cacheField name="Follower Growth Rate" numFmtId="10">
      <sharedItems containsSemiMixedTypes="0" containsString="0" containsNumber="1" minValue="7.7465246904209403E-4" maxValue="6.8070592967519203E-2" count="200">
        <n v="3.6395347716738802E-2"/>
        <n v="6.6829123542159405E-2"/>
        <n v="6.8070592967519203E-2"/>
        <n v="6.1877471443283601E-2"/>
        <n v="5.3675846984778799E-2"/>
        <n v="5.2700569431132702E-2"/>
        <n v="3.3603487025812201E-2"/>
        <n v="2.2859614680730701E-2"/>
        <n v="4.7249186834646899E-2"/>
        <n v="3.70779656877709E-2"/>
        <n v="3.9456245088495101E-2"/>
        <n v="3.2225476174260498E-2"/>
        <n v="4.6816337571003501E-2"/>
        <n v="2.5746435818378301E-2"/>
        <n v="4.3616549388067798E-2"/>
        <n v="3.1393725160874499E-2"/>
        <n v="2.5882241034909201E-2"/>
        <n v="3.8692775794040901E-2"/>
        <n v="1.44282978483722E-2"/>
        <n v="1.21343773230478E-2"/>
        <n v="3.0849604403758401E-2"/>
        <n v="8.2064008214958097E-3"/>
        <n v="2.5988097817933299E-2"/>
        <n v="1.3257669216218401E-2"/>
        <n v="1.45319857678935E-2"/>
        <n v="2.79368780972039E-2"/>
        <n v="7.1416279469970799E-3"/>
        <n v="5.3721821329235798E-3"/>
        <n v="2.8087593669421599E-2"/>
        <n v="2.84064402134983E-2"/>
        <n v="2.8458142547671102E-2"/>
        <n v="3.1394862470314498E-2"/>
        <n v="5.9823244818296801E-3"/>
        <n v="1.9526986052152799E-2"/>
        <n v="1.1473198674504199E-2"/>
        <n v="1.9715707271207701E-2"/>
        <n v="1.03806899136396E-2"/>
        <n v="1.11720242545062E-2"/>
        <n v="8.0587659281841292E-3"/>
        <n v="1.51277761825695E-2"/>
        <n v="1.7765229200580001E-2"/>
        <n v="2.0576366453286601E-2"/>
        <n v="2.0680124086625399E-2"/>
        <n v="2.0182085338096699E-2"/>
        <n v="1.9547470410440401E-2"/>
        <n v="1.4122161852061201E-2"/>
        <n v="1.8893649110919199E-2"/>
        <n v="1.1761783384455901E-2"/>
        <n v="4.0686808384763299E-3"/>
        <n v="1.5234972909130401E-2"/>
        <n v="2.13321791685348E-2"/>
        <n v="1.35573894547388E-2"/>
        <n v="1.3915779283639899E-2"/>
        <n v="4.7070867248110602E-3"/>
        <n v="1.62733468101229E-2"/>
        <n v="1.9904734026983201E-2"/>
        <n v="1.76848989213685E-2"/>
        <n v="2.1208152974095701E-2"/>
        <n v="5.76980001110022E-3"/>
        <n v="1.3957518612685099E-2"/>
        <n v="1.6205702953772001E-2"/>
        <n v="4.9088327737695503E-3"/>
        <n v="4.63057602232631E-3"/>
        <n v="8.6458124530537899E-3"/>
        <n v="2.8751158612388699E-3"/>
        <n v="1.07381558705685E-2"/>
        <n v="8.6741122874282404E-3"/>
        <n v="1.6323451825264498E-2"/>
        <n v="1.7407145236508999E-2"/>
        <n v="1.1723845618886499E-2"/>
        <n v="3.1647322078673201E-3"/>
        <n v="5.7749600830354396E-3"/>
        <n v="4.9126039438814597E-3"/>
        <n v="1.2426480165926901E-2"/>
        <n v="8.2418783612434997E-3"/>
        <n v="9.4651258932614106E-3"/>
        <n v="1.50600015123988E-2"/>
        <n v="1.36080573470122E-2"/>
        <n v="5.7258259280459E-3"/>
        <n v="1.03097634099383E-2"/>
        <n v="1.40376985967868E-2"/>
        <n v="1.26744151961072E-2"/>
        <n v="1.4304418098583301E-2"/>
        <n v="1.5095192020375899E-2"/>
        <n v="1.13228914433829E-2"/>
        <n v="1.04459223838211E-2"/>
        <n v="1.1102583604932501E-2"/>
        <n v="1.4181846557848699E-2"/>
        <n v="1.2096449831072E-2"/>
        <n v="5.0953714819261002E-3"/>
        <n v="8.17262056351724E-3"/>
        <n v="2.42340857612786E-3"/>
        <n v="1.6749342872388799E-3"/>
        <n v="1.40170829138385E-2"/>
        <n v="7.86528801260508E-3"/>
        <n v="8.3396972785746391E-3"/>
        <n v="8.2487229214992797E-3"/>
        <n v="1.00139291495689E-2"/>
        <n v="4.96183027387618E-3"/>
        <n v="9.9959824463811096E-3"/>
        <n v="1.29414545981438E-2"/>
        <n v="9.1461802003031598E-3"/>
        <n v="1.33379657104685E-2"/>
        <n v="7.6104086358827197E-3"/>
        <n v="2.0216966893793699E-3"/>
        <n v="7.9143689309009099E-3"/>
        <n v="1.10549909734477E-2"/>
        <n v="5.6604453152575597E-3"/>
        <n v="9.4783213011072308E-3"/>
        <n v="4.9146713091684701E-3"/>
        <n v="6.7559181278631598E-3"/>
        <n v="1.3367006734210699E-3"/>
        <n v="5.0339920594100803E-3"/>
        <n v="1.69287829883919E-3"/>
        <n v="1.17892507251627E-2"/>
        <n v="8.6010628309353201E-3"/>
        <n v="1.8702252479040301E-3"/>
        <n v="5.8674558852731496E-3"/>
        <n v="8.32730882527488E-3"/>
        <n v="9.78705672432768E-3"/>
        <n v="1.08330338836162E-2"/>
        <n v="5.5363012672795904E-3"/>
        <n v="1.0885794668208699E-2"/>
        <n v="3.9851724146857297E-3"/>
        <n v="1.18357574424327E-2"/>
        <n v="9.7120333968305408E-3"/>
        <n v="1.0776345414383701E-2"/>
        <n v="1.91828889630861E-3"/>
        <n v="9.2561160241940096E-3"/>
        <n v="3.6034323341081701E-3"/>
        <n v="8.9869550909155403E-3"/>
        <n v="1.22310632349635E-3"/>
        <n v="1.03008007971693E-2"/>
        <n v="8.8943808751035195E-3"/>
        <n v="5.0276484891415398E-3"/>
        <n v="9.04496128061715E-3"/>
        <n v="8.5063803711172108E-3"/>
        <n v="7.397905186791E-3"/>
        <n v="6.2732154042802997E-3"/>
        <n v="4.1926139561219902E-3"/>
        <n v="4.3599621410908996E-3"/>
        <n v="9.2275345635198999E-3"/>
        <n v="9.7157453085159502E-3"/>
        <n v="8.8674254157928897E-3"/>
        <n v="3.7963639269943698E-3"/>
        <n v="2.79503690002181E-3"/>
        <n v="1.12781081968627E-3"/>
        <n v="7.3286327056561202E-3"/>
        <n v="1.4138938637006299E-3"/>
        <n v="5.5598245183792498E-3"/>
        <n v="5.8932901657142503E-3"/>
        <n v="6.4901721634158397E-3"/>
        <n v="9.7274398018054094E-3"/>
        <n v="9.4810500429228992E-3"/>
        <n v="6.6916502259743004E-3"/>
        <n v="6.2143718554204799E-3"/>
        <n v="6.8642471170369196E-3"/>
        <n v="7.6346856342172E-3"/>
        <n v="2.1331928289458199E-3"/>
        <n v="4.3326141227910796E-3"/>
        <n v="8.8244726105487E-3"/>
        <n v="3.0196823988018098E-3"/>
        <n v="3.5726847897090599E-3"/>
        <n v="2.5411368454818402E-3"/>
        <n v="7.4709430162751E-3"/>
        <n v="8.1824694637581408E-3"/>
        <n v="4.7650942117658203E-3"/>
        <n v="7.1830773055903598E-3"/>
        <n v="8.7411286339618595E-3"/>
        <n v="2.7450681785103999E-3"/>
        <n v="4.0213653634588497E-3"/>
        <n v="8.8818396587699005E-3"/>
        <n v="5.9321304501212101E-3"/>
        <n v="5.7625343114345098E-3"/>
        <n v="1.47137808125538E-3"/>
        <n v="1.55627723485161E-3"/>
        <n v="5.9958139266151197E-3"/>
        <n v="4.2148281775461604E-3"/>
        <n v="7.6606230713766798E-3"/>
        <n v="1.31050389564526E-3"/>
        <n v="7.1666162961312703E-3"/>
        <n v="5.7807613574985097E-3"/>
        <n v="4.3276544167292598E-3"/>
        <n v="5.3849327962185002E-3"/>
        <n v="4.9120904876665504E-3"/>
        <n v="5.7147736460433796E-3"/>
        <n v="6.2386362330587603E-3"/>
        <n v="2.7291166600407401E-3"/>
        <n v="1.33105035895224E-3"/>
        <n v="2.5692110871204901E-3"/>
        <n v="6.5900459340594202E-3"/>
        <n v="4.7365962832998498E-3"/>
        <n v="7.7465246904209403E-4"/>
        <n v="4.4991947218659999E-3"/>
        <n v="1.7818166771834401E-3"/>
        <n v="6.8141481544266302E-3"/>
        <n v="2.39576500491965E-3"/>
        <n v="5.9643024822535499E-3"/>
        <n v="9.5083641372665096E-4"/>
        <n v="6.2677111728104704E-3"/>
      </sharedItems>
    </cacheField>
    <cacheField name="Engagement_Rate" numFmtId="0">
      <sharedItems containsSemiMixedTypes="0" containsString="0" containsNumber="1" minValue="1.381177897889402" maxValue="92.312204605638044"/>
    </cacheField>
    <cacheField name="Ad_Spend" numFmtId="164">
      <sharedItems containsSemiMixedTypes="0" containsString="0" containsNumber="1" containsInteger="1" minValue="10161" maxValue="59823" count="198">
        <n v="23944"/>
        <n v="29873"/>
        <n v="50372"/>
        <n v="33928"/>
        <n v="25379"/>
        <n v="46751"/>
        <n v="44546"/>
        <n v="34286"/>
        <n v="15110"/>
        <n v="22087"/>
        <n v="33762"/>
        <n v="27081"/>
        <n v="44947"/>
        <n v="19596"/>
        <n v="48019"/>
        <n v="52003"/>
        <n v="28313"/>
        <n v="57639"/>
        <n v="11013"/>
        <n v="59378"/>
        <n v="33705"/>
        <n v="11828"/>
        <n v="17909"/>
        <n v="48356"/>
        <n v="23109"/>
        <n v="12023"/>
        <n v="24537"/>
        <n v="36661"/>
        <n v="48659"/>
        <n v="43848"/>
        <n v="47804"/>
        <n v="37766"/>
        <n v="53590"/>
        <n v="12563"/>
        <n v="46060"/>
        <n v="39197"/>
        <n v="13586"/>
        <n v="26087"/>
        <n v="58868"/>
        <n v="33225"/>
        <n v="39750"/>
        <n v="16643"/>
        <n v="37523"/>
        <n v="46727"/>
        <n v="21005"/>
        <n v="53543"/>
        <n v="10161"/>
        <n v="26029"/>
        <n v="59745"/>
        <n v="24226"/>
        <n v="38731"/>
        <n v="53922"/>
        <n v="54848"/>
        <n v="13390"/>
        <n v="15997"/>
        <n v="22693"/>
        <n v="59815"/>
        <n v="52092"/>
        <n v="10541"/>
        <n v="31817"/>
        <n v="47861"/>
        <n v="23428"/>
        <n v="53934"/>
        <n v="58831"/>
        <n v="20258"/>
        <n v="26044"/>
        <n v="39411"/>
        <n v="15469"/>
        <n v="38854"/>
        <n v="16256"/>
        <n v="20720"/>
        <n v="43937"/>
        <n v="43598"/>
        <n v="11651"/>
        <n v="29194"/>
        <n v="35051"/>
        <n v="37386"/>
        <n v="19518"/>
        <n v="56026"/>
        <n v="26184"/>
        <n v="43787"/>
        <n v="31621"/>
        <n v="20028"/>
        <n v="22448"/>
        <n v="55253"/>
        <n v="44051"/>
        <n v="59811"/>
        <n v="40447"/>
        <n v="28394"/>
        <n v="44501"/>
        <n v="40254"/>
        <n v="28509"/>
        <n v="58998"/>
        <n v="24472"/>
        <n v="55657"/>
        <n v="13471"/>
        <n v="51796"/>
        <n v="40268"/>
        <n v="18329"/>
        <n v="44865"/>
        <n v="56850"/>
        <n v="56698"/>
        <n v="38272"/>
        <n v="52845"/>
        <n v="16397"/>
        <n v="42373"/>
        <n v="45525"/>
        <n v="34570"/>
        <n v="28284"/>
        <n v="28994"/>
        <n v="33284"/>
        <n v="27833"/>
        <n v="35122"/>
        <n v="15017"/>
        <n v="26370"/>
        <n v="39252"/>
        <n v="17999"/>
        <n v="32436"/>
        <n v="52963"/>
        <n v="12096"/>
        <n v="58201"/>
        <n v="35279"/>
        <n v="53363"/>
        <n v="58709"/>
        <n v="36201"/>
        <n v="29715"/>
        <n v="39309"/>
        <n v="25078"/>
        <n v="15105"/>
        <n v="39312"/>
        <n v="12839"/>
        <n v="13384"/>
        <n v="53619"/>
        <n v="52821"/>
        <n v="23493"/>
        <n v="27069"/>
        <n v="56907"/>
        <n v="17531"/>
        <n v="47051"/>
        <n v="17736"/>
        <n v="17710"/>
        <n v="11619"/>
        <n v="23975"/>
        <n v="55603"/>
        <n v="33252"/>
        <n v="25261"/>
        <n v="11431"/>
        <n v="19067"/>
        <n v="47481"/>
        <n v="37037"/>
        <n v="19557"/>
        <n v="19435"/>
        <n v="47766"/>
        <n v="10162"/>
        <n v="44742"/>
        <n v="29675"/>
        <n v="18461"/>
        <n v="27015"/>
        <n v="42591"/>
        <n v="38047"/>
        <n v="44782"/>
        <n v="19833"/>
        <n v="17896"/>
        <n v="42972"/>
        <n v="59733"/>
        <n v="51800"/>
        <n v="40508"/>
        <n v="15347"/>
        <n v="40314"/>
        <n v="12643"/>
        <n v="50785"/>
        <n v="28681"/>
        <n v="48328"/>
        <n v="25892"/>
        <n v="57299"/>
        <n v="27073"/>
        <n v="46768"/>
        <n v="40682"/>
        <n v="42262"/>
        <n v="41358"/>
        <n v="24289"/>
        <n v="59823"/>
        <n v="17927"/>
        <n v="58330"/>
        <n v="11171"/>
        <n v="21918"/>
        <n v="51903"/>
        <n v="49110"/>
        <n v="21929"/>
        <n v="12539"/>
        <n v="55951"/>
        <n v="32669"/>
        <n v="15432"/>
        <n v="30644"/>
        <n v="28745"/>
        <n v="38228"/>
        <n v="44521"/>
        <n v="41703"/>
      </sharedItems>
    </cacheField>
    <cacheField name="Net_Follower_Gain" numFmtId="0" formula="New_Followers-Unfollow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refreshedDate="45976.600375231479" createdVersion="8" refreshedVersion="8" minRefreshableVersion="3" recordCount="200" xr:uid="{0EF71DE1-90F4-4E18-BBD8-128C9624B0BC}">
  <cacheSource type="worksheet">
    <worksheetSource name="Table4_14"/>
  </cacheSource>
  <cacheFields count="12">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1"/>
    </cacheField>
    <cacheField name="Platform" numFmtId="0">
      <sharedItems count="4">
        <s v="Instagram"/>
        <s v="Twitter"/>
        <s v="YouTube"/>
        <s v="LinkedIn"/>
      </sharedItems>
    </cacheField>
    <cacheField name="New_Followers" numFmtId="3">
      <sharedItems containsSemiMixedTypes="0" containsString="0" containsNumber="1" containsInteger="1" minValue="1016" maxValue="9984"/>
    </cacheField>
    <cacheField name="Unfollows" numFmtId="3">
      <sharedItems containsSemiMixedTypes="0" containsString="0" containsNumber="1" containsInteger="1" minValue="67" maxValue="1417"/>
    </cacheField>
    <cacheField name="Total_Followers" numFmtId="3">
      <sharedItems containsSemiMixedTypes="0" containsString="0" containsNumber="1" containsInteger="1" minValue="103777" maxValue="1186398"/>
    </cacheField>
    <cacheField name="Net Followers Gain" numFmtId="3">
      <sharedItems containsSemiMixedTypes="0" containsString="0" containsNumber="1" containsInteger="1" minValue="893" maxValue="9335"/>
    </cacheField>
    <cacheField name="Follower Growth Rate" numFmtId="10">
      <sharedItems containsSemiMixedTypes="0" containsString="0" containsNumber="1" minValue="7.7465246904209403E-4" maxValue="6.8070592967519203E-2"/>
    </cacheField>
    <cacheField name="Engagement_Rate" numFmtId="0">
      <sharedItems containsSemiMixedTypes="0" containsString="0" containsNumber="1" minValue="1.381177897889402" maxValue="92.312204605638044"/>
    </cacheField>
    <cacheField name="Ad_Spend" numFmtId="164">
      <sharedItems containsSemiMixedTypes="0" containsString="0" containsNumber="1" containsInteger="1" minValue="10161" maxValue="59823"/>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19983320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refreshedDate="45978.035821874997" createdVersion="8" refreshedVersion="8" minRefreshableVersion="3" recordCount="200" xr:uid="{CF9C5B23-F5EB-4B7B-AC42-07778BEDBAC1}">
  <cacheSource type="worksheet">
    <worksheetSource ref="A1:I201" sheet="Task 6.4.."/>
  </cacheSource>
  <cacheFields count="9">
    <cacheField name="Week_Start_Date" numFmtId="14">
      <sharedItems containsSemiMixedTypes="0" containsNonDate="0" containsDate="1" containsString="0" minDate="2024-06-03T00:00:00" maxDate="2025-05-13T00:00:00"/>
    </cacheField>
    <cacheField name="Platform" numFmtId="0">
      <sharedItems count="4">
        <s v="Instagram"/>
        <s v="Twitter"/>
        <s v="YouTube"/>
        <s v="LinkedIn"/>
      </sharedItems>
    </cacheField>
    <cacheField name="New_Followers" numFmtId="3">
      <sharedItems containsSemiMixedTypes="0" containsString="0" containsNumber="1" containsInteger="1" minValue="1016" maxValue="9984"/>
    </cacheField>
    <cacheField name="Unfollows" numFmtId="3">
      <sharedItems containsSemiMixedTypes="0" containsString="0" containsNumber="1" containsInteger="1" minValue="67" maxValue="1417"/>
    </cacheField>
    <cacheField name="Net Follower Gain" numFmtId="3">
      <sharedItems containsSemiMixedTypes="0" containsString="0" containsNumber="1" containsInteger="1" minValue="893" maxValue="9335"/>
    </cacheField>
    <cacheField name="Total_Followers" numFmtId="3">
      <sharedItems containsSemiMixedTypes="0" containsString="0" containsNumber="1" containsInteger="1" minValue="103777" maxValue="1186398"/>
    </cacheField>
    <cacheField name="Follower Growth Rate" numFmtId="10">
      <sharedItems containsSemiMixedTypes="0" containsString="0" containsNumber="1" minValue="7.7465246904209403E-4" maxValue="6.8070592967519203E-2"/>
    </cacheField>
    <cacheField name="Engagement_Rate" numFmtId="0">
      <sharedItems containsSemiMixedTypes="0" containsString="0" containsNumber="1" minValue="1.381177897889402" maxValue="92.312204605638044"/>
    </cacheField>
    <cacheField name="Ad_Spend" numFmtId="164">
      <sharedItems containsSemiMixedTypes="0" containsString="0" containsNumber="1" containsInteger="1" minValue="10161" maxValue="598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4138"/>
    <n v="361"/>
    <n v="103777"/>
    <x v="0"/>
    <n v="56.637790647253247"/>
    <x v="0"/>
  </r>
  <r>
    <x v="0"/>
    <x v="1"/>
    <n v="8693"/>
    <n v="1261"/>
    <n v="111209"/>
    <x v="1"/>
    <n v="69.475492091467416"/>
    <x v="1"/>
  </r>
  <r>
    <x v="0"/>
    <x v="2"/>
    <n v="9264"/>
    <n v="1141"/>
    <n v="119332"/>
    <x v="2"/>
    <n v="92.312204605638044"/>
    <x v="2"/>
  </r>
  <r>
    <x v="0"/>
    <x v="2"/>
    <n v="8842"/>
    <n v="971"/>
    <n v="127203"/>
    <x v="3"/>
    <n v="16.351815601833291"/>
    <x v="3"/>
  </r>
  <r>
    <x v="1"/>
    <x v="0"/>
    <n v="7721"/>
    <n v="506"/>
    <n v="134418"/>
    <x v="4"/>
    <n v="35.577824398518047"/>
    <x v="4"/>
  </r>
  <r>
    <x v="1"/>
    <x v="2"/>
    <n v="8002"/>
    <n v="524"/>
    <n v="141896"/>
    <x v="5"/>
    <n v="52.064892597395271"/>
    <x v="5"/>
  </r>
  <r>
    <x v="1"/>
    <x v="1"/>
    <n v="5225"/>
    <n v="291"/>
    <n v="146830"/>
    <x v="6"/>
    <n v="19.551862698358651"/>
    <x v="6"/>
  </r>
  <r>
    <x v="1"/>
    <x v="1"/>
    <n v="3978"/>
    <n v="543"/>
    <n v="150265"/>
    <x v="7"/>
    <n v="49.159817655475329"/>
    <x v="7"/>
  </r>
  <r>
    <x v="2"/>
    <x v="0"/>
    <n v="8373"/>
    <n v="921"/>
    <n v="157717"/>
    <x v="8"/>
    <n v="12.2263294381709"/>
    <x v="8"/>
  </r>
  <r>
    <x v="2"/>
    <x v="1"/>
    <n v="6907"/>
    <n v="834"/>
    <n v="163790"/>
    <x v="9"/>
    <n v="54.158984064961238"/>
    <x v="9"/>
  </r>
  <r>
    <x v="2"/>
    <x v="3"/>
    <n v="7097"/>
    <n v="369"/>
    <n v="170518"/>
    <x v="10"/>
    <n v="9.2506362964613711"/>
    <x v="10"/>
  </r>
  <r>
    <x v="2"/>
    <x v="0"/>
    <n v="6656"/>
    <n v="978"/>
    <n v="176196"/>
    <x v="11"/>
    <n v="60.425889350496043"/>
    <x v="11"/>
  </r>
  <r>
    <x v="3"/>
    <x v="1"/>
    <n v="9984"/>
    <n v="1330"/>
    <n v="184850"/>
    <x v="12"/>
    <n v="57.524479307546663"/>
    <x v="12"/>
  </r>
  <r>
    <x v="3"/>
    <x v="0"/>
    <n v="5259"/>
    <n v="374"/>
    <n v="189735"/>
    <x v="13"/>
    <n v="14.827522597306769"/>
    <x v="13"/>
  </r>
  <r>
    <x v="3"/>
    <x v="2"/>
    <n v="9286"/>
    <n v="633"/>
    <n v="198388"/>
    <x v="14"/>
    <n v="5.4343004617214756"/>
    <x v="14"/>
  </r>
  <r>
    <x v="3"/>
    <x v="1"/>
    <n v="6901"/>
    <n v="471"/>
    <n v="204818"/>
    <x v="15"/>
    <n v="60.827661631301943"/>
    <x v="15"/>
  </r>
  <r>
    <x v="4"/>
    <x v="3"/>
    <n v="5917"/>
    <n v="475"/>
    <n v="210260"/>
    <x v="16"/>
    <n v="17.894035955483691"/>
    <x v="16"/>
  </r>
  <r>
    <x v="4"/>
    <x v="1"/>
    <n v="9429"/>
    <n v="966"/>
    <n v="218723"/>
    <x v="17"/>
    <n v="7.6914636320825887"/>
    <x v="17"/>
  </r>
  <r>
    <x v="4"/>
    <x v="0"/>
    <n v="3530"/>
    <n v="328"/>
    <n v="221925"/>
    <x v="18"/>
    <n v="12.8372197814577"/>
    <x v="18"/>
  </r>
  <r>
    <x v="4"/>
    <x v="0"/>
    <n v="2960"/>
    <n v="234"/>
    <n v="224651"/>
    <x v="19"/>
    <n v="17.41278694508371"/>
    <x v="19"/>
  </r>
  <r>
    <x v="5"/>
    <x v="1"/>
    <n v="8045"/>
    <n v="894"/>
    <n v="231802"/>
    <x v="20"/>
    <n v="47.634187798207087"/>
    <x v="20"/>
  </r>
  <r>
    <x v="5"/>
    <x v="3"/>
    <n v="2048"/>
    <n v="130"/>
    <n v="233720"/>
    <x v="21"/>
    <n v="39.284614068115687"/>
    <x v="21"/>
  </r>
  <r>
    <x v="5"/>
    <x v="3"/>
    <n v="6772"/>
    <n v="536"/>
    <n v="239956"/>
    <x v="22"/>
    <n v="9.8205504342462788"/>
    <x v="22"/>
  </r>
  <r>
    <x v="5"/>
    <x v="3"/>
    <n v="3529"/>
    <n v="305"/>
    <n v="243180"/>
    <x v="23"/>
    <n v="41.606628834608109"/>
    <x v="23"/>
  </r>
  <r>
    <x v="6"/>
    <x v="0"/>
    <n v="3964"/>
    <n v="378"/>
    <n v="246766"/>
    <x v="24"/>
    <n v="13.6355899921383"/>
    <x v="24"/>
  </r>
  <r>
    <x v="6"/>
    <x v="1"/>
    <n v="8137"/>
    <n v="1045"/>
    <n v="253858"/>
    <x v="25"/>
    <n v="20.47246886054408"/>
    <x v="25"/>
  </r>
  <r>
    <x v="6"/>
    <x v="2"/>
    <n v="1963"/>
    <n v="137"/>
    <n v="255684"/>
    <x v="26"/>
    <n v="11.2083665774941"/>
    <x v="26"/>
  </r>
  <r>
    <x v="6"/>
    <x v="0"/>
    <n v="1536"/>
    <n v="155"/>
    <n v="257065"/>
    <x v="27"/>
    <n v="12.15762550327738"/>
    <x v="27"/>
  </r>
  <r>
    <x v="7"/>
    <x v="3"/>
    <n v="8340"/>
    <n v="911"/>
    <n v="264494"/>
    <x v="28"/>
    <n v="37.302925586213682"/>
    <x v="28"/>
  </r>
  <r>
    <x v="7"/>
    <x v="1"/>
    <n v="8179"/>
    <n v="446"/>
    <n v="272227"/>
    <x v="29"/>
    <n v="41.82171496581897"/>
    <x v="29"/>
  </r>
  <r>
    <x v="7"/>
    <x v="3"/>
    <n v="8967"/>
    <n v="993"/>
    <n v="280201"/>
    <x v="30"/>
    <n v="52.792102811910027"/>
    <x v="30"/>
  </r>
  <r>
    <x v="7"/>
    <x v="2"/>
    <n v="9734"/>
    <n v="652"/>
    <n v="289283"/>
    <x v="31"/>
    <n v="49.647922622483861"/>
    <x v="4"/>
  </r>
  <r>
    <x v="8"/>
    <x v="3"/>
    <n v="1845"/>
    <n v="104"/>
    <n v="291024"/>
    <x v="32"/>
    <n v="28.158158777282971"/>
    <x v="31"/>
  </r>
  <r>
    <x v="8"/>
    <x v="3"/>
    <n v="6777"/>
    <n v="981"/>
    <n v="296820"/>
    <x v="33"/>
    <n v="23.920557913887201"/>
    <x v="32"/>
  </r>
  <r>
    <x v="8"/>
    <x v="2"/>
    <n v="4036"/>
    <n v="591"/>
    <n v="300265"/>
    <x v="34"/>
    <n v="44.219272975538267"/>
    <x v="33"/>
  </r>
  <r>
    <x v="8"/>
    <x v="1"/>
    <n v="6947"/>
    <n v="908"/>
    <n v="306304"/>
    <x v="35"/>
    <n v="14.117673944839121"/>
    <x v="34"/>
  </r>
  <r>
    <x v="9"/>
    <x v="0"/>
    <n v="3494"/>
    <n v="281"/>
    <n v="309517"/>
    <x v="36"/>
    <n v="27.765518533715429"/>
    <x v="35"/>
  </r>
  <r>
    <x v="9"/>
    <x v="1"/>
    <n v="3719"/>
    <n v="222"/>
    <n v="313014"/>
    <x v="37"/>
    <n v="21.669318305251519"/>
    <x v="36"/>
  </r>
  <r>
    <x v="9"/>
    <x v="2"/>
    <n v="2884"/>
    <n v="341"/>
    <n v="315557"/>
    <x v="38"/>
    <n v="46.999749649033298"/>
    <x v="37"/>
  </r>
  <r>
    <x v="9"/>
    <x v="3"/>
    <n v="5349"/>
    <n v="502"/>
    <n v="320404"/>
    <x v="39"/>
    <n v="5.2152906954969351"/>
    <x v="38"/>
  </r>
  <r>
    <x v="10"/>
    <x v="1"/>
    <n v="6179"/>
    <n v="384"/>
    <n v="326199"/>
    <x v="40"/>
    <n v="14.71218489327067"/>
    <x v="39"/>
  </r>
  <r>
    <x v="10"/>
    <x v="0"/>
    <n v="7610"/>
    <n v="757"/>
    <n v="333052"/>
    <x v="41"/>
    <n v="44.450416151231643"/>
    <x v="40"/>
  </r>
  <r>
    <x v="10"/>
    <x v="2"/>
    <n v="7430"/>
    <n v="397"/>
    <n v="340085"/>
    <x v="42"/>
    <n v="28.065042562888689"/>
    <x v="41"/>
  </r>
  <r>
    <x v="10"/>
    <x v="1"/>
    <n v="8154"/>
    <n v="1149"/>
    <n v="347090"/>
    <x v="43"/>
    <n v="26.003918292085629"/>
    <x v="42"/>
  </r>
  <r>
    <x v="11"/>
    <x v="0"/>
    <n v="7488"/>
    <n v="568"/>
    <n v="354010"/>
    <x v="44"/>
    <n v="13.47730290104799"/>
    <x v="43"/>
  </r>
  <r>
    <x v="11"/>
    <x v="2"/>
    <n v="5737"/>
    <n v="666"/>
    <n v="359081"/>
    <x v="45"/>
    <n v="4.6034181702735593"/>
    <x v="44"/>
  </r>
  <r>
    <x v="11"/>
    <x v="0"/>
    <n v="7525"/>
    <n v="610"/>
    <n v="365996"/>
    <x v="46"/>
    <n v="5.7694619613329108"/>
    <x v="45"/>
  </r>
  <r>
    <x v="11"/>
    <x v="2"/>
    <n v="4850"/>
    <n v="494"/>
    <n v="370352"/>
    <x v="47"/>
    <n v="20.46539508359615"/>
    <x v="46"/>
  </r>
  <r>
    <x v="12"/>
    <x v="3"/>
    <n v="1689"/>
    <n v="176"/>
    <n v="371865"/>
    <x v="48"/>
    <n v="38.012181840183942"/>
    <x v="47"/>
  </r>
  <r>
    <x v="12"/>
    <x v="1"/>
    <n v="6175"/>
    <n v="422"/>
    <n v="377618"/>
    <x v="49"/>
    <n v="37.86101298137271"/>
    <x v="48"/>
  </r>
  <r>
    <x v="12"/>
    <x v="0"/>
    <n v="9648"/>
    <n v="1417"/>
    <n v="385849"/>
    <x v="50"/>
    <n v="3.6633501706626168"/>
    <x v="49"/>
  </r>
  <r>
    <x v="12"/>
    <x v="2"/>
    <n v="6078"/>
    <n v="775"/>
    <n v="391152"/>
    <x v="51"/>
    <n v="37.760512537325639"/>
    <x v="50"/>
  </r>
  <r>
    <x v="13"/>
    <x v="0"/>
    <n v="6448"/>
    <n v="928"/>
    <n v="396672"/>
    <x v="52"/>
    <n v="30.118586640851881"/>
    <x v="51"/>
  </r>
  <r>
    <x v="13"/>
    <x v="0"/>
    <n v="2179"/>
    <n v="303"/>
    <n v="398548"/>
    <x v="53"/>
    <n v="33.909842729106657"/>
    <x v="52"/>
  </r>
  <r>
    <x v="13"/>
    <x v="1"/>
    <n v="7406"/>
    <n v="813"/>
    <n v="405141"/>
    <x v="54"/>
    <n v="24.457411123534769"/>
    <x v="53"/>
  </r>
  <r>
    <x v="13"/>
    <x v="3"/>
    <n v="9591"/>
    <n v="1363"/>
    <n v="413369"/>
    <x v="55"/>
    <n v="10.494255737609739"/>
    <x v="54"/>
  </r>
  <r>
    <x v="14"/>
    <x v="0"/>
    <n v="7907"/>
    <n v="465"/>
    <n v="420811"/>
    <x v="56"/>
    <n v="33.257448118038738"/>
    <x v="55"/>
  </r>
  <r>
    <x v="14"/>
    <x v="2"/>
    <n v="9800"/>
    <n v="682"/>
    <n v="429929"/>
    <x v="57"/>
    <n v="6.2966210699906267"/>
    <x v="56"/>
  </r>
  <r>
    <x v="14"/>
    <x v="2"/>
    <n v="2638"/>
    <n v="143"/>
    <n v="432424"/>
    <x v="58"/>
    <n v="6.9547481175882924"/>
    <x v="57"/>
  </r>
  <r>
    <x v="14"/>
    <x v="3"/>
    <n v="6671"/>
    <n v="550"/>
    <n v="438545"/>
    <x v="59"/>
    <n v="17.750287883797562"/>
    <x v="58"/>
  </r>
  <r>
    <x v="15"/>
    <x v="2"/>
    <n v="7928"/>
    <n v="704"/>
    <n v="445769"/>
    <x v="60"/>
    <n v="11.194362999670229"/>
    <x v="59"/>
  </r>
  <r>
    <x v="15"/>
    <x v="3"/>
    <n v="2382"/>
    <n v="183"/>
    <n v="447968"/>
    <x v="61"/>
    <n v="4.7335970426459033"/>
    <x v="60"/>
  </r>
  <r>
    <x v="15"/>
    <x v="2"/>
    <n v="2403"/>
    <n v="319"/>
    <n v="450052"/>
    <x v="62"/>
    <n v="29.92120910472568"/>
    <x v="61"/>
  </r>
  <r>
    <x v="15"/>
    <x v="1"/>
    <n v="4292"/>
    <n v="367"/>
    <n v="453977"/>
    <x v="63"/>
    <n v="3.5037017293827661"/>
    <x v="62"/>
  </r>
  <r>
    <x v="16"/>
    <x v="0"/>
    <n v="1419"/>
    <n v="110"/>
    <n v="455286"/>
    <x v="64"/>
    <n v="31.554451487636339"/>
    <x v="63"/>
  </r>
  <r>
    <x v="16"/>
    <x v="1"/>
    <n v="5517"/>
    <n v="575"/>
    <n v="460228"/>
    <x v="65"/>
    <n v="29.45844233727631"/>
    <x v="64"/>
  </r>
  <r>
    <x v="16"/>
    <x v="0"/>
    <n v="4302"/>
    <n v="275"/>
    <n v="464255"/>
    <x v="66"/>
    <n v="15.72131694865968"/>
    <x v="65"/>
  </r>
  <r>
    <x v="16"/>
    <x v="0"/>
    <n v="8857"/>
    <n v="1153"/>
    <n v="471959"/>
    <x v="67"/>
    <n v="19.214592793018038"/>
    <x v="66"/>
  </r>
  <r>
    <x v="17"/>
    <x v="0"/>
    <n v="8870"/>
    <n v="509"/>
    <n v="480320"/>
    <x v="68"/>
    <n v="25.077864756828781"/>
    <x v="67"/>
  </r>
  <r>
    <x v="17"/>
    <x v="1"/>
    <n v="6693"/>
    <n v="995"/>
    <n v="486018"/>
    <x v="69"/>
    <n v="23.761877132122681"/>
    <x v="68"/>
  </r>
  <r>
    <x v="17"/>
    <x v="0"/>
    <n v="1767"/>
    <n v="224"/>
    <n v="487561"/>
    <x v="70"/>
    <n v="13.208603641390511"/>
    <x v="69"/>
  </r>
  <r>
    <x v="17"/>
    <x v="1"/>
    <n v="3044"/>
    <n v="212"/>
    <n v="490393"/>
    <x v="71"/>
    <n v="8.5343795690395261"/>
    <x v="70"/>
  </r>
  <r>
    <x v="18"/>
    <x v="3"/>
    <n v="2549"/>
    <n v="128"/>
    <n v="492814"/>
    <x v="72"/>
    <n v="12.734216154573531"/>
    <x v="71"/>
  </r>
  <r>
    <x v="18"/>
    <x v="2"/>
    <n v="7140"/>
    <n v="939"/>
    <n v="499015"/>
    <x v="73"/>
    <n v="25.120888149654821"/>
    <x v="72"/>
  </r>
  <r>
    <x v="18"/>
    <x v="2"/>
    <n v="4716"/>
    <n v="569"/>
    <n v="503162"/>
    <x v="74"/>
    <n v="25.64820077827817"/>
    <x v="73"/>
  </r>
  <r>
    <x v="18"/>
    <x v="0"/>
    <n v="5481"/>
    <n v="673"/>
    <n v="507970"/>
    <x v="75"/>
    <n v="13.08758391243577"/>
    <x v="74"/>
  </r>
  <r>
    <x v="19"/>
    <x v="1"/>
    <n v="8898"/>
    <n v="1131"/>
    <n v="515737"/>
    <x v="76"/>
    <n v="2.1877429775253669"/>
    <x v="75"/>
  </r>
  <r>
    <x v="19"/>
    <x v="2"/>
    <n v="7548"/>
    <n v="433"/>
    <n v="522852"/>
    <x v="77"/>
    <n v="8.3562843787534522"/>
    <x v="76"/>
  </r>
  <r>
    <x v="19"/>
    <x v="1"/>
    <n v="3293"/>
    <n v="282"/>
    <n v="525863"/>
    <x v="78"/>
    <n v="27.040693108281051"/>
    <x v="77"/>
  </r>
  <r>
    <x v="19"/>
    <x v="1"/>
    <n v="5837"/>
    <n v="359"/>
    <n v="531341"/>
    <x v="79"/>
    <n v="6.8073045370110723"/>
    <x v="78"/>
  </r>
  <r>
    <x v="20"/>
    <x v="0"/>
    <n v="8758"/>
    <n v="1193"/>
    <n v="538906"/>
    <x v="80"/>
    <n v="3.4213758985797149"/>
    <x v="79"/>
  </r>
  <r>
    <x v="20"/>
    <x v="2"/>
    <n v="7793"/>
    <n v="875"/>
    <n v="545824"/>
    <x v="81"/>
    <n v="5.5136820660139527"/>
    <x v="80"/>
  </r>
  <r>
    <x v="20"/>
    <x v="0"/>
    <n v="8638"/>
    <n v="717"/>
    <n v="553745"/>
    <x v="82"/>
    <n v="26.921416897669499"/>
    <x v="81"/>
  </r>
  <r>
    <x v="20"/>
    <x v="0"/>
    <n v="8993"/>
    <n v="506"/>
    <n v="562232"/>
    <x v="83"/>
    <n v="3.5131404829323132"/>
    <x v="82"/>
  </r>
  <r>
    <x v="21"/>
    <x v="2"/>
    <n v="7007"/>
    <n v="568"/>
    <n v="568671"/>
    <x v="84"/>
    <n v="11.50507059442103"/>
    <x v="83"/>
  </r>
  <r>
    <x v="21"/>
    <x v="2"/>
    <n v="6542"/>
    <n v="539"/>
    <n v="574674"/>
    <x v="85"/>
    <n v="6.4069368024305948"/>
    <x v="84"/>
  </r>
  <r>
    <x v="21"/>
    <x v="3"/>
    <n v="7356"/>
    <n v="904"/>
    <n v="581126"/>
    <x v="86"/>
    <n v="17.560907617280929"/>
    <x v="85"/>
  </r>
  <r>
    <x v="21"/>
    <x v="3"/>
    <n v="9433"/>
    <n v="1073"/>
    <n v="589486"/>
    <x v="87"/>
    <n v="7.2934726185185053"/>
    <x v="86"/>
  </r>
  <r>
    <x v="22"/>
    <x v="1"/>
    <n v="8380"/>
    <n v="1162"/>
    <n v="596704"/>
    <x v="88"/>
    <n v="18.05853488496809"/>
    <x v="87"/>
  </r>
  <r>
    <x v="22"/>
    <x v="2"/>
    <n v="3385"/>
    <n v="329"/>
    <n v="599760"/>
    <x v="89"/>
    <n v="17.61788048552755"/>
    <x v="88"/>
  </r>
  <r>
    <x v="22"/>
    <x v="3"/>
    <n v="5268"/>
    <n v="326"/>
    <n v="604702"/>
    <x v="90"/>
    <n v="23.435841125050029"/>
    <x v="89"/>
  </r>
  <r>
    <x v="22"/>
    <x v="1"/>
    <n v="1671"/>
    <n v="202"/>
    <n v="606171"/>
    <x v="91"/>
    <n v="15.150015424690389"/>
    <x v="90"/>
  </r>
  <r>
    <x v="23"/>
    <x v="1"/>
    <n v="1163"/>
    <n v="146"/>
    <n v="607188"/>
    <x v="92"/>
    <n v="21.77776899411715"/>
    <x v="91"/>
  </r>
  <r>
    <x v="23"/>
    <x v="1"/>
    <n v="9656"/>
    <n v="1024"/>
    <n v="615820"/>
    <x v="93"/>
    <n v="8.7252768666168681"/>
    <x v="92"/>
  </r>
  <r>
    <x v="23"/>
    <x v="3"/>
    <n v="5592"/>
    <n v="710"/>
    <n v="620702"/>
    <x v="94"/>
    <n v="9.07118069540617"/>
    <x v="93"/>
  </r>
  <r>
    <x v="23"/>
    <x v="2"/>
    <n v="5795"/>
    <n v="575"/>
    <n v="625922"/>
    <x v="95"/>
    <n v="3.0908004511744269"/>
    <x v="94"/>
  </r>
  <r>
    <x v="24"/>
    <x v="0"/>
    <n v="5798"/>
    <n v="592"/>
    <n v="631128"/>
    <x v="96"/>
    <n v="1.6774727155188811"/>
    <x v="95"/>
  </r>
  <r>
    <x v="24"/>
    <x v="1"/>
    <n v="7036"/>
    <n v="652"/>
    <n v="637512"/>
    <x v="97"/>
    <n v="3.5705994553828009"/>
    <x v="96"/>
  </r>
  <r>
    <x v="24"/>
    <x v="3"/>
    <n v="3355"/>
    <n v="176"/>
    <n v="640691"/>
    <x v="98"/>
    <n v="12.426427091999111"/>
    <x v="97"/>
  </r>
  <r>
    <x v="24"/>
    <x v="3"/>
    <n v="6887"/>
    <n v="418"/>
    <n v="647160"/>
    <x v="99"/>
    <n v="20.240280610668151"/>
    <x v="98"/>
  </r>
  <r>
    <x v="25"/>
    <x v="0"/>
    <n v="8961"/>
    <n v="476"/>
    <n v="655645"/>
    <x v="100"/>
    <n v="15.458517947974901"/>
    <x v="99"/>
  </r>
  <r>
    <x v="25"/>
    <x v="0"/>
    <n v="6827"/>
    <n v="775"/>
    <n v="661697"/>
    <x v="101"/>
    <n v="15.96622018839439"/>
    <x v="100"/>
  </r>
  <r>
    <x v="25"/>
    <x v="3"/>
    <n v="9737"/>
    <n v="792"/>
    <n v="670642"/>
    <x v="102"/>
    <n v="5.301785453341723"/>
    <x v="101"/>
  </r>
  <r>
    <x v="25"/>
    <x v="2"/>
    <n v="5719"/>
    <n v="576"/>
    <n v="675785"/>
    <x v="103"/>
    <n v="10.21656296011305"/>
    <x v="102"/>
  </r>
  <r>
    <x v="26"/>
    <x v="0"/>
    <n v="1593"/>
    <n v="224"/>
    <n v="677154"/>
    <x v="104"/>
    <n v="4.1495730660972248"/>
    <x v="103"/>
  </r>
  <r>
    <x v="26"/>
    <x v="3"/>
    <n v="5839"/>
    <n v="437"/>
    <n v="682556"/>
    <x v="105"/>
    <n v="17.44750613869045"/>
    <x v="104"/>
  </r>
  <r>
    <x v="26"/>
    <x v="0"/>
    <n v="8394"/>
    <n v="764"/>
    <n v="690186"/>
    <x v="106"/>
    <n v="6.3556780346167558"/>
    <x v="105"/>
  </r>
  <r>
    <x v="26"/>
    <x v="2"/>
    <n v="4493"/>
    <n v="564"/>
    <n v="694115"/>
    <x v="107"/>
    <n v="16.625487131094989"/>
    <x v="106"/>
  </r>
  <r>
    <x v="27"/>
    <x v="1"/>
    <n v="7164"/>
    <n v="522"/>
    <n v="700757"/>
    <x v="108"/>
    <n v="13.449169969047761"/>
    <x v="107"/>
  </r>
  <r>
    <x v="27"/>
    <x v="0"/>
    <n v="3672"/>
    <n v="211"/>
    <n v="704218"/>
    <x v="109"/>
    <n v="12.35057894004413"/>
    <x v="108"/>
  </r>
  <r>
    <x v="27"/>
    <x v="2"/>
    <n v="5200"/>
    <n v="410"/>
    <n v="709008"/>
    <x v="110"/>
    <n v="12.913394489201821"/>
    <x v="109"/>
  </r>
  <r>
    <x v="27"/>
    <x v="3"/>
    <n v="1016"/>
    <n v="67"/>
    <n v="709957"/>
    <x v="111"/>
    <n v="20.774215903216671"/>
    <x v="110"/>
  </r>
  <r>
    <x v="28"/>
    <x v="0"/>
    <n v="4191"/>
    <n v="599"/>
    <n v="713549"/>
    <x v="112"/>
    <n v="11.56416728213479"/>
    <x v="111"/>
  </r>
  <r>
    <x v="28"/>
    <x v="0"/>
    <n v="1392"/>
    <n v="182"/>
    <n v="714759"/>
    <x v="113"/>
    <n v="5.9603306848881932"/>
    <x v="112"/>
  </r>
  <r>
    <x v="28"/>
    <x v="3"/>
    <n v="9616"/>
    <n v="1089"/>
    <n v="723286"/>
    <x v="114"/>
    <n v="19.25863351426683"/>
    <x v="113"/>
  </r>
  <r>
    <x v="28"/>
    <x v="1"/>
    <n v="7272"/>
    <n v="997"/>
    <n v="729561"/>
    <x v="115"/>
    <n v="13.428486445958599"/>
    <x v="114"/>
  </r>
  <r>
    <x v="29"/>
    <x v="3"/>
    <n v="1571"/>
    <n v="204"/>
    <n v="730928"/>
    <x v="116"/>
    <n v="19.449384891535139"/>
    <x v="115"/>
  </r>
  <r>
    <x v="29"/>
    <x v="0"/>
    <n v="4631"/>
    <n v="317"/>
    <n v="735242"/>
    <x v="117"/>
    <n v="1.381177897889402"/>
    <x v="116"/>
  </r>
  <r>
    <x v="29"/>
    <x v="3"/>
    <n v="7172"/>
    <n v="998"/>
    <n v="741416"/>
    <x v="118"/>
    <n v="18.0667803230575"/>
    <x v="117"/>
  </r>
  <r>
    <x v="29"/>
    <x v="2"/>
    <n v="8177"/>
    <n v="849"/>
    <n v="748744"/>
    <x v="119"/>
    <n v="10.34986590877523"/>
    <x v="118"/>
  </r>
  <r>
    <x v="30"/>
    <x v="3"/>
    <n v="9433"/>
    <n v="1233"/>
    <n v="756944"/>
    <x v="120"/>
    <n v="11.391727789638329"/>
    <x v="119"/>
  </r>
  <r>
    <x v="30"/>
    <x v="0"/>
    <n v="4897"/>
    <n v="683"/>
    <n v="761158"/>
    <x v="121"/>
    <n v="15.06231294947961"/>
    <x v="120"/>
  </r>
  <r>
    <x v="30"/>
    <x v="3"/>
    <n v="9123"/>
    <n v="746"/>
    <n v="769535"/>
    <x v="122"/>
    <n v="6.3086149427901264"/>
    <x v="121"/>
  </r>
  <r>
    <x v="30"/>
    <x v="1"/>
    <n v="3279"/>
    <n v="200"/>
    <n v="772614"/>
    <x v="123"/>
    <n v="5.0212654702089274"/>
    <x v="122"/>
  </r>
  <r>
    <x v="31"/>
    <x v="3"/>
    <n v="9980"/>
    <n v="726"/>
    <n v="781868"/>
    <x v="124"/>
    <n v="4.0220344099003924"/>
    <x v="123"/>
  </r>
  <r>
    <x v="31"/>
    <x v="1"/>
    <n v="8451"/>
    <n v="783"/>
    <n v="789536"/>
    <x v="125"/>
    <n v="12.407287318121019"/>
    <x v="124"/>
  </r>
  <r>
    <x v="31"/>
    <x v="2"/>
    <n v="9906"/>
    <n v="1305"/>
    <n v="798137"/>
    <x v="126"/>
    <n v="9.1811305577864442"/>
    <x v="125"/>
  </r>
  <r>
    <x v="31"/>
    <x v="1"/>
    <n v="1775"/>
    <n v="241"/>
    <n v="799671"/>
    <x v="127"/>
    <n v="8.1379717408784362"/>
    <x v="126"/>
  </r>
  <r>
    <x v="32"/>
    <x v="3"/>
    <n v="7869"/>
    <n v="398"/>
    <n v="807142"/>
    <x v="128"/>
    <n v="15.211945357818079"/>
    <x v="127"/>
  </r>
  <r>
    <x v="32"/>
    <x v="0"/>
    <n v="3247"/>
    <n v="328"/>
    <n v="810061"/>
    <x v="129"/>
    <n v="13.941172331466399"/>
    <x v="128"/>
  </r>
  <r>
    <x v="32"/>
    <x v="1"/>
    <n v="8088"/>
    <n v="742"/>
    <n v="817407"/>
    <x v="130"/>
    <n v="14.664542877660701"/>
    <x v="129"/>
  </r>
  <r>
    <x v="32"/>
    <x v="2"/>
    <n v="1078"/>
    <n v="77"/>
    <n v="818408"/>
    <x v="131"/>
    <n v="18.236747441373989"/>
    <x v="130"/>
  </r>
  <r>
    <x v="33"/>
    <x v="1"/>
    <n v="9080"/>
    <n v="562"/>
    <n v="826926"/>
    <x v="132"/>
    <n v="7.1083748727213809"/>
    <x v="131"/>
  </r>
  <r>
    <x v="33"/>
    <x v="1"/>
    <n v="8099"/>
    <n v="678"/>
    <n v="834347"/>
    <x v="133"/>
    <n v="7.6464588474579518"/>
    <x v="132"/>
  </r>
  <r>
    <x v="33"/>
    <x v="1"/>
    <n v="4926"/>
    <n v="710"/>
    <n v="838563"/>
    <x v="134"/>
    <n v="12.96217457722318"/>
    <x v="133"/>
  </r>
  <r>
    <x v="33"/>
    <x v="2"/>
    <n v="8340"/>
    <n v="686"/>
    <n v="846217"/>
    <x v="135"/>
    <n v="7.201344336027284"/>
    <x v="134"/>
  </r>
  <r>
    <x v="34"/>
    <x v="3"/>
    <n v="8083"/>
    <n v="823"/>
    <n v="853477"/>
    <x v="136"/>
    <n v="4.6300017457998282"/>
    <x v="135"/>
  </r>
  <r>
    <x v="34"/>
    <x v="1"/>
    <n v="7230"/>
    <n v="869"/>
    <n v="859838"/>
    <x v="137"/>
    <n v="7.0117859410726204"/>
    <x v="136"/>
  </r>
  <r>
    <x v="34"/>
    <x v="1"/>
    <n v="5940"/>
    <n v="512"/>
    <n v="865266"/>
    <x v="138"/>
    <n v="15.7972230504839"/>
    <x v="137"/>
  </r>
  <r>
    <x v="34"/>
    <x v="0"/>
    <n v="4271"/>
    <n v="628"/>
    <n v="868909"/>
    <x v="139"/>
    <n v="11.124410036033691"/>
    <x v="138"/>
  </r>
  <r>
    <x v="35"/>
    <x v="2"/>
    <n v="4456"/>
    <n v="651"/>
    <n v="872714"/>
    <x v="140"/>
    <n v="9.5052903929580594"/>
    <x v="139"/>
  </r>
  <r>
    <x v="35"/>
    <x v="1"/>
    <n v="8788"/>
    <n v="660"/>
    <n v="880842"/>
    <x v="141"/>
    <n v="3.7175793161543158"/>
    <x v="140"/>
  </r>
  <r>
    <x v="35"/>
    <x v="2"/>
    <n v="9599"/>
    <n v="957"/>
    <n v="889484"/>
    <x v="142"/>
    <n v="8.768004820772493"/>
    <x v="141"/>
  </r>
  <r>
    <x v="35"/>
    <x v="1"/>
    <n v="8650"/>
    <n v="692"/>
    <n v="897442"/>
    <x v="143"/>
    <n v="7.6673478620345374"/>
    <x v="142"/>
  </r>
  <r>
    <x v="36"/>
    <x v="3"/>
    <n v="3711"/>
    <n v="291"/>
    <n v="900862"/>
    <x v="144"/>
    <n v="14.24879726306582"/>
    <x v="143"/>
  </r>
  <r>
    <x v="36"/>
    <x v="3"/>
    <n v="2668"/>
    <n v="143"/>
    <n v="903387"/>
    <x v="145"/>
    <n v="15.903372530266649"/>
    <x v="144"/>
  </r>
  <r>
    <x v="36"/>
    <x v="1"/>
    <n v="1147"/>
    <n v="127"/>
    <n v="904407"/>
    <x v="146"/>
    <n v="1.3997016829812241"/>
    <x v="145"/>
  </r>
  <r>
    <x v="36"/>
    <x v="3"/>
    <n v="7420"/>
    <n v="743"/>
    <n v="911084"/>
    <x v="147"/>
    <n v="10.593534734448189"/>
    <x v="146"/>
  </r>
  <r>
    <x v="37"/>
    <x v="1"/>
    <n v="1365"/>
    <n v="75"/>
    <n v="912374"/>
    <x v="148"/>
    <n v="9.2688963078737441"/>
    <x v="147"/>
  </r>
  <r>
    <x v="37"/>
    <x v="3"/>
    <n v="5531"/>
    <n v="430"/>
    <n v="917475"/>
    <x v="149"/>
    <n v="2.7289026948963189"/>
    <x v="148"/>
  </r>
  <r>
    <x v="37"/>
    <x v="0"/>
    <n v="6330"/>
    <n v="891"/>
    <n v="922914"/>
    <x v="150"/>
    <n v="14.789893749580139"/>
    <x v="149"/>
  </r>
  <r>
    <x v="37"/>
    <x v="0"/>
    <n v="6510"/>
    <n v="481"/>
    <n v="928943"/>
    <x v="151"/>
    <n v="2.3800168578696428"/>
    <x v="150"/>
  </r>
  <r>
    <x v="38"/>
    <x v="0"/>
    <n v="9754"/>
    <n v="629"/>
    <n v="938068"/>
    <x v="152"/>
    <n v="3.4123325814333292"/>
    <x v="151"/>
  </r>
  <r>
    <x v="38"/>
    <x v="2"/>
    <n v="9964"/>
    <n v="985"/>
    <n v="947047"/>
    <x v="153"/>
    <n v="1.9837452629066989"/>
    <x v="152"/>
  </r>
  <r>
    <x v="38"/>
    <x v="2"/>
    <n v="7493"/>
    <n v="1113"/>
    <n v="953427"/>
    <x v="154"/>
    <n v="15.684892498324469"/>
    <x v="153"/>
  </r>
  <r>
    <x v="38"/>
    <x v="0"/>
    <n v="6439"/>
    <n v="477"/>
    <n v="959389"/>
    <x v="155"/>
    <n v="7.4744446725989153"/>
    <x v="154"/>
  </r>
  <r>
    <x v="39"/>
    <x v="2"/>
    <n v="7511"/>
    <n v="880"/>
    <n v="966020"/>
    <x v="156"/>
    <n v="4.6083932009689246"/>
    <x v="155"/>
  </r>
  <r>
    <x v="39"/>
    <x v="3"/>
    <n v="8504"/>
    <n v="1072"/>
    <n v="973452"/>
    <x v="157"/>
    <n v="6.5651927367759271"/>
    <x v="156"/>
  </r>
  <r>
    <x v="39"/>
    <x v="1"/>
    <n v="2246"/>
    <n v="165"/>
    <n v="975533"/>
    <x v="158"/>
    <n v="2.9062061457685191"/>
    <x v="157"/>
  </r>
  <r>
    <x v="39"/>
    <x v="1"/>
    <n v="4839"/>
    <n v="594"/>
    <n v="979778"/>
    <x v="159"/>
    <n v="2.5803804535313102"/>
    <x v="158"/>
  </r>
  <r>
    <x v="40"/>
    <x v="1"/>
    <n v="9551"/>
    <n v="828"/>
    <n v="988501"/>
    <x v="160"/>
    <n v="1.525036393488727"/>
    <x v="159"/>
  </r>
  <r>
    <x v="40"/>
    <x v="0"/>
    <n v="3376"/>
    <n v="382"/>
    <n v="991495"/>
    <x v="161"/>
    <n v="3.8694093263203548"/>
    <x v="160"/>
  </r>
  <r>
    <x v="40"/>
    <x v="2"/>
    <n v="4009"/>
    <n v="454"/>
    <n v="995050"/>
    <x v="162"/>
    <n v="2.1106477061454201"/>
    <x v="161"/>
  </r>
  <r>
    <x v="40"/>
    <x v="3"/>
    <n v="2827"/>
    <n v="292"/>
    <n v="997585"/>
    <x v="163"/>
    <n v="2.4004972007397871"/>
    <x v="162"/>
  </r>
  <r>
    <x v="41"/>
    <x v="3"/>
    <n v="7979"/>
    <n v="470"/>
    <n v="1005094"/>
    <x v="164"/>
    <n v="10.43086517280971"/>
    <x v="163"/>
  </r>
  <r>
    <x v="41"/>
    <x v="0"/>
    <n v="9569"/>
    <n v="1277"/>
    <n v="1013386"/>
    <x v="165"/>
    <n v="12.45517502708741"/>
    <x v="164"/>
  </r>
  <r>
    <x v="41"/>
    <x v="3"/>
    <n v="5285"/>
    <n v="433"/>
    <n v="1018238"/>
    <x v="166"/>
    <n v="8.7022876773406619"/>
    <x v="165"/>
  </r>
  <r>
    <x v="41"/>
    <x v="3"/>
    <n v="7910"/>
    <n v="543"/>
    <n v="1025605"/>
    <x v="167"/>
    <n v="6.0590578244060822"/>
    <x v="166"/>
  </r>
  <r>
    <x v="42"/>
    <x v="3"/>
    <n v="9561"/>
    <n v="517"/>
    <n v="1034649"/>
    <x v="168"/>
    <n v="6.4086467971263694"/>
    <x v="167"/>
  </r>
  <r>
    <x v="42"/>
    <x v="3"/>
    <n v="3196"/>
    <n v="348"/>
    <n v="1037497"/>
    <x v="169"/>
    <n v="14.03040201562029"/>
    <x v="168"/>
  </r>
  <r>
    <x v="42"/>
    <x v="2"/>
    <n v="4747"/>
    <n v="558"/>
    <n v="1041686"/>
    <x v="170"/>
    <n v="5.7680529449373434"/>
    <x v="169"/>
  </r>
  <r>
    <x v="42"/>
    <x v="3"/>
    <n v="9843"/>
    <n v="508"/>
    <n v="1051021"/>
    <x v="171"/>
    <n v="4.2080986012648651"/>
    <x v="170"/>
  </r>
  <r>
    <x v="43"/>
    <x v="1"/>
    <n v="6978"/>
    <n v="706"/>
    <n v="1057293"/>
    <x v="172"/>
    <n v="5.057443868445171"/>
    <x v="171"/>
  </r>
  <r>
    <x v="43"/>
    <x v="0"/>
    <n v="6607"/>
    <n v="479"/>
    <n v="1063421"/>
    <x v="173"/>
    <n v="5.5892257158735816"/>
    <x v="172"/>
  </r>
  <r>
    <x v="43"/>
    <x v="2"/>
    <n v="1769"/>
    <n v="202"/>
    <n v="1064988"/>
    <x v="174"/>
    <n v="6.5457075572682513"/>
    <x v="173"/>
  </r>
  <r>
    <x v="43"/>
    <x v="3"/>
    <n v="1780"/>
    <n v="120"/>
    <n v="1066648"/>
    <x v="175"/>
    <n v="13.86474263299608"/>
    <x v="174"/>
  </r>
  <r>
    <x v="44"/>
    <x v="2"/>
    <n v="7303"/>
    <n v="869"/>
    <n v="1073082"/>
    <x v="176"/>
    <n v="8.1237966902808925"/>
    <x v="175"/>
  </r>
  <r>
    <x v="44"/>
    <x v="3"/>
    <n v="4983"/>
    <n v="441"/>
    <n v="1077624"/>
    <x v="177"/>
    <n v="6.8954477628560609"/>
    <x v="176"/>
  </r>
  <r>
    <x v="44"/>
    <x v="1"/>
    <n v="9714"/>
    <n v="1395"/>
    <n v="1085943"/>
    <x v="178"/>
    <n v="5.2243073531483697"/>
    <x v="177"/>
  </r>
  <r>
    <x v="44"/>
    <x v="0"/>
    <n v="1521"/>
    <n v="96"/>
    <n v="1087368"/>
    <x v="179"/>
    <n v="12.709772588488899"/>
    <x v="178"/>
  </r>
  <r>
    <x v="45"/>
    <x v="3"/>
    <n v="8569"/>
    <n v="720"/>
    <n v="1095217"/>
    <x v="180"/>
    <n v="9.589697749395782"/>
    <x v="179"/>
  </r>
  <r>
    <x v="45"/>
    <x v="3"/>
    <n v="6784"/>
    <n v="416"/>
    <n v="1101585"/>
    <x v="181"/>
    <n v="9.3041390360253633"/>
    <x v="180"/>
  </r>
  <r>
    <x v="45"/>
    <x v="3"/>
    <n v="5583"/>
    <n v="795"/>
    <n v="1106373"/>
    <x v="182"/>
    <n v="12.21550055903389"/>
    <x v="181"/>
  </r>
  <r>
    <x v="45"/>
    <x v="3"/>
    <n v="6946"/>
    <n v="956"/>
    <n v="1112363"/>
    <x v="183"/>
    <n v="1.64146056637986"/>
    <x v="182"/>
  </r>
  <r>
    <x v="46"/>
    <x v="0"/>
    <n v="5941"/>
    <n v="450"/>
    <n v="1117854"/>
    <x v="184"/>
    <n v="12.414411899944"/>
    <x v="183"/>
  </r>
  <r>
    <x v="46"/>
    <x v="0"/>
    <n v="7267"/>
    <n v="842"/>
    <n v="1124279"/>
    <x v="185"/>
    <n v="2.2102165031989389"/>
    <x v="184"/>
  </r>
  <r>
    <x v="46"/>
    <x v="1"/>
    <n v="8128"/>
    <n v="1070"/>
    <n v="1131337"/>
    <x v="186"/>
    <n v="8.1114645768679008"/>
    <x v="185"/>
  </r>
  <r>
    <x v="46"/>
    <x v="0"/>
    <n v="3461"/>
    <n v="365"/>
    <n v="1134433"/>
    <x v="187"/>
    <n v="10.23489267325616"/>
    <x v="186"/>
  </r>
  <r>
    <x v="47"/>
    <x v="3"/>
    <n v="1685"/>
    <n v="173"/>
    <n v="1135945"/>
    <x v="188"/>
    <n v="8.7776256772995165"/>
    <x v="187"/>
  </r>
  <r>
    <x v="47"/>
    <x v="1"/>
    <n v="3160"/>
    <n v="234"/>
    <n v="1138871"/>
    <x v="189"/>
    <n v="5.6959041015180816"/>
    <x v="188"/>
  </r>
  <r>
    <x v="47"/>
    <x v="1"/>
    <n v="8031"/>
    <n v="476"/>
    <n v="1146426"/>
    <x v="190"/>
    <n v="11.940413075069831"/>
    <x v="189"/>
  </r>
  <r>
    <x v="47"/>
    <x v="1"/>
    <n v="6341"/>
    <n v="885"/>
    <n v="1151882"/>
    <x v="191"/>
    <n v="6.3457020771224837"/>
    <x v="43"/>
  </r>
  <r>
    <x v="48"/>
    <x v="3"/>
    <n v="1038"/>
    <n v="145"/>
    <n v="1152775"/>
    <x v="192"/>
    <n v="11.093752033137431"/>
    <x v="190"/>
  </r>
  <r>
    <x v="48"/>
    <x v="2"/>
    <n v="5875"/>
    <n v="665"/>
    <n v="1157985"/>
    <x v="193"/>
    <n v="6.9871371390821126"/>
    <x v="191"/>
  </r>
  <r>
    <x v="48"/>
    <x v="3"/>
    <n v="2256"/>
    <n v="189"/>
    <n v="1160052"/>
    <x v="194"/>
    <n v="2.8935771844710412"/>
    <x v="192"/>
  </r>
  <r>
    <x v="48"/>
    <x v="0"/>
    <n v="8697"/>
    <n v="738"/>
    <n v="1168011"/>
    <x v="195"/>
    <n v="3.8777032065622672"/>
    <x v="193"/>
  </r>
  <r>
    <x v="49"/>
    <x v="0"/>
    <n v="3196"/>
    <n v="391"/>
    <n v="1170816"/>
    <x v="196"/>
    <n v="7.2439221876024931"/>
    <x v="194"/>
  </r>
  <r>
    <x v="49"/>
    <x v="3"/>
    <n v="8165"/>
    <n v="1140"/>
    <n v="1177841"/>
    <x v="197"/>
    <n v="9.095964565675672"/>
    <x v="195"/>
  </r>
  <r>
    <x v="49"/>
    <x v="3"/>
    <n v="1301"/>
    <n v="180"/>
    <n v="1178962"/>
    <x v="198"/>
    <n v="5.2275645864752214"/>
    <x v="196"/>
  </r>
  <r>
    <x v="49"/>
    <x v="1"/>
    <n v="8527"/>
    <n v="1091"/>
    <n v="1186398"/>
    <x v="199"/>
    <n v="1.676081719625286"/>
    <x v="1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4138"/>
    <n v="361"/>
    <n v="103777"/>
    <n v="3777"/>
    <n v="3.6395347716738802E-2"/>
    <n v="56.637790647253247"/>
    <n v="23944"/>
  </r>
  <r>
    <x v="0"/>
    <x v="1"/>
    <n v="8693"/>
    <n v="1261"/>
    <n v="111209"/>
    <n v="7432"/>
    <n v="6.6829123542159405E-2"/>
    <n v="69.475492091467416"/>
    <n v="29873"/>
  </r>
  <r>
    <x v="0"/>
    <x v="2"/>
    <n v="9264"/>
    <n v="1141"/>
    <n v="119332"/>
    <n v="8123"/>
    <n v="6.8070592967519203E-2"/>
    <n v="92.312204605638044"/>
    <n v="50372"/>
  </r>
  <r>
    <x v="0"/>
    <x v="2"/>
    <n v="8842"/>
    <n v="971"/>
    <n v="127203"/>
    <n v="7871"/>
    <n v="6.1877471443283601E-2"/>
    <n v="16.351815601833291"/>
    <n v="33928"/>
  </r>
  <r>
    <x v="1"/>
    <x v="0"/>
    <n v="7721"/>
    <n v="506"/>
    <n v="134418"/>
    <n v="7215"/>
    <n v="5.3675846984778799E-2"/>
    <n v="35.577824398518047"/>
    <n v="25379"/>
  </r>
  <r>
    <x v="1"/>
    <x v="2"/>
    <n v="8002"/>
    <n v="524"/>
    <n v="141896"/>
    <n v="7478"/>
    <n v="5.2700569431132702E-2"/>
    <n v="52.064892597395271"/>
    <n v="46751"/>
  </r>
  <r>
    <x v="1"/>
    <x v="1"/>
    <n v="5225"/>
    <n v="291"/>
    <n v="146830"/>
    <n v="4934"/>
    <n v="3.3603487025812201E-2"/>
    <n v="19.551862698358651"/>
    <n v="44546"/>
  </r>
  <r>
    <x v="1"/>
    <x v="1"/>
    <n v="3978"/>
    <n v="543"/>
    <n v="150265"/>
    <n v="3435"/>
    <n v="2.2859614680730701E-2"/>
    <n v="49.159817655475329"/>
    <n v="34286"/>
  </r>
  <r>
    <x v="2"/>
    <x v="0"/>
    <n v="8373"/>
    <n v="921"/>
    <n v="157717"/>
    <n v="7452"/>
    <n v="4.7249186834646899E-2"/>
    <n v="12.2263294381709"/>
    <n v="15110"/>
  </r>
  <r>
    <x v="2"/>
    <x v="1"/>
    <n v="6907"/>
    <n v="834"/>
    <n v="163790"/>
    <n v="6073"/>
    <n v="3.70779656877709E-2"/>
    <n v="54.158984064961238"/>
    <n v="22087"/>
  </r>
  <r>
    <x v="2"/>
    <x v="3"/>
    <n v="7097"/>
    <n v="369"/>
    <n v="170518"/>
    <n v="6728"/>
    <n v="3.9456245088495101E-2"/>
    <n v="9.2506362964613711"/>
    <n v="33762"/>
  </r>
  <r>
    <x v="2"/>
    <x v="0"/>
    <n v="6656"/>
    <n v="978"/>
    <n v="176196"/>
    <n v="5678"/>
    <n v="3.2225476174260498E-2"/>
    <n v="60.425889350496043"/>
    <n v="27081"/>
  </r>
  <r>
    <x v="3"/>
    <x v="1"/>
    <n v="9984"/>
    <n v="1330"/>
    <n v="184850"/>
    <n v="8654"/>
    <n v="4.6816337571003501E-2"/>
    <n v="57.524479307546663"/>
    <n v="44947"/>
  </r>
  <r>
    <x v="3"/>
    <x v="0"/>
    <n v="5259"/>
    <n v="374"/>
    <n v="189735"/>
    <n v="4885"/>
    <n v="2.5746435818378301E-2"/>
    <n v="14.827522597306769"/>
    <n v="19596"/>
  </r>
  <r>
    <x v="3"/>
    <x v="2"/>
    <n v="9286"/>
    <n v="633"/>
    <n v="198388"/>
    <n v="8653"/>
    <n v="4.3616549388067798E-2"/>
    <n v="5.4343004617214756"/>
    <n v="48019"/>
  </r>
  <r>
    <x v="3"/>
    <x v="1"/>
    <n v="6901"/>
    <n v="471"/>
    <n v="204818"/>
    <n v="6430"/>
    <n v="3.1393725160874499E-2"/>
    <n v="60.827661631301943"/>
    <n v="52003"/>
  </r>
  <r>
    <x v="4"/>
    <x v="3"/>
    <n v="5917"/>
    <n v="475"/>
    <n v="210260"/>
    <n v="5442"/>
    <n v="2.5882241034909201E-2"/>
    <n v="17.894035955483691"/>
    <n v="28313"/>
  </r>
  <r>
    <x v="4"/>
    <x v="1"/>
    <n v="9429"/>
    <n v="966"/>
    <n v="218723"/>
    <n v="8463"/>
    <n v="3.8692775794040901E-2"/>
    <n v="7.6914636320825887"/>
    <n v="57639"/>
  </r>
  <r>
    <x v="4"/>
    <x v="0"/>
    <n v="3530"/>
    <n v="328"/>
    <n v="221925"/>
    <n v="3202"/>
    <n v="1.44282978483722E-2"/>
    <n v="12.8372197814577"/>
    <n v="11013"/>
  </r>
  <r>
    <x v="4"/>
    <x v="0"/>
    <n v="2960"/>
    <n v="234"/>
    <n v="224651"/>
    <n v="2726"/>
    <n v="1.21343773230478E-2"/>
    <n v="17.41278694508371"/>
    <n v="59378"/>
  </r>
  <r>
    <x v="5"/>
    <x v="1"/>
    <n v="8045"/>
    <n v="894"/>
    <n v="231802"/>
    <n v="7151"/>
    <n v="3.0849604403758401E-2"/>
    <n v="47.634187798207087"/>
    <n v="33705"/>
  </r>
  <r>
    <x v="5"/>
    <x v="3"/>
    <n v="2048"/>
    <n v="130"/>
    <n v="233720"/>
    <n v="1918"/>
    <n v="8.2064008214958097E-3"/>
    <n v="39.284614068115687"/>
    <n v="11828"/>
  </r>
  <r>
    <x v="5"/>
    <x v="3"/>
    <n v="6772"/>
    <n v="536"/>
    <n v="239956"/>
    <n v="6236"/>
    <n v="2.5988097817933299E-2"/>
    <n v="9.8205504342462788"/>
    <n v="17909"/>
  </r>
  <r>
    <x v="5"/>
    <x v="3"/>
    <n v="3529"/>
    <n v="305"/>
    <n v="243180"/>
    <n v="3224"/>
    <n v="1.3257669216218401E-2"/>
    <n v="41.606628834608109"/>
    <n v="48356"/>
  </r>
  <r>
    <x v="6"/>
    <x v="0"/>
    <n v="3964"/>
    <n v="378"/>
    <n v="246766"/>
    <n v="3586"/>
    <n v="1.45319857678935E-2"/>
    <n v="13.6355899921383"/>
    <n v="23109"/>
  </r>
  <r>
    <x v="6"/>
    <x v="1"/>
    <n v="8137"/>
    <n v="1045"/>
    <n v="253858"/>
    <n v="7092"/>
    <n v="2.79368780972039E-2"/>
    <n v="20.47246886054408"/>
    <n v="12023"/>
  </r>
  <r>
    <x v="6"/>
    <x v="2"/>
    <n v="1963"/>
    <n v="137"/>
    <n v="255684"/>
    <n v="1826"/>
    <n v="7.1416279469970799E-3"/>
    <n v="11.2083665774941"/>
    <n v="24537"/>
  </r>
  <r>
    <x v="6"/>
    <x v="0"/>
    <n v="1536"/>
    <n v="155"/>
    <n v="257065"/>
    <n v="1381"/>
    <n v="5.3721821329235798E-3"/>
    <n v="12.15762550327738"/>
    <n v="36661"/>
  </r>
  <r>
    <x v="7"/>
    <x v="3"/>
    <n v="8340"/>
    <n v="911"/>
    <n v="264494"/>
    <n v="7429"/>
    <n v="2.8087593669421599E-2"/>
    <n v="37.302925586213682"/>
    <n v="48659"/>
  </r>
  <r>
    <x v="7"/>
    <x v="1"/>
    <n v="8179"/>
    <n v="446"/>
    <n v="272227"/>
    <n v="7733"/>
    <n v="2.84064402134983E-2"/>
    <n v="41.82171496581897"/>
    <n v="43848"/>
  </r>
  <r>
    <x v="7"/>
    <x v="3"/>
    <n v="8967"/>
    <n v="993"/>
    <n v="280201"/>
    <n v="7974"/>
    <n v="2.8458142547671102E-2"/>
    <n v="52.792102811910027"/>
    <n v="47804"/>
  </r>
  <r>
    <x v="7"/>
    <x v="2"/>
    <n v="9734"/>
    <n v="652"/>
    <n v="289283"/>
    <n v="9082"/>
    <n v="3.1394862470314498E-2"/>
    <n v="49.647922622483861"/>
    <n v="25379"/>
  </r>
  <r>
    <x v="8"/>
    <x v="3"/>
    <n v="1845"/>
    <n v="104"/>
    <n v="291024"/>
    <n v="1741"/>
    <n v="5.9823244818296801E-3"/>
    <n v="28.158158777282971"/>
    <n v="37766"/>
  </r>
  <r>
    <x v="8"/>
    <x v="3"/>
    <n v="6777"/>
    <n v="981"/>
    <n v="296820"/>
    <n v="5796"/>
    <n v="1.9526986052152799E-2"/>
    <n v="23.920557913887201"/>
    <n v="53590"/>
  </r>
  <r>
    <x v="8"/>
    <x v="2"/>
    <n v="4036"/>
    <n v="591"/>
    <n v="300265"/>
    <n v="3445"/>
    <n v="1.1473198674504199E-2"/>
    <n v="44.219272975538267"/>
    <n v="12563"/>
  </r>
  <r>
    <x v="8"/>
    <x v="1"/>
    <n v="6947"/>
    <n v="908"/>
    <n v="306304"/>
    <n v="6039"/>
    <n v="1.9715707271207701E-2"/>
    <n v="14.117673944839121"/>
    <n v="46060"/>
  </r>
  <r>
    <x v="9"/>
    <x v="0"/>
    <n v="3494"/>
    <n v="281"/>
    <n v="309517"/>
    <n v="3213"/>
    <n v="1.03806899136396E-2"/>
    <n v="27.765518533715429"/>
    <n v="39197"/>
  </r>
  <r>
    <x v="9"/>
    <x v="1"/>
    <n v="3719"/>
    <n v="222"/>
    <n v="313014"/>
    <n v="3497"/>
    <n v="1.11720242545062E-2"/>
    <n v="21.669318305251519"/>
    <n v="13586"/>
  </r>
  <r>
    <x v="9"/>
    <x v="2"/>
    <n v="2884"/>
    <n v="341"/>
    <n v="315557"/>
    <n v="2543"/>
    <n v="8.0587659281841292E-3"/>
    <n v="46.999749649033298"/>
    <n v="26087"/>
  </r>
  <r>
    <x v="9"/>
    <x v="3"/>
    <n v="5349"/>
    <n v="502"/>
    <n v="320404"/>
    <n v="4847"/>
    <n v="1.51277761825695E-2"/>
    <n v="5.2152906954969351"/>
    <n v="58868"/>
  </r>
  <r>
    <x v="10"/>
    <x v="1"/>
    <n v="6179"/>
    <n v="384"/>
    <n v="326199"/>
    <n v="5795"/>
    <n v="1.7765229200580001E-2"/>
    <n v="14.71218489327067"/>
    <n v="33225"/>
  </r>
  <r>
    <x v="10"/>
    <x v="0"/>
    <n v="7610"/>
    <n v="757"/>
    <n v="333052"/>
    <n v="6853"/>
    <n v="2.0576366453286601E-2"/>
    <n v="44.450416151231643"/>
    <n v="39750"/>
  </r>
  <r>
    <x v="10"/>
    <x v="2"/>
    <n v="7430"/>
    <n v="397"/>
    <n v="340085"/>
    <n v="7033"/>
    <n v="2.0680124086625399E-2"/>
    <n v="28.065042562888689"/>
    <n v="16643"/>
  </r>
  <r>
    <x v="10"/>
    <x v="1"/>
    <n v="8154"/>
    <n v="1149"/>
    <n v="347090"/>
    <n v="7005"/>
    <n v="2.0182085338096699E-2"/>
    <n v="26.003918292085629"/>
    <n v="37523"/>
  </r>
  <r>
    <x v="11"/>
    <x v="0"/>
    <n v="7488"/>
    <n v="568"/>
    <n v="354010"/>
    <n v="6920"/>
    <n v="1.9547470410440401E-2"/>
    <n v="13.47730290104799"/>
    <n v="46727"/>
  </r>
  <r>
    <x v="11"/>
    <x v="2"/>
    <n v="5737"/>
    <n v="666"/>
    <n v="359081"/>
    <n v="5071"/>
    <n v="1.4122161852061201E-2"/>
    <n v="4.6034181702735593"/>
    <n v="21005"/>
  </r>
  <r>
    <x v="11"/>
    <x v="0"/>
    <n v="7525"/>
    <n v="610"/>
    <n v="365996"/>
    <n v="6915"/>
    <n v="1.8893649110919199E-2"/>
    <n v="5.7694619613329108"/>
    <n v="53543"/>
  </r>
  <r>
    <x v="11"/>
    <x v="2"/>
    <n v="4850"/>
    <n v="494"/>
    <n v="370352"/>
    <n v="4356"/>
    <n v="1.1761783384455901E-2"/>
    <n v="20.46539508359615"/>
    <n v="10161"/>
  </r>
  <r>
    <x v="12"/>
    <x v="3"/>
    <n v="1689"/>
    <n v="176"/>
    <n v="371865"/>
    <n v="1513"/>
    <n v="4.0686808384763299E-3"/>
    <n v="38.012181840183942"/>
    <n v="26029"/>
  </r>
  <r>
    <x v="12"/>
    <x v="1"/>
    <n v="6175"/>
    <n v="422"/>
    <n v="377618"/>
    <n v="5753"/>
    <n v="1.5234972909130401E-2"/>
    <n v="37.86101298137271"/>
    <n v="59745"/>
  </r>
  <r>
    <x v="12"/>
    <x v="0"/>
    <n v="9648"/>
    <n v="1417"/>
    <n v="385849"/>
    <n v="8231"/>
    <n v="2.13321791685348E-2"/>
    <n v="3.6633501706626168"/>
    <n v="24226"/>
  </r>
  <r>
    <x v="12"/>
    <x v="2"/>
    <n v="6078"/>
    <n v="775"/>
    <n v="391152"/>
    <n v="5303"/>
    <n v="1.35573894547388E-2"/>
    <n v="37.760512537325639"/>
    <n v="38731"/>
  </r>
  <r>
    <x v="13"/>
    <x v="0"/>
    <n v="6448"/>
    <n v="928"/>
    <n v="396672"/>
    <n v="5520"/>
    <n v="1.3915779283639899E-2"/>
    <n v="30.118586640851881"/>
    <n v="53922"/>
  </r>
  <r>
    <x v="13"/>
    <x v="0"/>
    <n v="2179"/>
    <n v="303"/>
    <n v="398548"/>
    <n v="1876"/>
    <n v="4.7070867248110602E-3"/>
    <n v="33.909842729106657"/>
    <n v="54848"/>
  </r>
  <r>
    <x v="13"/>
    <x v="1"/>
    <n v="7406"/>
    <n v="813"/>
    <n v="405141"/>
    <n v="6593"/>
    <n v="1.62733468101229E-2"/>
    <n v="24.457411123534769"/>
    <n v="13390"/>
  </r>
  <r>
    <x v="13"/>
    <x v="3"/>
    <n v="9591"/>
    <n v="1363"/>
    <n v="413369"/>
    <n v="8228"/>
    <n v="1.9904734026983201E-2"/>
    <n v="10.494255737609739"/>
    <n v="15997"/>
  </r>
  <r>
    <x v="14"/>
    <x v="0"/>
    <n v="7907"/>
    <n v="465"/>
    <n v="420811"/>
    <n v="7442"/>
    <n v="1.76848989213685E-2"/>
    <n v="33.257448118038738"/>
    <n v="22693"/>
  </r>
  <r>
    <x v="14"/>
    <x v="2"/>
    <n v="9800"/>
    <n v="682"/>
    <n v="429929"/>
    <n v="9118"/>
    <n v="2.1208152974095701E-2"/>
    <n v="6.2966210699906267"/>
    <n v="59815"/>
  </r>
  <r>
    <x v="14"/>
    <x v="2"/>
    <n v="2638"/>
    <n v="143"/>
    <n v="432424"/>
    <n v="2495"/>
    <n v="5.76980001110022E-3"/>
    <n v="6.9547481175882924"/>
    <n v="52092"/>
  </r>
  <r>
    <x v="14"/>
    <x v="3"/>
    <n v="6671"/>
    <n v="550"/>
    <n v="438545"/>
    <n v="6121"/>
    <n v="1.3957518612685099E-2"/>
    <n v="17.750287883797562"/>
    <n v="10541"/>
  </r>
  <r>
    <x v="15"/>
    <x v="2"/>
    <n v="7928"/>
    <n v="704"/>
    <n v="445769"/>
    <n v="7224"/>
    <n v="1.6205702953772001E-2"/>
    <n v="11.194362999670229"/>
    <n v="31817"/>
  </r>
  <r>
    <x v="15"/>
    <x v="3"/>
    <n v="2382"/>
    <n v="183"/>
    <n v="447968"/>
    <n v="2199"/>
    <n v="4.9088327737695503E-3"/>
    <n v="4.7335970426459033"/>
    <n v="47861"/>
  </r>
  <r>
    <x v="15"/>
    <x v="2"/>
    <n v="2403"/>
    <n v="319"/>
    <n v="450052"/>
    <n v="2084"/>
    <n v="4.63057602232631E-3"/>
    <n v="29.92120910472568"/>
    <n v="23428"/>
  </r>
  <r>
    <x v="15"/>
    <x v="1"/>
    <n v="4292"/>
    <n v="367"/>
    <n v="453977"/>
    <n v="3925"/>
    <n v="8.6458124530537899E-3"/>
    <n v="3.5037017293827661"/>
    <n v="53934"/>
  </r>
  <r>
    <x v="16"/>
    <x v="0"/>
    <n v="1419"/>
    <n v="110"/>
    <n v="455286"/>
    <n v="1309"/>
    <n v="2.8751158612388699E-3"/>
    <n v="31.554451487636339"/>
    <n v="58831"/>
  </r>
  <r>
    <x v="16"/>
    <x v="1"/>
    <n v="5517"/>
    <n v="575"/>
    <n v="460228"/>
    <n v="4942"/>
    <n v="1.07381558705685E-2"/>
    <n v="29.45844233727631"/>
    <n v="20258"/>
  </r>
  <r>
    <x v="16"/>
    <x v="0"/>
    <n v="4302"/>
    <n v="275"/>
    <n v="464255"/>
    <n v="4027"/>
    <n v="8.6741122874282404E-3"/>
    <n v="15.72131694865968"/>
    <n v="26044"/>
  </r>
  <r>
    <x v="16"/>
    <x v="0"/>
    <n v="8857"/>
    <n v="1153"/>
    <n v="471959"/>
    <n v="7704"/>
    <n v="1.6323451825264498E-2"/>
    <n v="19.214592793018038"/>
    <n v="39411"/>
  </r>
  <r>
    <x v="17"/>
    <x v="0"/>
    <n v="8870"/>
    <n v="509"/>
    <n v="480320"/>
    <n v="8361"/>
    <n v="1.7407145236508999E-2"/>
    <n v="25.077864756828781"/>
    <n v="15469"/>
  </r>
  <r>
    <x v="17"/>
    <x v="1"/>
    <n v="6693"/>
    <n v="995"/>
    <n v="486018"/>
    <n v="5698"/>
    <n v="1.1723845618886499E-2"/>
    <n v="23.761877132122681"/>
    <n v="38854"/>
  </r>
  <r>
    <x v="17"/>
    <x v="0"/>
    <n v="1767"/>
    <n v="224"/>
    <n v="487561"/>
    <n v="1543"/>
    <n v="3.1647322078673201E-3"/>
    <n v="13.208603641390511"/>
    <n v="16256"/>
  </r>
  <r>
    <x v="17"/>
    <x v="1"/>
    <n v="3044"/>
    <n v="212"/>
    <n v="490393"/>
    <n v="2832"/>
    <n v="5.7749600830354396E-3"/>
    <n v="8.5343795690395261"/>
    <n v="20720"/>
  </r>
  <r>
    <x v="18"/>
    <x v="3"/>
    <n v="2549"/>
    <n v="128"/>
    <n v="492814"/>
    <n v="2421"/>
    <n v="4.9126039438814597E-3"/>
    <n v="12.734216154573531"/>
    <n v="43937"/>
  </r>
  <r>
    <x v="18"/>
    <x v="2"/>
    <n v="7140"/>
    <n v="939"/>
    <n v="499015"/>
    <n v="6201"/>
    <n v="1.2426480165926901E-2"/>
    <n v="25.120888149654821"/>
    <n v="43598"/>
  </r>
  <r>
    <x v="18"/>
    <x v="2"/>
    <n v="4716"/>
    <n v="569"/>
    <n v="503162"/>
    <n v="4147"/>
    <n v="8.2418783612434997E-3"/>
    <n v="25.64820077827817"/>
    <n v="11651"/>
  </r>
  <r>
    <x v="18"/>
    <x v="0"/>
    <n v="5481"/>
    <n v="673"/>
    <n v="507970"/>
    <n v="4808"/>
    <n v="9.4651258932614106E-3"/>
    <n v="13.08758391243577"/>
    <n v="29194"/>
  </r>
  <r>
    <x v="19"/>
    <x v="1"/>
    <n v="8898"/>
    <n v="1131"/>
    <n v="515737"/>
    <n v="7767"/>
    <n v="1.50600015123988E-2"/>
    <n v="2.1877429775253669"/>
    <n v="35051"/>
  </r>
  <r>
    <x v="19"/>
    <x v="2"/>
    <n v="7548"/>
    <n v="433"/>
    <n v="522852"/>
    <n v="7115"/>
    <n v="1.36080573470122E-2"/>
    <n v="8.3562843787534522"/>
    <n v="37386"/>
  </r>
  <r>
    <x v="19"/>
    <x v="1"/>
    <n v="3293"/>
    <n v="282"/>
    <n v="525863"/>
    <n v="3011"/>
    <n v="5.7258259280459E-3"/>
    <n v="27.040693108281051"/>
    <n v="19518"/>
  </r>
  <r>
    <x v="19"/>
    <x v="1"/>
    <n v="5837"/>
    <n v="359"/>
    <n v="531341"/>
    <n v="5478"/>
    <n v="1.03097634099383E-2"/>
    <n v="6.8073045370110723"/>
    <n v="56026"/>
  </r>
  <r>
    <x v="20"/>
    <x v="0"/>
    <n v="8758"/>
    <n v="1193"/>
    <n v="538906"/>
    <n v="7565"/>
    <n v="1.40376985967868E-2"/>
    <n v="3.4213758985797149"/>
    <n v="26184"/>
  </r>
  <r>
    <x v="20"/>
    <x v="2"/>
    <n v="7793"/>
    <n v="875"/>
    <n v="545824"/>
    <n v="6918"/>
    <n v="1.26744151961072E-2"/>
    <n v="5.5136820660139527"/>
    <n v="43787"/>
  </r>
  <r>
    <x v="20"/>
    <x v="0"/>
    <n v="8638"/>
    <n v="717"/>
    <n v="553745"/>
    <n v="7921"/>
    <n v="1.4304418098583301E-2"/>
    <n v="26.921416897669499"/>
    <n v="31621"/>
  </r>
  <r>
    <x v="20"/>
    <x v="0"/>
    <n v="8993"/>
    <n v="506"/>
    <n v="562232"/>
    <n v="8487"/>
    <n v="1.5095192020375899E-2"/>
    <n v="3.5131404829323132"/>
    <n v="20028"/>
  </r>
  <r>
    <x v="21"/>
    <x v="2"/>
    <n v="7007"/>
    <n v="568"/>
    <n v="568671"/>
    <n v="6439"/>
    <n v="1.13228914433829E-2"/>
    <n v="11.50507059442103"/>
    <n v="22448"/>
  </r>
  <r>
    <x v="21"/>
    <x v="2"/>
    <n v="6542"/>
    <n v="539"/>
    <n v="574674"/>
    <n v="6003"/>
    <n v="1.04459223838211E-2"/>
    <n v="6.4069368024305948"/>
    <n v="55253"/>
  </r>
  <r>
    <x v="21"/>
    <x v="3"/>
    <n v="7356"/>
    <n v="904"/>
    <n v="581126"/>
    <n v="6452"/>
    <n v="1.1102583604932501E-2"/>
    <n v="17.560907617280929"/>
    <n v="44051"/>
  </r>
  <r>
    <x v="21"/>
    <x v="3"/>
    <n v="9433"/>
    <n v="1073"/>
    <n v="589486"/>
    <n v="8360"/>
    <n v="1.4181846557848699E-2"/>
    <n v="7.2934726185185053"/>
    <n v="59811"/>
  </r>
  <r>
    <x v="22"/>
    <x v="1"/>
    <n v="8380"/>
    <n v="1162"/>
    <n v="596704"/>
    <n v="7218"/>
    <n v="1.2096449831072E-2"/>
    <n v="18.05853488496809"/>
    <n v="40447"/>
  </r>
  <r>
    <x v="22"/>
    <x v="2"/>
    <n v="3385"/>
    <n v="329"/>
    <n v="599760"/>
    <n v="3056"/>
    <n v="5.0953714819261002E-3"/>
    <n v="17.61788048552755"/>
    <n v="28394"/>
  </r>
  <r>
    <x v="22"/>
    <x v="3"/>
    <n v="5268"/>
    <n v="326"/>
    <n v="604702"/>
    <n v="4942"/>
    <n v="8.17262056351724E-3"/>
    <n v="23.435841125050029"/>
    <n v="44501"/>
  </r>
  <r>
    <x v="22"/>
    <x v="1"/>
    <n v="1671"/>
    <n v="202"/>
    <n v="606171"/>
    <n v="1469"/>
    <n v="2.42340857612786E-3"/>
    <n v="15.150015424690389"/>
    <n v="40254"/>
  </r>
  <r>
    <x v="23"/>
    <x v="1"/>
    <n v="1163"/>
    <n v="146"/>
    <n v="607188"/>
    <n v="1017"/>
    <n v="1.6749342872388799E-3"/>
    <n v="21.77776899411715"/>
    <n v="28509"/>
  </r>
  <r>
    <x v="23"/>
    <x v="1"/>
    <n v="9656"/>
    <n v="1024"/>
    <n v="615820"/>
    <n v="8632"/>
    <n v="1.40170829138385E-2"/>
    <n v="8.7252768666168681"/>
    <n v="58998"/>
  </r>
  <r>
    <x v="23"/>
    <x v="3"/>
    <n v="5592"/>
    <n v="710"/>
    <n v="620702"/>
    <n v="4882"/>
    <n v="7.86528801260508E-3"/>
    <n v="9.07118069540617"/>
    <n v="24472"/>
  </r>
  <r>
    <x v="23"/>
    <x v="2"/>
    <n v="5795"/>
    <n v="575"/>
    <n v="625922"/>
    <n v="5220"/>
    <n v="8.3396972785746391E-3"/>
    <n v="3.0908004511744269"/>
    <n v="55657"/>
  </r>
  <r>
    <x v="24"/>
    <x v="0"/>
    <n v="5798"/>
    <n v="592"/>
    <n v="631128"/>
    <n v="5206"/>
    <n v="8.2487229214992797E-3"/>
    <n v="1.6774727155188811"/>
    <n v="13471"/>
  </r>
  <r>
    <x v="24"/>
    <x v="1"/>
    <n v="7036"/>
    <n v="652"/>
    <n v="637512"/>
    <n v="6384"/>
    <n v="1.00139291495689E-2"/>
    <n v="3.5705994553828009"/>
    <n v="51796"/>
  </r>
  <r>
    <x v="24"/>
    <x v="3"/>
    <n v="3355"/>
    <n v="176"/>
    <n v="640691"/>
    <n v="3179"/>
    <n v="4.96183027387618E-3"/>
    <n v="12.426427091999111"/>
    <n v="40268"/>
  </r>
  <r>
    <x v="24"/>
    <x v="3"/>
    <n v="6887"/>
    <n v="418"/>
    <n v="647160"/>
    <n v="6469"/>
    <n v="9.9959824463811096E-3"/>
    <n v="20.240280610668151"/>
    <n v="18329"/>
  </r>
  <r>
    <x v="25"/>
    <x v="0"/>
    <n v="8961"/>
    <n v="476"/>
    <n v="655645"/>
    <n v="8485"/>
    <n v="1.29414545981438E-2"/>
    <n v="15.458517947974901"/>
    <n v="44865"/>
  </r>
  <r>
    <x v="25"/>
    <x v="0"/>
    <n v="6827"/>
    <n v="775"/>
    <n v="661697"/>
    <n v="6052"/>
    <n v="9.1461802003031598E-3"/>
    <n v="15.96622018839439"/>
    <n v="56850"/>
  </r>
  <r>
    <x v="25"/>
    <x v="3"/>
    <n v="9737"/>
    <n v="792"/>
    <n v="670642"/>
    <n v="8945"/>
    <n v="1.33379657104685E-2"/>
    <n v="5.301785453341723"/>
    <n v="56698"/>
  </r>
  <r>
    <x v="25"/>
    <x v="2"/>
    <n v="5719"/>
    <n v="576"/>
    <n v="675785"/>
    <n v="5143"/>
    <n v="7.6104086358827197E-3"/>
    <n v="10.21656296011305"/>
    <n v="38272"/>
  </r>
  <r>
    <x v="26"/>
    <x v="0"/>
    <n v="1593"/>
    <n v="224"/>
    <n v="677154"/>
    <n v="1369"/>
    <n v="2.0216966893793699E-3"/>
    <n v="4.1495730660972248"/>
    <n v="52845"/>
  </r>
  <r>
    <x v="26"/>
    <x v="3"/>
    <n v="5839"/>
    <n v="437"/>
    <n v="682556"/>
    <n v="5402"/>
    <n v="7.9143689309009099E-3"/>
    <n v="17.44750613869045"/>
    <n v="16397"/>
  </r>
  <r>
    <x v="26"/>
    <x v="0"/>
    <n v="8394"/>
    <n v="764"/>
    <n v="690186"/>
    <n v="7630"/>
    <n v="1.10549909734477E-2"/>
    <n v="6.3556780346167558"/>
    <n v="42373"/>
  </r>
  <r>
    <x v="26"/>
    <x v="2"/>
    <n v="4493"/>
    <n v="564"/>
    <n v="694115"/>
    <n v="3929"/>
    <n v="5.6604453152575597E-3"/>
    <n v="16.625487131094989"/>
    <n v="45525"/>
  </r>
  <r>
    <x v="27"/>
    <x v="1"/>
    <n v="7164"/>
    <n v="522"/>
    <n v="700757"/>
    <n v="6642"/>
    <n v="9.4783213011072308E-3"/>
    <n v="13.449169969047761"/>
    <n v="34570"/>
  </r>
  <r>
    <x v="27"/>
    <x v="0"/>
    <n v="3672"/>
    <n v="211"/>
    <n v="704218"/>
    <n v="3461"/>
    <n v="4.9146713091684701E-3"/>
    <n v="12.35057894004413"/>
    <n v="28284"/>
  </r>
  <r>
    <x v="27"/>
    <x v="2"/>
    <n v="5200"/>
    <n v="410"/>
    <n v="709008"/>
    <n v="4790"/>
    <n v="6.7559181278631598E-3"/>
    <n v="12.913394489201821"/>
    <n v="28994"/>
  </r>
  <r>
    <x v="27"/>
    <x v="3"/>
    <n v="1016"/>
    <n v="67"/>
    <n v="709957"/>
    <n v="949"/>
    <n v="1.3367006734210699E-3"/>
    <n v="20.774215903216671"/>
    <n v="33284"/>
  </r>
  <r>
    <x v="28"/>
    <x v="0"/>
    <n v="4191"/>
    <n v="599"/>
    <n v="713549"/>
    <n v="3592"/>
    <n v="5.0339920594100803E-3"/>
    <n v="11.56416728213479"/>
    <n v="27833"/>
  </r>
  <r>
    <x v="28"/>
    <x v="0"/>
    <n v="1392"/>
    <n v="182"/>
    <n v="714759"/>
    <n v="1210"/>
    <n v="1.69287829883919E-3"/>
    <n v="5.9603306848881932"/>
    <n v="35122"/>
  </r>
  <r>
    <x v="28"/>
    <x v="3"/>
    <n v="9616"/>
    <n v="1089"/>
    <n v="723286"/>
    <n v="8527"/>
    <n v="1.17892507251627E-2"/>
    <n v="19.25863351426683"/>
    <n v="15017"/>
  </r>
  <r>
    <x v="28"/>
    <x v="1"/>
    <n v="7272"/>
    <n v="997"/>
    <n v="729561"/>
    <n v="6275"/>
    <n v="8.6010628309353201E-3"/>
    <n v="13.428486445958599"/>
    <n v="26370"/>
  </r>
  <r>
    <x v="29"/>
    <x v="3"/>
    <n v="1571"/>
    <n v="204"/>
    <n v="730928"/>
    <n v="1367"/>
    <n v="1.8702252479040301E-3"/>
    <n v="19.449384891535139"/>
    <n v="39252"/>
  </r>
  <r>
    <x v="29"/>
    <x v="0"/>
    <n v="4631"/>
    <n v="317"/>
    <n v="735242"/>
    <n v="4314"/>
    <n v="5.8674558852731496E-3"/>
    <n v="1.381177897889402"/>
    <n v="17999"/>
  </r>
  <r>
    <x v="29"/>
    <x v="3"/>
    <n v="7172"/>
    <n v="998"/>
    <n v="741416"/>
    <n v="6174"/>
    <n v="8.32730882527488E-3"/>
    <n v="18.0667803230575"/>
    <n v="32436"/>
  </r>
  <r>
    <x v="29"/>
    <x v="2"/>
    <n v="8177"/>
    <n v="849"/>
    <n v="748744"/>
    <n v="7328"/>
    <n v="9.78705672432768E-3"/>
    <n v="10.34986590877523"/>
    <n v="52963"/>
  </r>
  <r>
    <x v="30"/>
    <x v="3"/>
    <n v="9433"/>
    <n v="1233"/>
    <n v="756944"/>
    <n v="8200"/>
    <n v="1.08330338836162E-2"/>
    <n v="11.391727789638329"/>
    <n v="12096"/>
  </r>
  <r>
    <x v="30"/>
    <x v="0"/>
    <n v="4897"/>
    <n v="683"/>
    <n v="761158"/>
    <n v="4214"/>
    <n v="5.5363012672795904E-3"/>
    <n v="15.06231294947961"/>
    <n v="58201"/>
  </r>
  <r>
    <x v="30"/>
    <x v="3"/>
    <n v="9123"/>
    <n v="746"/>
    <n v="769535"/>
    <n v="8377"/>
    <n v="1.0885794668208699E-2"/>
    <n v="6.3086149427901264"/>
    <n v="35279"/>
  </r>
  <r>
    <x v="30"/>
    <x v="1"/>
    <n v="3279"/>
    <n v="200"/>
    <n v="772614"/>
    <n v="3079"/>
    <n v="3.9851724146857297E-3"/>
    <n v="5.0212654702089274"/>
    <n v="53363"/>
  </r>
  <r>
    <x v="31"/>
    <x v="3"/>
    <n v="9980"/>
    <n v="726"/>
    <n v="781868"/>
    <n v="9254"/>
    <n v="1.18357574424327E-2"/>
    <n v="4.0220344099003924"/>
    <n v="58709"/>
  </r>
  <r>
    <x v="31"/>
    <x v="1"/>
    <n v="8451"/>
    <n v="783"/>
    <n v="789536"/>
    <n v="7668"/>
    <n v="9.7120333968305408E-3"/>
    <n v="12.407287318121019"/>
    <n v="36201"/>
  </r>
  <r>
    <x v="31"/>
    <x v="2"/>
    <n v="9906"/>
    <n v="1305"/>
    <n v="798137"/>
    <n v="8601"/>
    <n v="1.0776345414383701E-2"/>
    <n v="9.1811305577864442"/>
    <n v="29715"/>
  </r>
  <r>
    <x v="31"/>
    <x v="1"/>
    <n v="1775"/>
    <n v="241"/>
    <n v="799671"/>
    <n v="1534"/>
    <n v="1.91828889630861E-3"/>
    <n v="8.1379717408784362"/>
    <n v="39309"/>
  </r>
  <r>
    <x v="32"/>
    <x v="3"/>
    <n v="7869"/>
    <n v="398"/>
    <n v="807142"/>
    <n v="7471"/>
    <n v="9.2561160241940096E-3"/>
    <n v="15.211945357818079"/>
    <n v="25078"/>
  </r>
  <r>
    <x v="32"/>
    <x v="0"/>
    <n v="3247"/>
    <n v="328"/>
    <n v="810061"/>
    <n v="2919"/>
    <n v="3.6034323341081701E-3"/>
    <n v="13.941172331466399"/>
    <n v="15105"/>
  </r>
  <r>
    <x v="32"/>
    <x v="1"/>
    <n v="8088"/>
    <n v="742"/>
    <n v="817407"/>
    <n v="7346"/>
    <n v="8.9869550909155403E-3"/>
    <n v="14.664542877660701"/>
    <n v="39312"/>
  </r>
  <r>
    <x v="32"/>
    <x v="2"/>
    <n v="1078"/>
    <n v="77"/>
    <n v="818408"/>
    <n v="1001"/>
    <n v="1.22310632349635E-3"/>
    <n v="18.236747441373989"/>
    <n v="12839"/>
  </r>
  <r>
    <x v="33"/>
    <x v="1"/>
    <n v="9080"/>
    <n v="562"/>
    <n v="826926"/>
    <n v="8518"/>
    <n v="1.03008007971693E-2"/>
    <n v="7.1083748727213809"/>
    <n v="13384"/>
  </r>
  <r>
    <x v="33"/>
    <x v="1"/>
    <n v="8099"/>
    <n v="678"/>
    <n v="834347"/>
    <n v="7421"/>
    <n v="8.8943808751035195E-3"/>
    <n v="7.6464588474579518"/>
    <n v="53619"/>
  </r>
  <r>
    <x v="33"/>
    <x v="1"/>
    <n v="4926"/>
    <n v="710"/>
    <n v="838563"/>
    <n v="4216"/>
    <n v="5.0276484891415398E-3"/>
    <n v="12.96217457722318"/>
    <n v="52821"/>
  </r>
  <r>
    <x v="33"/>
    <x v="2"/>
    <n v="8340"/>
    <n v="686"/>
    <n v="846217"/>
    <n v="7654"/>
    <n v="9.04496128061715E-3"/>
    <n v="7.201344336027284"/>
    <n v="23493"/>
  </r>
  <r>
    <x v="34"/>
    <x v="3"/>
    <n v="8083"/>
    <n v="823"/>
    <n v="853477"/>
    <n v="7260"/>
    <n v="8.5063803711172108E-3"/>
    <n v="4.6300017457998282"/>
    <n v="27069"/>
  </r>
  <r>
    <x v="34"/>
    <x v="1"/>
    <n v="7230"/>
    <n v="869"/>
    <n v="859838"/>
    <n v="6361"/>
    <n v="7.397905186791E-3"/>
    <n v="7.0117859410726204"/>
    <n v="56907"/>
  </r>
  <r>
    <x v="34"/>
    <x v="1"/>
    <n v="5940"/>
    <n v="512"/>
    <n v="865266"/>
    <n v="5428"/>
    <n v="6.2732154042802997E-3"/>
    <n v="15.7972230504839"/>
    <n v="17531"/>
  </r>
  <r>
    <x v="34"/>
    <x v="0"/>
    <n v="4271"/>
    <n v="628"/>
    <n v="868909"/>
    <n v="3643"/>
    <n v="4.1926139561219902E-3"/>
    <n v="11.124410036033691"/>
    <n v="47051"/>
  </r>
  <r>
    <x v="35"/>
    <x v="2"/>
    <n v="4456"/>
    <n v="651"/>
    <n v="872714"/>
    <n v="3805"/>
    <n v="4.3599621410908996E-3"/>
    <n v="9.5052903929580594"/>
    <n v="17736"/>
  </r>
  <r>
    <x v="35"/>
    <x v="1"/>
    <n v="8788"/>
    <n v="660"/>
    <n v="880842"/>
    <n v="8128"/>
    <n v="9.2275345635198999E-3"/>
    <n v="3.7175793161543158"/>
    <n v="17710"/>
  </r>
  <r>
    <x v="35"/>
    <x v="2"/>
    <n v="9599"/>
    <n v="957"/>
    <n v="889484"/>
    <n v="8642"/>
    <n v="9.7157453085159502E-3"/>
    <n v="8.768004820772493"/>
    <n v="11619"/>
  </r>
  <r>
    <x v="35"/>
    <x v="1"/>
    <n v="8650"/>
    <n v="692"/>
    <n v="897442"/>
    <n v="7958"/>
    <n v="8.8674254157928897E-3"/>
    <n v="7.6673478620345374"/>
    <n v="23975"/>
  </r>
  <r>
    <x v="36"/>
    <x v="3"/>
    <n v="3711"/>
    <n v="291"/>
    <n v="900862"/>
    <n v="3420"/>
    <n v="3.7963639269943698E-3"/>
    <n v="14.24879726306582"/>
    <n v="55603"/>
  </r>
  <r>
    <x v="36"/>
    <x v="3"/>
    <n v="2668"/>
    <n v="143"/>
    <n v="903387"/>
    <n v="2525"/>
    <n v="2.79503690002181E-3"/>
    <n v="15.903372530266649"/>
    <n v="33252"/>
  </r>
  <r>
    <x v="36"/>
    <x v="1"/>
    <n v="1147"/>
    <n v="127"/>
    <n v="904407"/>
    <n v="1020"/>
    <n v="1.12781081968627E-3"/>
    <n v="1.3997016829812241"/>
    <n v="25261"/>
  </r>
  <r>
    <x v="36"/>
    <x v="3"/>
    <n v="7420"/>
    <n v="743"/>
    <n v="911084"/>
    <n v="6677"/>
    <n v="7.3286327056561202E-3"/>
    <n v="10.593534734448189"/>
    <n v="11431"/>
  </r>
  <r>
    <x v="37"/>
    <x v="1"/>
    <n v="1365"/>
    <n v="75"/>
    <n v="912374"/>
    <n v="1290"/>
    <n v="1.4138938637006299E-3"/>
    <n v="9.2688963078737441"/>
    <n v="19067"/>
  </r>
  <r>
    <x v="37"/>
    <x v="3"/>
    <n v="5531"/>
    <n v="430"/>
    <n v="917475"/>
    <n v="5101"/>
    <n v="5.5598245183792498E-3"/>
    <n v="2.7289026948963189"/>
    <n v="47481"/>
  </r>
  <r>
    <x v="37"/>
    <x v="0"/>
    <n v="6330"/>
    <n v="891"/>
    <n v="922914"/>
    <n v="5439"/>
    <n v="5.8932901657142503E-3"/>
    <n v="14.789893749580139"/>
    <n v="37037"/>
  </r>
  <r>
    <x v="37"/>
    <x v="0"/>
    <n v="6510"/>
    <n v="481"/>
    <n v="928943"/>
    <n v="6029"/>
    <n v="6.4901721634158397E-3"/>
    <n v="2.3800168578696428"/>
    <n v="19557"/>
  </r>
  <r>
    <x v="38"/>
    <x v="0"/>
    <n v="9754"/>
    <n v="629"/>
    <n v="938068"/>
    <n v="9125"/>
    <n v="9.7274398018054094E-3"/>
    <n v="3.4123325814333292"/>
    <n v="19435"/>
  </r>
  <r>
    <x v="38"/>
    <x v="2"/>
    <n v="9964"/>
    <n v="985"/>
    <n v="947047"/>
    <n v="8979"/>
    <n v="9.4810500429228992E-3"/>
    <n v="1.9837452629066989"/>
    <n v="47766"/>
  </r>
  <r>
    <x v="38"/>
    <x v="2"/>
    <n v="7493"/>
    <n v="1113"/>
    <n v="953427"/>
    <n v="6380"/>
    <n v="6.6916502259743004E-3"/>
    <n v="15.684892498324469"/>
    <n v="10162"/>
  </r>
  <r>
    <x v="38"/>
    <x v="0"/>
    <n v="6439"/>
    <n v="477"/>
    <n v="959389"/>
    <n v="5962"/>
    <n v="6.2143718554204799E-3"/>
    <n v="7.4744446725989153"/>
    <n v="44742"/>
  </r>
  <r>
    <x v="39"/>
    <x v="2"/>
    <n v="7511"/>
    <n v="880"/>
    <n v="966020"/>
    <n v="6631"/>
    <n v="6.8642471170369196E-3"/>
    <n v="4.6083932009689246"/>
    <n v="29675"/>
  </r>
  <r>
    <x v="39"/>
    <x v="3"/>
    <n v="8504"/>
    <n v="1072"/>
    <n v="973452"/>
    <n v="7432"/>
    <n v="7.6346856342172E-3"/>
    <n v="6.5651927367759271"/>
    <n v="18461"/>
  </r>
  <r>
    <x v="39"/>
    <x v="1"/>
    <n v="2246"/>
    <n v="165"/>
    <n v="975533"/>
    <n v="2081"/>
    <n v="2.1331928289458199E-3"/>
    <n v="2.9062061457685191"/>
    <n v="27015"/>
  </r>
  <r>
    <x v="39"/>
    <x v="1"/>
    <n v="4839"/>
    <n v="594"/>
    <n v="979778"/>
    <n v="4245"/>
    <n v="4.3326141227910796E-3"/>
    <n v="2.5803804535313102"/>
    <n v="42591"/>
  </r>
  <r>
    <x v="40"/>
    <x v="1"/>
    <n v="9551"/>
    <n v="828"/>
    <n v="988501"/>
    <n v="8723"/>
    <n v="8.8244726105487E-3"/>
    <n v="1.525036393488727"/>
    <n v="38047"/>
  </r>
  <r>
    <x v="40"/>
    <x v="0"/>
    <n v="3376"/>
    <n v="382"/>
    <n v="991495"/>
    <n v="2994"/>
    <n v="3.0196823988018098E-3"/>
    <n v="3.8694093263203548"/>
    <n v="44782"/>
  </r>
  <r>
    <x v="40"/>
    <x v="2"/>
    <n v="4009"/>
    <n v="454"/>
    <n v="995050"/>
    <n v="3555"/>
    <n v="3.5726847897090599E-3"/>
    <n v="2.1106477061454201"/>
    <n v="19833"/>
  </r>
  <r>
    <x v="40"/>
    <x v="3"/>
    <n v="2827"/>
    <n v="292"/>
    <n v="997585"/>
    <n v="2535"/>
    <n v="2.5411368454818402E-3"/>
    <n v="2.4004972007397871"/>
    <n v="17896"/>
  </r>
  <r>
    <x v="41"/>
    <x v="3"/>
    <n v="7979"/>
    <n v="470"/>
    <n v="1005094"/>
    <n v="7509"/>
    <n v="7.4709430162751E-3"/>
    <n v="10.43086517280971"/>
    <n v="42972"/>
  </r>
  <r>
    <x v="41"/>
    <x v="0"/>
    <n v="9569"/>
    <n v="1277"/>
    <n v="1013386"/>
    <n v="8292"/>
    <n v="8.1824694637581408E-3"/>
    <n v="12.45517502708741"/>
    <n v="59733"/>
  </r>
  <r>
    <x v="41"/>
    <x v="3"/>
    <n v="5285"/>
    <n v="433"/>
    <n v="1018238"/>
    <n v="4852"/>
    <n v="4.7650942117658203E-3"/>
    <n v="8.7022876773406619"/>
    <n v="51800"/>
  </r>
  <r>
    <x v="41"/>
    <x v="3"/>
    <n v="7910"/>
    <n v="543"/>
    <n v="1025605"/>
    <n v="7367"/>
    <n v="7.1830773055903598E-3"/>
    <n v="6.0590578244060822"/>
    <n v="40508"/>
  </r>
  <r>
    <x v="42"/>
    <x v="3"/>
    <n v="9561"/>
    <n v="517"/>
    <n v="1034649"/>
    <n v="9044"/>
    <n v="8.7411286339618595E-3"/>
    <n v="6.4086467971263694"/>
    <n v="15347"/>
  </r>
  <r>
    <x v="42"/>
    <x v="3"/>
    <n v="3196"/>
    <n v="348"/>
    <n v="1037497"/>
    <n v="2848"/>
    <n v="2.7450681785103999E-3"/>
    <n v="14.03040201562029"/>
    <n v="40314"/>
  </r>
  <r>
    <x v="42"/>
    <x v="2"/>
    <n v="4747"/>
    <n v="558"/>
    <n v="1041686"/>
    <n v="4189"/>
    <n v="4.0213653634588497E-3"/>
    <n v="5.7680529449373434"/>
    <n v="12643"/>
  </r>
  <r>
    <x v="42"/>
    <x v="3"/>
    <n v="9843"/>
    <n v="508"/>
    <n v="1051021"/>
    <n v="9335"/>
    <n v="8.8818396587699005E-3"/>
    <n v="4.2080986012648651"/>
    <n v="50785"/>
  </r>
  <r>
    <x v="43"/>
    <x v="1"/>
    <n v="6978"/>
    <n v="706"/>
    <n v="1057293"/>
    <n v="6272"/>
    <n v="5.9321304501212101E-3"/>
    <n v="5.057443868445171"/>
    <n v="28681"/>
  </r>
  <r>
    <x v="43"/>
    <x v="0"/>
    <n v="6607"/>
    <n v="479"/>
    <n v="1063421"/>
    <n v="6128"/>
    <n v="5.7625343114345098E-3"/>
    <n v="5.5892257158735816"/>
    <n v="48328"/>
  </r>
  <r>
    <x v="43"/>
    <x v="2"/>
    <n v="1769"/>
    <n v="202"/>
    <n v="1064988"/>
    <n v="1567"/>
    <n v="1.47137808125538E-3"/>
    <n v="6.5457075572682513"/>
    <n v="25892"/>
  </r>
  <r>
    <x v="43"/>
    <x v="3"/>
    <n v="1780"/>
    <n v="120"/>
    <n v="1066648"/>
    <n v="1660"/>
    <n v="1.55627723485161E-3"/>
    <n v="13.86474263299608"/>
    <n v="57299"/>
  </r>
  <r>
    <x v="44"/>
    <x v="2"/>
    <n v="7303"/>
    <n v="869"/>
    <n v="1073082"/>
    <n v="6434"/>
    <n v="5.9958139266151197E-3"/>
    <n v="8.1237966902808925"/>
    <n v="27073"/>
  </r>
  <r>
    <x v="44"/>
    <x v="3"/>
    <n v="4983"/>
    <n v="441"/>
    <n v="1077624"/>
    <n v="4542"/>
    <n v="4.2148281775461604E-3"/>
    <n v="6.8954477628560609"/>
    <n v="46768"/>
  </r>
  <r>
    <x v="44"/>
    <x v="1"/>
    <n v="9714"/>
    <n v="1395"/>
    <n v="1085943"/>
    <n v="8319"/>
    <n v="7.6606230713766798E-3"/>
    <n v="5.2243073531483697"/>
    <n v="40682"/>
  </r>
  <r>
    <x v="44"/>
    <x v="0"/>
    <n v="1521"/>
    <n v="96"/>
    <n v="1087368"/>
    <n v="1425"/>
    <n v="1.31050389564526E-3"/>
    <n v="12.709772588488899"/>
    <n v="42262"/>
  </r>
  <r>
    <x v="45"/>
    <x v="3"/>
    <n v="8569"/>
    <n v="720"/>
    <n v="1095217"/>
    <n v="7849"/>
    <n v="7.1666162961312703E-3"/>
    <n v="9.589697749395782"/>
    <n v="41358"/>
  </r>
  <r>
    <x v="45"/>
    <x v="3"/>
    <n v="6784"/>
    <n v="416"/>
    <n v="1101585"/>
    <n v="6368"/>
    <n v="5.7807613574985097E-3"/>
    <n v="9.3041390360253633"/>
    <n v="24289"/>
  </r>
  <r>
    <x v="45"/>
    <x v="3"/>
    <n v="5583"/>
    <n v="795"/>
    <n v="1106373"/>
    <n v="4788"/>
    <n v="4.3276544167292598E-3"/>
    <n v="12.21550055903389"/>
    <n v="59823"/>
  </r>
  <r>
    <x v="45"/>
    <x v="3"/>
    <n v="6946"/>
    <n v="956"/>
    <n v="1112363"/>
    <n v="5990"/>
    <n v="5.3849327962185002E-3"/>
    <n v="1.64146056637986"/>
    <n v="17927"/>
  </r>
  <r>
    <x v="46"/>
    <x v="0"/>
    <n v="5941"/>
    <n v="450"/>
    <n v="1117854"/>
    <n v="5491"/>
    <n v="4.9120904876665504E-3"/>
    <n v="12.414411899944"/>
    <n v="58330"/>
  </r>
  <r>
    <x v="46"/>
    <x v="0"/>
    <n v="7267"/>
    <n v="842"/>
    <n v="1124279"/>
    <n v="6425"/>
    <n v="5.7147736460433796E-3"/>
    <n v="2.2102165031989389"/>
    <n v="11171"/>
  </r>
  <r>
    <x v="46"/>
    <x v="1"/>
    <n v="8128"/>
    <n v="1070"/>
    <n v="1131337"/>
    <n v="7058"/>
    <n v="6.2386362330587603E-3"/>
    <n v="8.1114645768679008"/>
    <n v="21918"/>
  </r>
  <r>
    <x v="46"/>
    <x v="0"/>
    <n v="3461"/>
    <n v="365"/>
    <n v="1134433"/>
    <n v="3096"/>
    <n v="2.7291166600407401E-3"/>
    <n v="10.23489267325616"/>
    <n v="51903"/>
  </r>
  <r>
    <x v="47"/>
    <x v="3"/>
    <n v="1685"/>
    <n v="173"/>
    <n v="1135945"/>
    <n v="1512"/>
    <n v="1.33105035895224E-3"/>
    <n v="8.7776256772995165"/>
    <n v="49110"/>
  </r>
  <r>
    <x v="47"/>
    <x v="1"/>
    <n v="3160"/>
    <n v="234"/>
    <n v="1138871"/>
    <n v="2926"/>
    <n v="2.5692110871204901E-3"/>
    <n v="5.6959041015180816"/>
    <n v="21929"/>
  </r>
  <r>
    <x v="47"/>
    <x v="1"/>
    <n v="8031"/>
    <n v="476"/>
    <n v="1146426"/>
    <n v="7555"/>
    <n v="6.5900459340594202E-3"/>
    <n v="11.940413075069831"/>
    <n v="12539"/>
  </r>
  <r>
    <x v="47"/>
    <x v="1"/>
    <n v="6341"/>
    <n v="885"/>
    <n v="1151882"/>
    <n v="5456"/>
    <n v="4.7365962832998498E-3"/>
    <n v="6.3457020771224837"/>
    <n v="46727"/>
  </r>
  <r>
    <x v="48"/>
    <x v="3"/>
    <n v="1038"/>
    <n v="145"/>
    <n v="1152775"/>
    <n v="893"/>
    <n v="7.7465246904209403E-4"/>
    <n v="11.093752033137431"/>
    <n v="55951"/>
  </r>
  <r>
    <x v="48"/>
    <x v="2"/>
    <n v="5875"/>
    <n v="665"/>
    <n v="1157985"/>
    <n v="5210"/>
    <n v="4.4991947218659999E-3"/>
    <n v="6.9871371390821126"/>
    <n v="32669"/>
  </r>
  <r>
    <x v="48"/>
    <x v="3"/>
    <n v="2256"/>
    <n v="189"/>
    <n v="1160052"/>
    <n v="2067"/>
    <n v="1.7818166771834401E-3"/>
    <n v="2.8935771844710412"/>
    <n v="15432"/>
  </r>
  <r>
    <x v="48"/>
    <x v="0"/>
    <n v="8697"/>
    <n v="738"/>
    <n v="1168011"/>
    <n v="7959"/>
    <n v="6.8141481544266302E-3"/>
    <n v="3.8777032065622672"/>
    <n v="30644"/>
  </r>
  <r>
    <x v="49"/>
    <x v="0"/>
    <n v="3196"/>
    <n v="391"/>
    <n v="1170816"/>
    <n v="2805"/>
    <n v="2.39576500491965E-3"/>
    <n v="7.2439221876024931"/>
    <n v="28745"/>
  </r>
  <r>
    <x v="49"/>
    <x v="3"/>
    <n v="8165"/>
    <n v="1140"/>
    <n v="1177841"/>
    <n v="7025"/>
    <n v="5.9643024822535499E-3"/>
    <n v="9.095964565675672"/>
    <n v="38228"/>
  </r>
  <r>
    <x v="49"/>
    <x v="3"/>
    <n v="1301"/>
    <n v="180"/>
    <n v="1178962"/>
    <n v="1121"/>
    <n v="9.5083641372665096E-4"/>
    <n v="5.2275645864752214"/>
    <n v="44521"/>
  </r>
  <r>
    <x v="49"/>
    <x v="1"/>
    <n v="8527"/>
    <n v="1091"/>
    <n v="1186398"/>
    <n v="7436"/>
    <n v="6.2677111728104704E-3"/>
    <n v="1.676081719625286"/>
    <n v="417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4138"/>
    <n v="361"/>
    <n v="3777"/>
    <n v="103777"/>
    <n v="3.6395347716738802E-2"/>
    <n v="56.637790647253247"/>
    <n v="23944"/>
  </r>
  <r>
    <d v="2024-06-03T00:00:00"/>
    <x v="1"/>
    <n v="8693"/>
    <n v="1261"/>
    <n v="7432"/>
    <n v="111209"/>
    <n v="6.6829123542159405E-2"/>
    <n v="69.475492091467416"/>
    <n v="29873"/>
  </r>
  <r>
    <d v="2024-06-03T00:00:00"/>
    <x v="2"/>
    <n v="9264"/>
    <n v="1141"/>
    <n v="8123"/>
    <n v="119332"/>
    <n v="6.8070592967519203E-2"/>
    <n v="92.312204605638044"/>
    <n v="50372"/>
  </r>
  <r>
    <d v="2024-06-03T00:00:00"/>
    <x v="2"/>
    <n v="8842"/>
    <n v="971"/>
    <n v="7871"/>
    <n v="127203"/>
    <n v="6.1877471443283601E-2"/>
    <n v="16.351815601833291"/>
    <n v="33928"/>
  </r>
  <r>
    <d v="2024-06-10T00:00:00"/>
    <x v="0"/>
    <n v="7721"/>
    <n v="506"/>
    <n v="7215"/>
    <n v="134418"/>
    <n v="5.3675846984778799E-2"/>
    <n v="35.577824398518047"/>
    <n v="25379"/>
  </r>
  <r>
    <d v="2024-06-10T00:00:00"/>
    <x v="2"/>
    <n v="8002"/>
    <n v="524"/>
    <n v="7478"/>
    <n v="141896"/>
    <n v="5.2700569431132702E-2"/>
    <n v="52.064892597395271"/>
    <n v="46751"/>
  </r>
  <r>
    <d v="2024-06-10T00:00:00"/>
    <x v="1"/>
    <n v="5225"/>
    <n v="291"/>
    <n v="4934"/>
    <n v="146830"/>
    <n v="3.3603487025812201E-2"/>
    <n v="19.551862698358651"/>
    <n v="44546"/>
  </r>
  <r>
    <d v="2024-06-10T00:00:00"/>
    <x v="1"/>
    <n v="3978"/>
    <n v="543"/>
    <n v="3435"/>
    <n v="150265"/>
    <n v="2.2859614680730701E-2"/>
    <n v="49.159817655475329"/>
    <n v="34286"/>
  </r>
  <r>
    <d v="2024-06-17T00:00:00"/>
    <x v="0"/>
    <n v="8373"/>
    <n v="921"/>
    <n v="7452"/>
    <n v="157717"/>
    <n v="4.7249186834646899E-2"/>
    <n v="12.2263294381709"/>
    <n v="15110"/>
  </r>
  <r>
    <d v="2024-06-17T00:00:00"/>
    <x v="1"/>
    <n v="6907"/>
    <n v="834"/>
    <n v="6073"/>
    <n v="163790"/>
    <n v="3.70779656877709E-2"/>
    <n v="54.158984064961238"/>
    <n v="22087"/>
  </r>
  <r>
    <d v="2024-06-17T00:00:00"/>
    <x v="3"/>
    <n v="7097"/>
    <n v="369"/>
    <n v="6728"/>
    <n v="170518"/>
    <n v="3.9456245088495101E-2"/>
    <n v="9.2506362964613711"/>
    <n v="33762"/>
  </r>
  <r>
    <d v="2024-06-17T00:00:00"/>
    <x v="0"/>
    <n v="6656"/>
    <n v="978"/>
    <n v="5678"/>
    <n v="176196"/>
    <n v="3.2225476174260498E-2"/>
    <n v="60.425889350496043"/>
    <n v="27081"/>
  </r>
  <r>
    <d v="2024-06-24T00:00:00"/>
    <x v="1"/>
    <n v="9984"/>
    <n v="1330"/>
    <n v="8654"/>
    <n v="184850"/>
    <n v="4.6816337571003501E-2"/>
    <n v="57.524479307546663"/>
    <n v="44947"/>
  </r>
  <r>
    <d v="2024-06-24T00:00:00"/>
    <x v="0"/>
    <n v="5259"/>
    <n v="374"/>
    <n v="4885"/>
    <n v="189735"/>
    <n v="2.5746435818378301E-2"/>
    <n v="14.827522597306769"/>
    <n v="19596"/>
  </r>
  <r>
    <d v="2024-06-24T00:00:00"/>
    <x v="2"/>
    <n v="9286"/>
    <n v="633"/>
    <n v="8653"/>
    <n v="198388"/>
    <n v="4.3616549388067798E-2"/>
    <n v="5.4343004617214756"/>
    <n v="48019"/>
  </r>
  <r>
    <d v="2024-06-24T00:00:00"/>
    <x v="1"/>
    <n v="6901"/>
    <n v="471"/>
    <n v="6430"/>
    <n v="204818"/>
    <n v="3.1393725160874499E-2"/>
    <n v="60.827661631301943"/>
    <n v="52003"/>
  </r>
  <r>
    <d v="2024-07-01T00:00:00"/>
    <x v="3"/>
    <n v="5917"/>
    <n v="475"/>
    <n v="5442"/>
    <n v="210260"/>
    <n v="2.5882241034909201E-2"/>
    <n v="17.894035955483691"/>
    <n v="28313"/>
  </r>
  <r>
    <d v="2024-07-01T00:00:00"/>
    <x v="1"/>
    <n v="9429"/>
    <n v="966"/>
    <n v="8463"/>
    <n v="218723"/>
    <n v="3.8692775794040901E-2"/>
    <n v="7.6914636320825887"/>
    <n v="57639"/>
  </r>
  <r>
    <d v="2024-07-01T00:00:00"/>
    <x v="0"/>
    <n v="3530"/>
    <n v="328"/>
    <n v="3202"/>
    <n v="221925"/>
    <n v="1.44282978483722E-2"/>
    <n v="12.8372197814577"/>
    <n v="11013"/>
  </r>
  <r>
    <d v="2024-07-01T00:00:00"/>
    <x v="0"/>
    <n v="2960"/>
    <n v="234"/>
    <n v="2726"/>
    <n v="224651"/>
    <n v="1.21343773230478E-2"/>
    <n v="17.41278694508371"/>
    <n v="59378"/>
  </r>
  <r>
    <d v="2024-07-08T00:00:00"/>
    <x v="1"/>
    <n v="8045"/>
    <n v="894"/>
    <n v="7151"/>
    <n v="231802"/>
    <n v="3.0849604403758401E-2"/>
    <n v="47.634187798207087"/>
    <n v="33705"/>
  </r>
  <r>
    <d v="2024-07-08T00:00:00"/>
    <x v="3"/>
    <n v="2048"/>
    <n v="130"/>
    <n v="1918"/>
    <n v="233720"/>
    <n v="8.2064008214958097E-3"/>
    <n v="39.284614068115687"/>
    <n v="11828"/>
  </r>
  <r>
    <d v="2024-07-08T00:00:00"/>
    <x v="3"/>
    <n v="6772"/>
    <n v="536"/>
    <n v="6236"/>
    <n v="239956"/>
    <n v="2.5988097817933299E-2"/>
    <n v="9.8205504342462788"/>
    <n v="17909"/>
  </r>
  <r>
    <d v="2024-07-08T00:00:00"/>
    <x v="3"/>
    <n v="3529"/>
    <n v="305"/>
    <n v="3224"/>
    <n v="243180"/>
    <n v="1.3257669216218401E-2"/>
    <n v="41.606628834608109"/>
    <n v="48356"/>
  </r>
  <r>
    <d v="2024-07-15T00:00:00"/>
    <x v="0"/>
    <n v="3964"/>
    <n v="378"/>
    <n v="3586"/>
    <n v="246766"/>
    <n v="1.45319857678935E-2"/>
    <n v="13.6355899921383"/>
    <n v="23109"/>
  </r>
  <r>
    <d v="2024-07-15T00:00:00"/>
    <x v="1"/>
    <n v="8137"/>
    <n v="1045"/>
    <n v="7092"/>
    <n v="253858"/>
    <n v="2.79368780972039E-2"/>
    <n v="20.47246886054408"/>
    <n v="12023"/>
  </r>
  <r>
    <d v="2024-07-15T00:00:00"/>
    <x v="2"/>
    <n v="1963"/>
    <n v="137"/>
    <n v="1826"/>
    <n v="255684"/>
    <n v="7.1416279469970799E-3"/>
    <n v="11.2083665774941"/>
    <n v="24537"/>
  </r>
  <r>
    <d v="2024-07-15T00:00:00"/>
    <x v="0"/>
    <n v="1536"/>
    <n v="155"/>
    <n v="1381"/>
    <n v="257065"/>
    <n v="5.3721821329235798E-3"/>
    <n v="12.15762550327738"/>
    <n v="36661"/>
  </r>
  <r>
    <d v="2024-07-22T00:00:00"/>
    <x v="3"/>
    <n v="8340"/>
    <n v="911"/>
    <n v="7429"/>
    <n v="264494"/>
    <n v="2.8087593669421599E-2"/>
    <n v="37.302925586213682"/>
    <n v="48659"/>
  </r>
  <r>
    <d v="2024-07-22T00:00:00"/>
    <x v="1"/>
    <n v="8179"/>
    <n v="446"/>
    <n v="7733"/>
    <n v="272227"/>
    <n v="2.84064402134983E-2"/>
    <n v="41.82171496581897"/>
    <n v="43848"/>
  </r>
  <r>
    <d v="2024-07-22T00:00:00"/>
    <x v="3"/>
    <n v="8967"/>
    <n v="993"/>
    <n v="7974"/>
    <n v="280201"/>
    <n v="2.8458142547671102E-2"/>
    <n v="52.792102811910027"/>
    <n v="47804"/>
  </r>
  <r>
    <d v="2024-07-22T00:00:00"/>
    <x v="2"/>
    <n v="9734"/>
    <n v="652"/>
    <n v="9082"/>
    <n v="289283"/>
    <n v="3.1394862470314498E-2"/>
    <n v="49.647922622483861"/>
    <n v="25379"/>
  </r>
  <r>
    <d v="2024-07-29T00:00:00"/>
    <x v="3"/>
    <n v="1845"/>
    <n v="104"/>
    <n v="1741"/>
    <n v="291024"/>
    <n v="5.9823244818296801E-3"/>
    <n v="28.158158777282971"/>
    <n v="37766"/>
  </r>
  <r>
    <d v="2024-07-29T00:00:00"/>
    <x v="3"/>
    <n v="6777"/>
    <n v="981"/>
    <n v="5796"/>
    <n v="296820"/>
    <n v="1.9526986052152799E-2"/>
    <n v="23.920557913887201"/>
    <n v="53590"/>
  </r>
  <r>
    <d v="2024-07-29T00:00:00"/>
    <x v="2"/>
    <n v="4036"/>
    <n v="591"/>
    <n v="3445"/>
    <n v="300265"/>
    <n v="1.1473198674504199E-2"/>
    <n v="44.219272975538267"/>
    <n v="12563"/>
  </r>
  <r>
    <d v="2024-07-29T00:00:00"/>
    <x v="1"/>
    <n v="6947"/>
    <n v="908"/>
    <n v="6039"/>
    <n v="306304"/>
    <n v="1.9715707271207701E-2"/>
    <n v="14.117673944839121"/>
    <n v="46060"/>
  </r>
  <r>
    <d v="2024-08-05T00:00:00"/>
    <x v="0"/>
    <n v="3494"/>
    <n v="281"/>
    <n v="3213"/>
    <n v="309517"/>
    <n v="1.03806899136396E-2"/>
    <n v="27.765518533715429"/>
    <n v="39197"/>
  </r>
  <r>
    <d v="2024-08-05T00:00:00"/>
    <x v="1"/>
    <n v="3719"/>
    <n v="222"/>
    <n v="3497"/>
    <n v="313014"/>
    <n v="1.11720242545062E-2"/>
    <n v="21.669318305251519"/>
    <n v="13586"/>
  </r>
  <r>
    <d v="2024-08-05T00:00:00"/>
    <x v="2"/>
    <n v="2884"/>
    <n v="341"/>
    <n v="2543"/>
    <n v="315557"/>
    <n v="8.0587659281841292E-3"/>
    <n v="46.999749649033298"/>
    <n v="26087"/>
  </r>
  <r>
    <d v="2024-08-05T00:00:00"/>
    <x v="3"/>
    <n v="5349"/>
    <n v="502"/>
    <n v="4847"/>
    <n v="320404"/>
    <n v="1.51277761825695E-2"/>
    <n v="5.2152906954969351"/>
    <n v="58868"/>
  </r>
  <r>
    <d v="2024-08-12T00:00:00"/>
    <x v="1"/>
    <n v="6179"/>
    <n v="384"/>
    <n v="5795"/>
    <n v="326199"/>
    <n v="1.7765229200580001E-2"/>
    <n v="14.71218489327067"/>
    <n v="33225"/>
  </r>
  <r>
    <d v="2024-08-12T00:00:00"/>
    <x v="0"/>
    <n v="7610"/>
    <n v="757"/>
    <n v="6853"/>
    <n v="333052"/>
    <n v="2.0576366453286601E-2"/>
    <n v="44.450416151231643"/>
    <n v="39750"/>
  </r>
  <r>
    <d v="2024-08-12T00:00:00"/>
    <x v="2"/>
    <n v="7430"/>
    <n v="397"/>
    <n v="7033"/>
    <n v="340085"/>
    <n v="2.0680124086625399E-2"/>
    <n v="28.065042562888689"/>
    <n v="16643"/>
  </r>
  <r>
    <d v="2024-08-12T00:00:00"/>
    <x v="1"/>
    <n v="8154"/>
    <n v="1149"/>
    <n v="7005"/>
    <n v="347090"/>
    <n v="2.0182085338096699E-2"/>
    <n v="26.003918292085629"/>
    <n v="37523"/>
  </r>
  <r>
    <d v="2024-08-19T00:00:00"/>
    <x v="0"/>
    <n v="7488"/>
    <n v="568"/>
    <n v="6920"/>
    <n v="354010"/>
    <n v="1.9547470410440401E-2"/>
    <n v="13.47730290104799"/>
    <n v="46727"/>
  </r>
  <r>
    <d v="2024-08-19T00:00:00"/>
    <x v="2"/>
    <n v="5737"/>
    <n v="666"/>
    <n v="5071"/>
    <n v="359081"/>
    <n v="1.4122161852061201E-2"/>
    <n v="4.6034181702735593"/>
    <n v="21005"/>
  </r>
  <r>
    <d v="2024-08-19T00:00:00"/>
    <x v="0"/>
    <n v="7525"/>
    <n v="610"/>
    <n v="6915"/>
    <n v="365996"/>
    <n v="1.8893649110919199E-2"/>
    <n v="5.7694619613329108"/>
    <n v="53543"/>
  </r>
  <r>
    <d v="2024-08-19T00:00:00"/>
    <x v="2"/>
    <n v="4850"/>
    <n v="494"/>
    <n v="4356"/>
    <n v="370352"/>
    <n v="1.1761783384455901E-2"/>
    <n v="20.46539508359615"/>
    <n v="10161"/>
  </r>
  <r>
    <d v="2024-08-26T00:00:00"/>
    <x v="3"/>
    <n v="1689"/>
    <n v="176"/>
    <n v="1513"/>
    <n v="371865"/>
    <n v="4.0686808384763299E-3"/>
    <n v="38.012181840183942"/>
    <n v="26029"/>
  </r>
  <r>
    <d v="2024-08-26T00:00:00"/>
    <x v="1"/>
    <n v="6175"/>
    <n v="422"/>
    <n v="5753"/>
    <n v="377618"/>
    <n v="1.5234972909130401E-2"/>
    <n v="37.86101298137271"/>
    <n v="59745"/>
  </r>
  <r>
    <d v="2024-08-26T00:00:00"/>
    <x v="0"/>
    <n v="9648"/>
    <n v="1417"/>
    <n v="8231"/>
    <n v="385849"/>
    <n v="2.13321791685348E-2"/>
    <n v="3.6633501706626168"/>
    <n v="24226"/>
  </r>
  <r>
    <d v="2024-08-26T00:00:00"/>
    <x v="2"/>
    <n v="6078"/>
    <n v="775"/>
    <n v="5303"/>
    <n v="391152"/>
    <n v="1.35573894547388E-2"/>
    <n v="37.760512537325639"/>
    <n v="38731"/>
  </r>
  <r>
    <d v="2024-09-02T00:00:00"/>
    <x v="0"/>
    <n v="6448"/>
    <n v="928"/>
    <n v="5520"/>
    <n v="396672"/>
    <n v="1.3915779283639899E-2"/>
    <n v="30.118586640851881"/>
    <n v="53922"/>
  </r>
  <r>
    <d v="2024-09-02T00:00:00"/>
    <x v="0"/>
    <n v="2179"/>
    <n v="303"/>
    <n v="1876"/>
    <n v="398548"/>
    <n v="4.7070867248110602E-3"/>
    <n v="33.909842729106657"/>
    <n v="54848"/>
  </r>
  <r>
    <d v="2024-09-02T00:00:00"/>
    <x v="1"/>
    <n v="7406"/>
    <n v="813"/>
    <n v="6593"/>
    <n v="405141"/>
    <n v="1.62733468101229E-2"/>
    <n v="24.457411123534769"/>
    <n v="13390"/>
  </r>
  <r>
    <d v="2024-09-02T00:00:00"/>
    <x v="3"/>
    <n v="9591"/>
    <n v="1363"/>
    <n v="8228"/>
    <n v="413369"/>
    <n v="1.9904734026983201E-2"/>
    <n v="10.494255737609739"/>
    <n v="15997"/>
  </r>
  <r>
    <d v="2024-09-09T00:00:00"/>
    <x v="0"/>
    <n v="7907"/>
    <n v="465"/>
    <n v="7442"/>
    <n v="420811"/>
    <n v="1.76848989213685E-2"/>
    <n v="33.257448118038738"/>
    <n v="22693"/>
  </r>
  <r>
    <d v="2024-09-09T00:00:00"/>
    <x v="2"/>
    <n v="9800"/>
    <n v="682"/>
    <n v="9118"/>
    <n v="429929"/>
    <n v="2.1208152974095701E-2"/>
    <n v="6.2966210699906267"/>
    <n v="59815"/>
  </r>
  <r>
    <d v="2024-09-09T00:00:00"/>
    <x v="2"/>
    <n v="2638"/>
    <n v="143"/>
    <n v="2495"/>
    <n v="432424"/>
    <n v="5.76980001110022E-3"/>
    <n v="6.9547481175882924"/>
    <n v="52092"/>
  </r>
  <r>
    <d v="2024-09-09T00:00:00"/>
    <x v="3"/>
    <n v="6671"/>
    <n v="550"/>
    <n v="6121"/>
    <n v="438545"/>
    <n v="1.3957518612685099E-2"/>
    <n v="17.750287883797562"/>
    <n v="10541"/>
  </r>
  <r>
    <d v="2024-09-16T00:00:00"/>
    <x v="2"/>
    <n v="7928"/>
    <n v="704"/>
    <n v="7224"/>
    <n v="445769"/>
    <n v="1.6205702953772001E-2"/>
    <n v="11.194362999670229"/>
    <n v="31817"/>
  </r>
  <r>
    <d v="2024-09-16T00:00:00"/>
    <x v="3"/>
    <n v="2382"/>
    <n v="183"/>
    <n v="2199"/>
    <n v="447968"/>
    <n v="4.9088327737695503E-3"/>
    <n v="4.7335970426459033"/>
    <n v="47861"/>
  </r>
  <r>
    <d v="2024-09-16T00:00:00"/>
    <x v="2"/>
    <n v="2403"/>
    <n v="319"/>
    <n v="2084"/>
    <n v="450052"/>
    <n v="4.63057602232631E-3"/>
    <n v="29.92120910472568"/>
    <n v="23428"/>
  </r>
  <r>
    <d v="2024-09-16T00:00:00"/>
    <x v="1"/>
    <n v="4292"/>
    <n v="367"/>
    <n v="3925"/>
    <n v="453977"/>
    <n v="8.6458124530537899E-3"/>
    <n v="3.5037017293827661"/>
    <n v="53934"/>
  </r>
  <r>
    <d v="2024-09-23T00:00:00"/>
    <x v="0"/>
    <n v="1419"/>
    <n v="110"/>
    <n v="1309"/>
    <n v="455286"/>
    <n v="2.8751158612388699E-3"/>
    <n v="31.554451487636339"/>
    <n v="58831"/>
  </r>
  <r>
    <d v="2024-09-23T00:00:00"/>
    <x v="1"/>
    <n v="5517"/>
    <n v="575"/>
    <n v="4942"/>
    <n v="460228"/>
    <n v="1.07381558705685E-2"/>
    <n v="29.45844233727631"/>
    <n v="20258"/>
  </r>
  <r>
    <d v="2024-09-23T00:00:00"/>
    <x v="0"/>
    <n v="4302"/>
    <n v="275"/>
    <n v="4027"/>
    <n v="464255"/>
    <n v="8.6741122874282404E-3"/>
    <n v="15.72131694865968"/>
    <n v="26044"/>
  </r>
  <r>
    <d v="2024-09-23T00:00:00"/>
    <x v="0"/>
    <n v="8857"/>
    <n v="1153"/>
    <n v="7704"/>
    <n v="471959"/>
    <n v="1.6323451825264498E-2"/>
    <n v="19.214592793018038"/>
    <n v="39411"/>
  </r>
  <r>
    <d v="2024-09-30T00:00:00"/>
    <x v="0"/>
    <n v="8870"/>
    <n v="509"/>
    <n v="8361"/>
    <n v="480320"/>
    <n v="1.7407145236508999E-2"/>
    <n v="25.077864756828781"/>
    <n v="15469"/>
  </r>
  <r>
    <d v="2024-09-30T00:00:00"/>
    <x v="1"/>
    <n v="6693"/>
    <n v="995"/>
    <n v="5698"/>
    <n v="486018"/>
    <n v="1.1723845618886499E-2"/>
    <n v="23.761877132122681"/>
    <n v="38854"/>
  </r>
  <r>
    <d v="2024-09-30T00:00:00"/>
    <x v="0"/>
    <n v="1767"/>
    <n v="224"/>
    <n v="1543"/>
    <n v="487561"/>
    <n v="3.1647322078673201E-3"/>
    <n v="13.208603641390511"/>
    <n v="16256"/>
  </r>
  <r>
    <d v="2024-09-30T00:00:00"/>
    <x v="1"/>
    <n v="3044"/>
    <n v="212"/>
    <n v="2832"/>
    <n v="490393"/>
    <n v="5.7749600830354396E-3"/>
    <n v="8.5343795690395261"/>
    <n v="20720"/>
  </r>
  <r>
    <d v="2024-10-07T00:00:00"/>
    <x v="3"/>
    <n v="2549"/>
    <n v="128"/>
    <n v="2421"/>
    <n v="492814"/>
    <n v="4.9126039438814597E-3"/>
    <n v="12.734216154573531"/>
    <n v="43937"/>
  </r>
  <r>
    <d v="2024-10-07T00:00:00"/>
    <x v="2"/>
    <n v="7140"/>
    <n v="939"/>
    <n v="6201"/>
    <n v="499015"/>
    <n v="1.2426480165926901E-2"/>
    <n v="25.120888149654821"/>
    <n v="43598"/>
  </r>
  <r>
    <d v="2024-10-07T00:00:00"/>
    <x v="2"/>
    <n v="4716"/>
    <n v="569"/>
    <n v="4147"/>
    <n v="503162"/>
    <n v="8.2418783612434997E-3"/>
    <n v="25.64820077827817"/>
    <n v="11651"/>
  </r>
  <r>
    <d v="2024-10-07T00:00:00"/>
    <x v="0"/>
    <n v="5481"/>
    <n v="673"/>
    <n v="4808"/>
    <n v="507970"/>
    <n v="9.4651258932614106E-3"/>
    <n v="13.08758391243577"/>
    <n v="29194"/>
  </r>
  <r>
    <d v="2024-10-14T00:00:00"/>
    <x v="1"/>
    <n v="8898"/>
    <n v="1131"/>
    <n v="7767"/>
    <n v="515737"/>
    <n v="1.50600015123988E-2"/>
    <n v="2.1877429775253669"/>
    <n v="35051"/>
  </r>
  <r>
    <d v="2024-10-14T00:00:00"/>
    <x v="2"/>
    <n v="7548"/>
    <n v="433"/>
    <n v="7115"/>
    <n v="522852"/>
    <n v="1.36080573470122E-2"/>
    <n v="8.3562843787534522"/>
    <n v="37386"/>
  </r>
  <r>
    <d v="2024-10-14T00:00:00"/>
    <x v="1"/>
    <n v="3293"/>
    <n v="282"/>
    <n v="3011"/>
    <n v="525863"/>
    <n v="5.7258259280459E-3"/>
    <n v="27.040693108281051"/>
    <n v="19518"/>
  </r>
  <r>
    <d v="2024-10-14T00:00:00"/>
    <x v="1"/>
    <n v="5837"/>
    <n v="359"/>
    <n v="5478"/>
    <n v="531341"/>
    <n v="1.03097634099383E-2"/>
    <n v="6.8073045370110723"/>
    <n v="56026"/>
  </r>
  <r>
    <d v="2024-10-21T00:00:00"/>
    <x v="0"/>
    <n v="8758"/>
    <n v="1193"/>
    <n v="7565"/>
    <n v="538906"/>
    <n v="1.40376985967868E-2"/>
    <n v="3.4213758985797149"/>
    <n v="26184"/>
  </r>
  <r>
    <d v="2024-10-21T00:00:00"/>
    <x v="2"/>
    <n v="7793"/>
    <n v="875"/>
    <n v="6918"/>
    <n v="545824"/>
    <n v="1.26744151961072E-2"/>
    <n v="5.5136820660139527"/>
    <n v="43787"/>
  </r>
  <r>
    <d v="2024-10-21T00:00:00"/>
    <x v="0"/>
    <n v="8638"/>
    <n v="717"/>
    <n v="7921"/>
    <n v="553745"/>
    <n v="1.4304418098583301E-2"/>
    <n v="26.921416897669499"/>
    <n v="31621"/>
  </r>
  <r>
    <d v="2024-10-21T00:00:00"/>
    <x v="0"/>
    <n v="8993"/>
    <n v="506"/>
    <n v="8487"/>
    <n v="562232"/>
    <n v="1.5095192020375899E-2"/>
    <n v="3.5131404829323132"/>
    <n v="20028"/>
  </r>
  <r>
    <d v="2024-10-28T00:00:00"/>
    <x v="2"/>
    <n v="7007"/>
    <n v="568"/>
    <n v="6439"/>
    <n v="568671"/>
    <n v="1.13228914433829E-2"/>
    <n v="11.50507059442103"/>
    <n v="22448"/>
  </r>
  <r>
    <d v="2024-10-28T00:00:00"/>
    <x v="2"/>
    <n v="6542"/>
    <n v="539"/>
    <n v="6003"/>
    <n v="574674"/>
    <n v="1.04459223838211E-2"/>
    <n v="6.4069368024305948"/>
    <n v="55253"/>
  </r>
  <r>
    <d v="2024-10-28T00:00:00"/>
    <x v="3"/>
    <n v="7356"/>
    <n v="904"/>
    <n v="6452"/>
    <n v="581126"/>
    <n v="1.1102583604932501E-2"/>
    <n v="17.560907617280929"/>
    <n v="44051"/>
  </r>
  <r>
    <d v="2024-10-28T00:00:00"/>
    <x v="3"/>
    <n v="9433"/>
    <n v="1073"/>
    <n v="8360"/>
    <n v="589486"/>
    <n v="1.4181846557848699E-2"/>
    <n v="7.2934726185185053"/>
    <n v="59811"/>
  </r>
  <r>
    <d v="2024-11-04T00:00:00"/>
    <x v="1"/>
    <n v="8380"/>
    <n v="1162"/>
    <n v="7218"/>
    <n v="596704"/>
    <n v="1.2096449831072E-2"/>
    <n v="18.05853488496809"/>
    <n v="40447"/>
  </r>
  <r>
    <d v="2024-11-04T00:00:00"/>
    <x v="2"/>
    <n v="3385"/>
    <n v="329"/>
    <n v="3056"/>
    <n v="599760"/>
    <n v="5.0953714819261002E-3"/>
    <n v="17.61788048552755"/>
    <n v="28394"/>
  </r>
  <r>
    <d v="2024-11-04T00:00:00"/>
    <x v="3"/>
    <n v="5268"/>
    <n v="326"/>
    <n v="4942"/>
    <n v="604702"/>
    <n v="8.17262056351724E-3"/>
    <n v="23.435841125050029"/>
    <n v="44501"/>
  </r>
  <r>
    <d v="2024-11-04T00:00:00"/>
    <x v="1"/>
    <n v="1671"/>
    <n v="202"/>
    <n v="1469"/>
    <n v="606171"/>
    <n v="2.42340857612786E-3"/>
    <n v="15.150015424690389"/>
    <n v="40254"/>
  </r>
  <r>
    <d v="2024-11-11T00:00:00"/>
    <x v="1"/>
    <n v="1163"/>
    <n v="146"/>
    <n v="1017"/>
    <n v="607188"/>
    <n v="1.6749342872388799E-3"/>
    <n v="21.77776899411715"/>
    <n v="28509"/>
  </r>
  <r>
    <d v="2024-11-11T00:00:00"/>
    <x v="1"/>
    <n v="9656"/>
    <n v="1024"/>
    <n v="8632"/>
    <n v="615820"/>
    <n v="1.40170829138385E-2"/>
    <n v="8.7252768666168681"/>
    <n v="58998"/>
  </r>
  <r>
    <d v="2024-11-11T00:00:00"/>
    <x v="3"/>
    <n v="5592"/>
    <n v="710"/>
    <n v="4882"/>
    <n v="620702"/>
    <n v="7.86528801260508E-3"/>
    <n v="9.07118069540617"/>
    <n v="24472"/>
  </r>
  <r>
    <d v="2024-11-11T00:00:00"/>
    <x v="2"/>
    <n v="5795"/>
    <n v="575"/>
    <n v="5220"/>
    <n v="625922"/>
    <n v="8.3396972785746391E-3"/>
    <n v="3.0908004511744269"/>
    <n v="55657"/>
  </r>
  <r>
    <d v="2024-11-18T00:00:00"/>
    <x v="0"/>
    <n v="5798"/>
    <n v="592"/>
    <n v="5206"/>
    <n v="631128"/>
    <n v="8.2487229214992797E-3"/>
    <n v="1.6774727155188811"/>
    <n v="13471"/>
  </r>
  <r>
    <d v="2024-11-18T00:00:00"/>
    <x v="1"/>
    <n v="7036"/>
    <n v="652"/>
    <n v="6384"/>
    <n v="637512"/>
    <n v="1.00139291495689E-2"/>
    <n v="3.5705994553828009"/>
    <n v="51796"/>
  </r>
  <r>
    <d v="2024-11-18T00:00:00"/>
    <x v="3"/>
    <n v="3355"/>
    <n v="176"/>
    <n v="3179"/>
    <n v="640691"/>
    <n v="4.96183027387618E-3"/>
    <n v="12.426427091999111"/>
    <n v="40268"/>
  </r>
  <r>
    <d v="2024-11-18T00:00:00"/>
    <x v="3"/>
    <n v="6887"/>
    <n v="418"/>
    <n v="6469"/>
    <n v="647160"/>
    <n v="9.9959824463811096E-3"/>
    <n v="20.240280610668151"/>
    <n v="18329"/>
  </r>
  <r>
    <d v="2024-11-25T00:00:00"/>
    <x v="0"/>
    <n v="8961"/>
    <n v="476"/>
    <n v="8485"/>
    <n v="655645"/>
    <n v="1.29414545981438E-2"/>
    <n v="15.458517947974901"/>
    <n v="44865"/>
  </r>
  <r>
    <d v="2024-11-25T00:00:00"/>
    <x v="0"/>
    <n v="6827"/>
    <n v="775"/>
    <n v="6052"/>
    <n v="661697"/>
    <n v="9.1461802003031598E-3"/>
    <n v="15.96622018839439"/>
    <n v="56850"/>
  </r>
  <r>
    <d v="2024-11-25T00:00:00"/>
    <x v="3"/>
    <n v="9737"/>
    <n v="792"/>
    <n v="8945"/>
    <n v="670642"/>
    <n v="1.33379657104685E-2"/>
    <n v="5.301785453341723"/>
    <n v="56698"/>
  </r>
  <r>
    <d v="2024-11-25T00:00:00"/>
    <x v="2"/>
    <n v="5719"/>
    <n v="576"/>
    <n v="5143"/>
    <n v="675785"/>
    <n v="7.6104086358827197E-3"/>
    <n v="10.21656296011305"/>
    <n v="38272"/>
  </r>
  <r>
    <d v="2024-12-02T00:00:00"/>
    <x v="0"/>
    <n v="1593"/>
    <n v="224"/>
    <n v="1369"/>
    <n v="677154"/>
    <n v="2.0216966893793699E-3"/>
    <n v="4.1495730660972248"/>
    <n v="52845"/>
  </r>
  <r>
    <d v="2024-12-02T00:00:00"/>
    <x v="3"/>
    <n v="5839"/>
    <n v="437"/>
    <n v="5402"/>
    <n v="682556"/>
    <n v="7.9143689309009099E-3"/>
    <n v="17.44750613869045"/>
    <n v="16397"/>
  </r>
  <r>
    <d v="2024-12-02T00:00:00"/>
    <x v="0"/>
    <n v="8394"/>
    <n v="764"/>
    <n v="7630"/>
    <n v="690186"/>
    <n v="1.10549909734477E-2"/>
    <n v="6.3556780346167558"/>
    <n v="42373"/>
  </r>
  <r>
    <d v="2024-12-02T00:00:00"/>
    <x v="2"/>
    <n v="4493"/>
    <n v="564"/>
    <n v="3929"/>
    <n v="694115"/>
    <n v="5.6604453152575597E-3"/>
    <n v="16.625487131094989"/>
    <n v="45525"/>
  </r>
  <r>
    <d v="2024-12-09T00:00:00"/>
    <x v="1"/>
    <n v="7164"/>
    <n v="522"/>
    <n v="6642"/>
    <n v="700757"/>
    <n v="9.4783213011072308E-3"/>
    <n v="13.449169969047761"/>
    <n v="34570"/>
  </r>
  <r>
    <d v="2024-12-09T00:00:00"/>
    <x v="0"/>
    <n v="3672"/>
    <n v="211"/>
    <n v="3461"/>
    <n v="704218"/>
    <n v="4.9146713091684701E-3"/>
    <n v="12.35057894004413"/>
    <n v="28284"/>
  </r>
  <r>
    <d v="2024-12-09T00:00:00"/>
    <x v="2"/>
    <n v="5200"/>
    <n v="410"/>
    <n v="4790"/>
    <n v="709008"/>
    <n v="6.7559181278631598E-3"/>
    <n v="12.913394489201821"/>
    <n v="28994"/>
  </r>
  <r>
    <d v="2024-12-09T00:00:00"/>
    <x v="3"/>
    <n v="1016"/>
    <n v="67"/>
    <n v="949"/>
    <n v="709957"/>
    <n v="1.3367006734210699E-3"/>
    <n v="20.774215903216671"/>
    <n v="33284"/>
  </r>
  <r>
    <d v="2024-12-16T00:00:00"/>
    <x v="0"/>
    <n v="4191"/>
    <n v="599"/>
    <n v="3592"/>
    <n v="713549"/>
    <n v="5.0339920594100803E-3"/>
    <n v="11.56416728213479"/>
    <n v="27833"/>
  </r>
  <r>
    <d v="2024-12-16T00:00:00"/>
    <x v="0"/>
    <n v="1392"/>
    <n v="182"/>
    <n v="1210"/>
    <n v="714759"/>
    <n v="1.69287829883919E-3"/>
    <n v="5.9603306848881932"/>
    <n v="35122"/>
  </r>
  <r>
    <d v="2024-12-16T00:00:00"/>
    <x v="3"/>
    <n v="9616"/>
    <n v="1089"/>
    <n v="8527"/>
    <n v="723286"/>
    <n v="1.17892507251627E-2"/>
    <n v="19.25863351426683"/>
    <n v="15017"/>
  </r>
  <r>
    <d v="2024-12-16T00:00:00"/>
    <x v="1"/>
    <n v="7272"/>
    <n v="997"/>
    <n v="6275"/>
    <n v="729561"/>
    <n v="8.6010628309353201E-3"/>
    <n v="13.428486445958599"/>
    <n v="26370"/>
  </r>
  <r>
    <d v="2024-12-23T00:00:00"/>
    <x v="3"/>
    <n v="1571"/>
    <n v="204"/>
    <n v="1367"/>
    <n v="730928"/>
    <n v="1.8702252479040301E-3"/>
    <n v="19.449384891535139"/>
    <n v="39252"/>
  </r>
  <r>
    <d v="2024-12-23T00:00:00"/>
    <x v="0"/>
    <n v="4631"/>
    <n v="317"/>
    <n v="4314"/>
    <n v="735242"/>
    <n v="5.8674558852731496E-3"/>
    <n v="1.381177897889402"/>
    <n v="17999"/>
  </r>
  <r>
    <d v="2024-12-23T00:00:00"/>
    <x v="3"/>
    <n v="7172"/>
    <n v="998"/>
    <n v="6174"/>
    <n v="741416"/>
    <n v="8.32730882527488E-3"/>
    <n v="18.0667803230575"/>
    <n v="32436"/>
  </r>
  <r>
    <d v="2024-12-23T00:00:00"/>
    <x v="2"/>
    <n v="8177"/>
    <n v="849"/>
    <n v="7328"/>
    <n v="748744"/>
    <n v="9.78705672432768E-3"/>
    <n v="10.34986590877523"/>
    <n v="52963"/>
  </r>
  <r>
    <d v="2024-12-30T00:00:00"/>
    <x v="3"/>
    <n v="9433"/>
    <n v="1233"/>
    <n v="8200"/>
    <n v="756944"/>
    <n v="1.08330338836162E-2"/>
    <n v="11.391727789638329"/>
    <n v="12096"/>
  </r>
  <r>
    <d v="2024-12-30T00:00:00"/>
    <x v="0"/>
    <n v="4897"/>
    <n v="683"/>
    <n v="4214"/>
    <n v="761158"/>
    <n v="5.5363012672795904E-3"/>
    <n v="15.06231294947961"/>
    <n v="58201"/>
  </r>
  <r>
    <d v="2024-12-30T00:00:00"/>
    <x v="3"/>
    <n v="9123"/>
    <n v="746"/>
    <n v="8377"/>
    <n v="769535"/>
    <n v="1.0885794668208699E-2"/>
    <n v="6.3086149427901264"/>
    <n v="35279"/>
  </r>
  <r>
    <d v="2024-12-30T00:00:00"/>
    <x v="1"/>
    <n v="3279"/>
    <n v="200"/>
    <n v="3079"/>
    <n v="772614"/>
    <n v="3.9851724146857297E-3"/>
    <n v="5.0212654702089274"/>
    <n v="53363"/>
  </r>
  <r>
    <d v="2025-01-06T00:00:00"/>
    <x v="3"/>
    <n v="9980"/>
    <n v="726"/>
    <n v="9254"/>
    <n v="781868"/>
    <n v="1.18357574424327E-2"/>
    <n v="4.0220344099003924"/>
    <n v="58709"/>
  </r>
  <r>
    <d v="2025-01-06T00:00:00"/>
    <x v="1"/>
    <n v="8451"/>
    <n v="783"/>
    <n v="7668"/>
    <n v="789536"/>
    <n v="9.7120333968305408E-3"/>
    <n v="12.407287318121019"/>
    <n v="36201"/>
  </r>
  <r>
    <d v="2025-01-06T00:00:00"/>
    <x v="2"/>
    <n v="9906"/>
    <n v="1305"/>
    <n v="8601"/>
    <n v="798137"/>
    <n v="1.0776345414383701E-2"/>
    <n v="9.1811305577864442"/>
    <n v="29715"/>
  </r>
  <r>
    <d v="2025-01-06T00:00:00"/>
    <x v="1"/>
    <n v="1775"/>
    <n v="241"/>
    <n v="1534"/>
    <n v="799671"/>
    <n v="1.91828889630861E-3"/>
    <n v="8.1379717408784362"/>
    <n v="39309"/>
  </r>
  <r>
    <d v="2025-01-13T00:00:00"/>
    <x v="3"/>
    <n v="7869"/>
    <n v="398"/>
    <n v="7471"/>
    <n v="807142"/>
    <n v="9.2561160241940096E-3"/>
    <n v="15.211945357818079"/>
    <n v="25078"/>
  </r>
  <r>
    <d v="2025-01-13T00:00:00"/>
    <x v="0"/>
    <n v="3247"/>
    <n v="328"/>
    <n v="2919"/>
    <n v="810061"/>
    <n v="3.6034323341081701E-3"/>
    <n v="13.941172331466399"/>
    <n v="15105"/>
  </r>
  <r>
    <d v="2025-01-13T00:00:00"/>
    <x v="1"/>
    <n v="8088"/>
    <n v="742"/>
    <n v="7346"/>
    <n v="817407"/>
    <n v="8.9869550909155403E-3"/>
    <n v="14.664542877660701"/>
    <n v="39312"/>
  </r>
  <r>
    <d v="2025-01-13T00:00:00"/>
    <x v="2"/>
    <n v="1078"/>
    <n v="77"/>
    <n v="1001"/>
    <n v="818408"/>
    <n v="1.22310632349635E-3"/>
    <n v="18.236747441373989"/>
    <n v="12839"/>
  </r>
  <r>
    <d v="2025-01-20T00:00:00"/>
    <x v="1"/>
    <n v="9080"/>
    <n v="562"/>
    <n v="8518"/>
    <n v="826926"/>
    <n v="1.03008007971693E-2"/>
    <n v="7.1083748727213809"/>
    <n v="13384"/>
  </r>
  <r>
    <d v="2025-01-20T00:00:00"/>
    <x v="1"/>
    <n v="8099"/>
    <n v="678"/>
    <n v="7421"/>
    <n v="834347"/>
    <n v="8.8943808751035195E-3"/>
    <n v="7.6464588474579518"/>
    <n v="53619"/>
  </r>
  <r>
    <d v="2025-01-20T00:00:00"/>
    <x v="1"/>
    <n v="4926"/>
    <n v="710"/>
    <n v="4216"/>
    <n v="838563"/>
    <n v="5.0276484891415398E-3"/>
    <n v="12.96217457722318"/>
    <n v="52821"/>
  </r>
  <r>
    <d v="2025-01-20T00:00:00"/>
    <x v="2"/>
    <n v="8340"/>
    <n v="686"/>
    <n v="7654"/>
    <n v="846217"/>
    <n v="9.04496128061715E-3"/>
    <n v="7.201344336027284"/>
    <n v="23493"/>
  </r>
  <r>
    <d v="2025-01-27T00:00:00"/>
    <x v="3"/>
    <n v="8083"/>
    <n v="823"/>
    <n v="7260"/>
    <n v="853477"/>
    <n v="8.5063803711172108E-3"/>
    <n v="4.6300017457998282"/>
    <n v="27069"/>
  </r>
  <r>
    <d v="2025-01-27T00:00:00"/>
    <x v="1"/>
    <n v="7230"/>
    <n v="869"/>
    <n v="6361"/>
    <n v="859838"/>
    <n v="7.397905186791E-3"/>
    <n v="7.0117859410726204"/>
    <n v="56907"/>
  </r>
  <r>
    <d v="2025-01-27T00:00:00"/>
    <x v="1"/>
    <n v="5940"/>
    <n v="512"/>
    <n v="5428"/>
    <n v="865266"/>
    <n v="6.2732154042802997E-3"/>
    <n v="15.7972230504839"/>
    <n v="17531"/>
  </r>
  <r>
    <d v="2025-01-27T00:00:00"/>
    <x v="0"/>
    <n v="4271"/>
    <n v="628"/>
    <n v="3643"/>
    <n v="868909"/>
    <n v="4.1926139561219902E-3"/>
    <n v="11.124410036033691"/>
    <n v="47051"/>
  </r>
  <r>
    <d v="2025-02-03T00:00:00"/>
    <x v="2"/>
    <n v="4456"/>
    <n v="651"/>
    <n v="3805"/>
    <n v="872714"/>
    <n v="4.3599621410908996E-3"/>
    <n v="9.5052903929580594"/>
    <n v="17736"/>
  </r>
  <r>
    <d v="2025-02-03T00:00:00"/>
    <x v="1"/>
    <n v="8788"/>
    <n v="660"/>
    <n v="8128"/>
    <n v="880842"/>
    <n v="9.2275345635198999E-3"/>
    <n v="3.7175793161543158"/>
    <n v="17710"/>
  </r>
  <r>
    <d v="2025-02-03T00:00:00"/>
    <x v="2"/>
    <n v="9599"/>
    <n v="957"/>
    <n v="8642"/>
    <n v="889484"/>
    <n v="9.7157453085159502E-3"/>
    <n v="8.768004820772493"/>
    <n v="11619"/>
  </r>
  <r>
    <d v="2025-02-03T00:00:00"/>
    <x v="1"/>
    <n v="8650"/>
    <n v="692"/>
    <n v="7958"/>
    <n v="897442"/>
    <n v="8.8674254157928897E-3"/>
    <n v="7.6673478620345374"/>
    <n v="23975"/>
  </r>
  <r>
    <d v="2025-02-10T00:00:00"/>
    <x v="3"/>
    <n v="3711"/>
    <n v="291"/>
    <n v="3420"/>
    <n v="900862"/>
    <n v="3.7963639269943698E-3"/>
    <n v="14.24879726306582"/>
    <n v="55603"/>
  </r>
  <r>
    <d v="2025-02-10T00:00:00"/>
    <x v="3"/>
    <n v="2668"/>
    <n v="143"/>
    <n v="2525"/>
    <n v="903387"/>
    <n v="2.79503690002181E-3"/>
    <n v="15.903372530266649"/>
    <n v="33252"/>
  </r>
  <r>
    <d v="2025-02-10T00:00:00"/>
    <x v="1"/>
    <n v="1147"/>
    <n v="127"/>
    <n v="1020"/>
    <n v="904407"/>
    <n v="1.12781081968627E-3"/>
    <n v="1.3997016829812241"/>
    <n v="25261"/>
  </r>
  <r>
    <d v="2025-02-10T00:00:00"/>
    <x v="3"/>
    <n v="7420"/>
    <n v="743"/>
    <n v="6677"/>
    <n v="911084"/>
    <n v="7.3286327056561202E-3"/>
    <n v="10.593534734448189"/>
    <n v="11431"/>
  </r>
  <r>
    <d v="2025-02-17T00:00:00"/>
    <x v="1"/>
    <n v="1365"/>
    <n v="75"/>
    <n v="1290"/>
    <n v="912374"/>
    <n v="1.4138938637006299E-3"/>
    <n v="9.2688963078737441"/>
    <n v="19067"/>
  </r>
  <r>
    <d v="2025-02-17T00:00:00"/>
    <x v="3"/>
    <n v="5531"/>
    <n v="430"/>
    <n v="5101"/>
    <n v="917475"/>
    <n v="5.5598245183792498E-3"/>
    <n v="2.7289026948963189"/>
    <n v="47481"/>
  </r>
  <r>
    <d v="2025-02-17T00:00:00"/>
    <x v="0"/>
    <n v="6330"/>
    <n v="891"/>
    <n v="5439"/>
    <n v="922914"/>
    <n v="5.8932901657142503E-3"/>
    <n v="14.789893749580139"/>
    <n v="37037"/>
  </r>
  <r>
    <d v="2025-02-17T00:00:00"/>
    <x v="0"/>
    <n v="6510"/>
    <n v="481"/>
    <n v="6029"/>
    <n v="928943"/>
    <n v="6.4901721634158397E-3"/>
    <n v="2.3800168578696428"/>
    <n v="19557"/>
  </r>
  <r>
    <d v="2025-02-24T00:00:00"/>
    <x v="0"/>
    <n v="9754"/>
    <n v="629"/>
    <n v="9125"/>
    <n v="938068"/>
    <n v="9.7274398018054094E-3"/>
    <n v="3.4123325814333292"/>
    <n v="19435"/>
  </r>
  <r>
    <d v="2025-02-24T00:00:00"/>
    <x v="2"/>
    <n v="9964"/>
    <n v="985"/>
    <n v="8979"/>
    <n v="947047"/>
    <n v="9.4810500429228992E-3"/>
    <n v="1.9837452629066989"/>
    <n v="47766"/>
  </r>
  <r>
    <d v="2025-02-24T00:00:00"/>
    <x v="2"/>
    <n v="7493"/>
    <n v="1113"/>
    <n v="6380"/>
    <n v="953427"/>
    <n v="6.6916502259743004E-3"/>
    <n v="15.684892498324469"/>
    <n v="10162"/>
  </r>
  <r>
    <d v="2025-02-24T00:00:00"/>
    <x v="0"/>
    <n v="6439"/>
    <n v="477"/>
    <n v="5962"/>
    <n v="959389"/>
    <n v="6.2143718554204799E-3"/>
    <n v="7.4744446725989153"/>
    <n v="44742"/>
  </r>
  <r>
    <d v="2025-03-03T00:00:00"/>
    <x v="2"/>
    <n v="7511"/>
    <n v="880"/>
    <n v="6631"/>
    <n v="966020"/>
    <n v="6.8642471170369196E-3"/>
    <n v="4.6083932009689246"/>
    <n v="29675"/>
  </r>
  <r>
    <d v="2025-03-03T00:00:00"/>
    <x v="3"/>
    <n v="8504"/>
    <n v="1072"/>
    <n v="7432"/>
    <n v="973452"/>
    <n v="7.6346856342172E-3"/>
    <n v="6.5651927367759271"/>
    <n v="18461"/>
  </r>
  <r>
    <d v="2025-03-03T00:00:00"/>
    <x v="1"/>
    <n v="2246"/>
    <n v="165"/>
    <n v="2081"/>
    <n v="975533"/>
    <n v="2.1331928289458199E-3"/>
    <n v="2.9062061457685191"/>
    <n v="27015"/>
  </r>
  <r>
    <d v="2025-03-03T00:00:00"/>
    <x v="1"/>
    <n v="4839"/>
    <n v="594"/>
    <n v="4245"/>
    <n v="979778"/>
    <n v="4.3326141227910796E-3"/>
    <n v="2.5803804535313102"/>
    <n v="42591"/>
  </r>
  <r>
    <d v="2025-03-10T00:00:00"/>
    <x v="1"/>
    <n v="9551"/>
    <n v="828"/>
    <n v="8723"/>
    <n v="988501"/>
    <n v="8.8244726105487E-3"/>
    <n v="1.525036393488727"/>
    <n v="38047"/>
  </r>
  <r>
    <d v="2025-03-10T00:00:00"/>
    <x v="0"/>
    <n v="3376"/>
    <n v="382"/>
    <n v="2994"/>
    <n v="991495"/>
    <n v="3.0196823988018098E-3"/>
    <n v="3.8694093263203548"/>
    <n v="44782"/>
  </r>
  <r>
    <d v="2025-03-10T00:00:00"/>
    <x v="2"/>
    <n v="4009"/>
    <n v="454"/>
    <n v="3555"/>
    <n v="995050"/>
    <n v="3.5726847897090599E-3"/>
    <n v="2.1106477061454201"/>
    <n v="19833"/>
  </r>
  <r>
    <d v="2025-03-10T00:00:00"/>
    <x v="3"/>
    <n v="2827"/>
    <n v="292"/>
    <n v="2535"/>
    <n v="997585"/>
    <n v="2.5411368454818402E-3"/>
    <n v="2.4004972007397871"/>
    <n v="17896"/>
  </r>
  <r>
    <d v="2025-03-17T00:00:00"/>
    <x v="3"/>
    <n v="7979"/>
    <n v="470"/>
    <n v="7509"/>
    <n v="1005094"/>
    <n v="7.4709430162751E-3"/>
    <n v="10.43086517280971"/>
    <n v="42972"/>
  </r>
  <r>
    <d v="2025-03-17T00:00:00"/>
    <x v="0"/>
    <n v="9569"/>
    <n v="1277"/>
    <n v="8292"/>
    <n v="1013386"/>
    <n v="8.1824694637581408E-3"/>
    <n v="12.45517502708741"/>
    <n v="59733"/>
  </r>
  <r>
    <d v="2025-03-17T00:00:00"/>
    <x v="3"/>
    <n v="5285"/>
    <n v="433"/>
    <n v="4852"/>
    <n v="1018238"/>
    <n v="4.7650942117658203E-3"/>
    <n v="8.7022876773406619"/>
    <n v="51800"/>
  </r>
  <r>
    <d v="2025-03-17T00:00:00"/>
    <x v="3"/>
    <n v="7910"/>
    <n v="543"/>
    <n v="7367"/>
    <n v="1025605"/>
    <n v="7.1830773055903598E-3"/>
    <n v="6.0590578244060822"/>
    <n v="40508"/>
  </r>
  <r>
    <d v="2025-03-24T00:00:00"/>
    <x v="3"/>
    <n v="9561"/>
    <n v="517"/>
    <n v="9044"/>
    <n v="1034649"/>
    <n v="8.7411286339618595E-3"/>
    <n v="6.4086467971263694"/>
    <n v="15347"/>
  </r>
  <r>
    <d v="2025-03-24T00:00:00"/>
    <x v="3"/>
    <n v="3196"/>
    <n v="348"/>
    <n v="2848"/>
    <n v="1037497"/>
    <n v="2.7450681785103999E-3"/>
    <n v="14.03040201562029"/>
    <n v="40314"/>
  </r>
  <r>
    <d v="2025-03-24T00:00:00"/>
    <x v="2"/>
    <n v="4747"/>
    <n v="558"/>
    <n v="4189"/>
    <n v="1041686"/>
    <n v="4.0213653634588497E-3"/>
    <n v="5.7680529449373434"/>
    <n v="12643"/>
  </r>
  <r>
    <d v="2025-03-24T00:00:00"/>
    <x v="3"/>
    <n v="9843"/>
    <n v="508"/>
    <n v="9335"/>
    <n v="1051021"/>
    <n v="8.8818396587699005E-3"/>
    <n v="4.2080986012648651"/>
    <n v="50785"/>
  </r>
  <r>
    <d v="2025-03-31T00:00:00"/>
    <x v="1"/>
    <n v="6978"/>
    <n v="706"/>
    <n v="6272"/>
    <n v="1057293"/>
    <n v="5.9321304501212101E-3"/>
    <n v="5.057443868445171"/>
    <n v="28681"/>
  </r>
  <r>
    <d v="2025-03-31T00:00:00"/>
    <x v="0"/>
    <n v="6607"/>
    <n v="479"/>
    <n v="6128"/>
    <n v="1063421"/>
    <n v="5.7625343114345098E-3"/>
    <n v="5.5892257158735816"/>
    <n v="48328"/>
  </r>
  <r>
    <d v="2025-03-31T00:00:00"/>
    <x v="2"/>
    <n v="1769"/>
    <n v="202"/>
    <n v="1567"/>
    <n v="1064988"/>
    <n v="1.47137808125538E-3"/>
    <n v="6.5457075572682513"/>
    <n v="25892"/>
  </r>
  <r>
    <d v="2025-03-31T00:00:00"/>
    <x v="3"/>
    <n v="1780"/>
    <n v="120"/>
    <n v="1660"/>
    <n v="1066648"/>
    <n v="1.55627723485161E-3"/>
    <n v="13.86474263299608"/>
    <n v="57299"/>
  </r>
  <r>
    <d v="2025-04-07T00:00:00"/>
    <x v="2"/>
    <n v="7303"/>
    <n v="869"/>
    <n v="6434"/>
    <n v="1073082"/>
    <n v="5.9958139266151197E-3"/>
    <n v="8.1237966902808925"/>
    <n v="27073"/>
  </r>
  <r>
    <d v="2025-04-07T00:00:00"/>
    <x v="3"/>
    <n v="4983"/>
    <n v="441"/>
    <n v="4542"/>
    <n v="1077624"/>
    <n v="4.2148281775461604E-3"/>
    <n v="6.8954477628560609"/>
    <n v="46768"/>
  </r>
  <r>
    <d v="2025-04-07T00:00:00"/>
    <x v="1"/>
    <n v="9714"/>
    <n v="1395"/>
    <n v="8319"/>
    <n v="1085943"/>
    <n v="7.6606230713766798E-3"/>
    <n v="5.2243073531483697"/>
    <n v="40682"/>
  </r>
  <r>
    <d v="2025-04-07T00:00:00"/>
    <x v="0"/>
    <n v="1521"/>
    <n v="96"/>
    <n v="1425"/>
    <n v="1087368"/>
    <n v="1.31050389564526E-3"/>
    <n v="12.709772588488899"/>
    <n v="42262"/>
  </r>
  <r>
    <d v="2025-04-14T00:00:00"/>
    <x v="3"/>
    <n v="8569"/>
    <n v="720"/>
    <n v="7849"/>
    <n v="1095217"/>
    <n v="7.1666162961312703E-3"/>
    <n v="9.589697749395782"/>
    <n v="41358"/>
  </r>
  <r>
    <d v="2025-04-14T00:00:00"/>
    <x v="3"/>
    <n v="6784"/>
    <n v="416"/>
    <n v="6368"/>
    <n v="1101585"/>
    <n v="5.7807613574985097E-3"/>
    <n v="9.3041390360253633"/>
    <n v="24289"/>
  </r>
  <r>
    <d v="2025-04-14T00:00:00"/>
    <x v="3"/>
    <n v="5583"/>
    <n v="795"/>
    <n v="4788"/>
    <n v="1106373"/>
    <n v="4.3276544167292598E-3"/>
    <n v="12.21550055903389"/>
    <n v="59823"/>
  </r>
  <r>
    <d v="2025-04-14T00:00:00"/>
    <x v="3"/>
    <n v="6946"/>
    <n v="956"/>
    <n v="5990"/>
    <n v="1112363"/>
    <n v="5.3849327962185002E-3"/>
    <n v="1.64146056637986"/>
    <n v="17927"/>
  </r>
  <r>
    <d v="2025-04-21T00:00:00"/>
    <x v="0"/>
    <n v="5941"/>
    <n v="450"/>
    <n v="5491"/>
    <n v="1117854"/>
    <n v="4.9120904876665504E-3"/>
    <n v="12.414411899944"/>
    <n v="58330"/>
  </r>
  <r>
    <d v="2025-04-21T00:00:00"/>
    <x v="0"/>
    <n v="7267"/>
    <n v="842"/>
    <n v="6425"/>
    <n v="1124279"/>
    <n v="5.7147736460433796E-3"/>
    <n v="2.2102165031989389"/>
    <n v="11171"/>
  </r>
  <r>
    <d v="2025-04-21T00:00:00"/>
    <x v="1"/>
    <n v="8128"/>
    <n v="1070"/>
    <n v="7058"/>
    <n v="1131337"/>
    <n v="6.2386362330587603E-3"/>
    <n v="8.1114645768679008"/>
    <n v="21918"/>
  </r>
  <r>
    <d v="2025-04-21T00:00:00"/>
    <x v="0"/>
    <n v="3461"/>
    <n v="365"/>
    <n v="3096"/>
    <n v="1134433"/>
    <n v="2.7291166600407401E-3"/>
    <n v="10.23489267325616"/>
    <n v="51903"/>
  </r>
  <r>
    <d v="2025-04-28T00:00:00"/>
    <x v="3"/>
    <n v="1685"/>
    <n v="173"/>
    <n v="1512"/>
    <n v="1135945"/>
    <n v="1.33105035895224E-3"/>
    <n v="8.7776256772995165"/>
    <n v="49110"/>
  </r>
  <r>
    <d v="2025-04-28T00:00:00"/>
    <x v="1"/>
    <n v="3160"/>
    <n v="234"/>
    <n v="2926"/>
    <n v="1138871"/>
    <n v="2.5692110871204901E-3"/>
    <n v="5.6959041015180816"/>
    <n v="21929"/>
  </r>
  <r>
    <d v="2025-04-28T00:00:00"/>
    <x v="1"/>
    <n v="8031"/>
    <n v="476"/>
    <n v="7555"/>
    <n v="1146426"/>
    <n v="6.5900459340594202E-3"/>
    <n v="11.940413075069831"/>
    <n v="12539"/>
  </r>
  <r>
    <d v="2025-04-28T00:00:00"/>
    <x v="1"/>
    <n v="6341"/>
    <n v="885"/>
    <n v="5456"/>
    <n v="1151882"/>
    <n v="4.7365962832998498E-3"/>
    <n v="6.3457020771224837"/>
    <n v="46727"/>
  </r>
  <r>
    <d v="2025-05-05T00:00:00"/>
    <x v="3"/>
    <n v="1038"/>
    <n v="145"/>
    <n v="893"/>
    <n v="1152775"/>
    <n v="7.7465246904209403E-4"/>
    <n v="11.093752033137431"/>
    <n v="55951"/>
  </r>
  <r>
    <d v="2025-05-05T00:00:00"/>
    <x v="2"/>
    <n v="5875"/>
    <n v="665"/>
    <n v="5210"/>
    <n v="1157985"/>
    <n v="4.4991947218659999E-3"/>
    <n v="6.9871371390821126"/>
    <n v="32669"/>
  </r>
  <r>
    <d v="2025-05-05T00:00:00"/>
    <x v="3"/>
    <n v="2256"/>
    <n v="189"/>
    <n v="2067"/>
    <n v="1160052"/>
    <n v="1.7818166771834401E-3"/>
    <n v="2.8935771844710412"/>
    <n v="15432"/>
  </r>
  <r>
    <d v="2025-05-05T00:00:00"/>
    <x v="0"/>
    <n v="8697"/>
    <n v="738"/>
    <n v="7959"/>
    <n v="1168011"/>
    <n v="6.8141481544266302E-3"/>
    <n v="3.8777032065622672"/>
    <n v="30644"/>
  </r>
  <r>
    <d v="2025-05-12T00:00:00"/>
    <x v="0"/>
    <n v="3196"/>
    <n v="391"/>
    <n v="2805"/>
    <n v="1170816"/>
    <n v="2.39576500491965E-3"/>
    <n v="7.2439221876024931"/>
    <n v="28745"/>
  </r>
  <r>
    <d v="2025-05-12T00:00:00"/>
    <x v="3"/>
    <n v="8165"/>
    <n v="1140"/>
    <n v="7025"/>
    <n v="1177841"/>
    <n v="5.9643024822535499E-3"/>
    <n v="9.095964565675672"/>
    <n v="38228"/>
  </r>
  <r>
    <d v="2025-05-12T00:00:00"/>
    <x v="3"/>
    <n v="1301"/>
    <n v="180"/>
    <n v="1121"/>
    <n v="1178962"/>
    <n v="9.5083641372665096E-4"/>
    <n v="5.2275645864752214"/>
    <n v="44521"/>
  </r>
  <r>
    <d v="2025-05-12T00:00:00"/>
    <x v="1"/>
    <n v="8527"/>
    <n v="1091"/>
    <n v="7436"/>
    <n v="1186398"/>
    <n v="6.2677111728104704E-3"/>
    <n v="1.676081719625286"/>
    <n v="417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4AD503-19BC-4C79-A315-ADC6076FF20D}" name="PivotTable3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G55" firstHeaderRow="1" firstDataRow="2" firstDataCol="1"/>
  <pivotFields count="9">
    <pivotField axis="axisRow" numFmtId="14" showAll="0" sortType="a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0"/>
        <item x="3"/>
        <item x="1"/>
        <item x="2"/>
        <item t="default"/>
      </items>
    </pivotField>
    <pivotField numFmtId="3" showAll="0"/>
    <pivotField numFmtId="3" showAll="0"/>
    <pivotField dataField="1" numFmtId="3" showAll="0"/>
    <pivotField numFmtId="10" showAll="0">
      <items count="201">
        <item x="192"/>
        <item x="198"/>
        <item x="146"/>
        <item x="131"/>
        <item x="179"/>
        <item x="188"/>
        <item x="111"/>
        <item x="148"/>
        <item x="174"/>
        <item x="175"/>
        <item x="92"/>
        <item x="113"/>
        <item x="194"/>
        <item x="116"/>
        <item x="127"/>
        <item x="104"/>
        <item x="158"/>
        <item x="196"/>
        <item x="91"/>
        <item x="163"/>
        <item x="189"/>
        <item x="187"/>
        <item x="169"/>
        <item x="145"/>
        <item x="64"/>
        <item x="161"/>
        <item x="70"/>
        <item x="162"/>
        <item x="129"/>
        <item x="144"/>
        <item x="123"/>
        <item x="170"/>
        <item x="48"/>
        <item x="139"/>
        <item x="177"/>
        <item x="182"/>
        <item x="159"/>
        <item x="140"/>
        <item x="193"/>
        <item x="62"/>
        <item x="53"/>
        <item x="191"/>
        <item x="166"/>
        <item x="61"/>
        <item x="184"/>
        <item x="72"/>
        <item x="109"/>
        <item x="98"/>
        <item x="134"/>
        <item x="112"/>
        <item x="89"/>
        <item x="27"/>
        <item x="183"/>
        <item x="121"/>
        <item x="149"/>
        <item x="107"/>
        <item x="185"/>
        <item x="78"/>
        <item x="173"/>
        <item x="58"/>
        <item x="71"/>
        <item x="181"/>
        <item x="117"/>
        <item x="150"/>
        <item x="172"/>
        <item x="197"/>
        <item x="32"/>
        <item x="176"/>
        <item x="155"/>
        <item x="186"/>
        <item x="199"/>
        <item x="138"/>
        <item x="151"/>
        <item x="190"/>
        <item x="154"/>
        <item x="110"/>
        <item x="195"/>
        <item x="156"/>
        <item x="26"/>
        <item x="180"/>
        <item x="167"/>
        <item x="147"/>
        <item x="137"/>
        <item x="164"/>
        <item x="103"/>
        <item x="157"/>
        <item x="178"/>
        <item x="94"/>
        <item x="105"/>
        <item x="38"/>
        <item x="90"/>
        <item x="165"/>
        <item x="21"/>
        <item x="74"/>
        <item x="96"/>
        <item x="118"/>
        <item x="95"/>
        <item x="136"/>
        <item x="115"/>
        <item x="63"/>
        <item x="66"/>
        <item x="168"/>
        <item x="160"/>
        <item x="143"/>
        <item x="171"/>
        <item x="133"/>
        <item x="130"/>
        <item x="135"/>
        <item x="101"/>
        <item x="141"/>
        <item x="128"/>
        <item x="75"/>
        <item x="108"/>
        <item x="153"/>
        <item x="125"/>
        <item x="142"/>
        <item x="152"/>
        <item x="119"/>
        <item x="99"/>
        <item x="97"/>
        <item x="132"/>
        <item x="79"/>
        <item x="36"/>
        <item x="85"/>
        <item x="65"/>
        <item x="126"/>
        <item x="120"/>
        <item x="122"/>
        <item x="106"/>
        <item x="86"/>
        <item x="37"/>
        <item x="84"/>
        <item x="34"/>
        <item x="69"/>
        <item x="47"/>
        <item x="114"/>
        <item x="124"/>
        <item x="88"/>
        <item x="19"/>
        <item x="73"/>
        <item x="81"/>
        <item x="100"/>
        <item x="23"/>
        <item x="102"/>
        <item x="51"/>
        <item x="77"/>
        <item x="52"/>
        <item x="59"/>
        <item x="93"/>
        <item x="80"/>
        <item x="45"/>
        <item x="87"/>
        <item x="82"/>
        <item x="18"/>
        <item x="24"/>
        <item x="76"/>
        <item x="83"/>
        <item x="39"/>
        <item x="49"/>
        <item x="60"/>
        <item x="54"/>
        <item x="67"/>
        <item x="68"/>
        <item x="56"/>
        <item x="40"/>
        <item x="46"/>
        <item x="33"/>
        <item x="44"/>
        <item x="35"/>
        <item x="55"/>
        <item x="43"/>
        <item x="41"/>
        <item x="42"/>
        <item x="57"/>
        <item x="50"/>
        <item x="7"/>
        <item x="13"/>
        <item x="16"/>
        <item x="22"/>
        <item x="25"/>
        <item x="28"/>
        <item x="29"/>
        <item x="30"/>
        <item x="20"/>
        <item x="15"/>
        <item x="31"/>
        <item x="11"/>
        <item x="6"/>
        <item x="0"/>
        <item x="9"/>
        <item x="17"/>
        <item x="10"/>
        <item x="14"/>
        <item x="12"/>
        <item x="8"/>
        <item x="5"/>
        <item x="4"/>
        <item x="3"/>
        <item x="1"/>
        <item x="2"/>
        <item t="default"/>
      </items>
    </pivotField>
    <pivotField showAll="0"/>
    <pivotField numFmtId="164" showAll="0"/>
    <pivotField dragToRow="0" dragToCol="0" dragToPage="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Total_Followers" fld="4" baseField="0" baseItem="0" numFmtId="3"/>
  </dataFields>
  <chartFormats count="12">
    <chartFormat chart="5" format="4" series="1">
      <pivotArea type="data" outline="0" fieldPosition="0">
        <references count="1">
          <reference field="1" count="1" selected="0">
            <x v="0"/>
          </reference>
        </references>
      </pivotArea>
    </chartFormat>
    <chartFormat chart="5" format="5" series="1">
      <pivotArea type="data" outline="0" fieldPosition="0">
        <references count="1">
          <reference field="1" count="1" selected="0">
            <x v="1"/>
          </reference>
        </references>
      </pivotArea>
    </chartFormat>
    <chartFormat chart="5" format="6" series="1">
      <pivotArea type="data" outline="0" fieldPosition="0">
        <references count="1">
          <reference field="1" count="1" selected="0">
            <x v="2"/>
          </reference>
        </references>
      </pivotArea>
    </chartFormat>
    <chartFormat chart="5" format="7" series="1">
      <pivotArea type="data" outline="0" fieldPosition="0">
        <references count="1">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series="1">
      <pivotArea type="data" outline="0" fieldPosition="0">
        <references count="2">
          <reference field="4294967294" count="1" selected="0">
            <x v="0"/>
          </reference>
          <reference field="1" count="1" selected="0">
            <x v="1"/>
          </reference>
        </references>
      </pivotArea>
    </chartFormat>
    <chartFormat chart="15" format="14" series="1">
      <pivotArea type="data" outline="0" fieldPosition="0">
        <references count="2">
          <reference field="4294967294" count="1" selected="0">
            <x v="0"/>
          </reference>
          <reference field="1" count="1" selected="0">
            <x v="2"/>
          </reference>
        </references>
      </pivotArea>
    </chartFormat>
    <chartFormat chart="15"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8FBDC-179A-4B09-92AC-C47A635483D3}" name="PivotTable34"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2:C52" firstHeaderRow="1" firstDataRow="1" firstDataCol="1"/>
  <pivotFields count="9">
    <pivotField axis="axisRow" numFmtId="14"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numFmtId="3" showAll="0"/>
    <pivotField numFmtId="10" showAll="0"/>
    <pivotField showAll="0"/>
    <pivotField numFmtId="164" showAll="0"/>
    <pivotField dataField="1" dragToRow="0" dragToCol="0" dragToPage="0" showAll="0" defaultSubtotal="0"/>
  </pivotFields>
  <rowFields count="1">
    <field x="0"/>
  </rowFields>
  <rowItems count="50">
    <i>
      <x v="7"/>
    </i>
    <i>
      <x v="20"/>
    </i>
    <i>
      <x v="38"/>
    </i>
    <i>
      <x v="25"/>
    </i>
    <i>
      <x v="3"/>
    </i>
    <i>
      <x v="35"/>
    </i>
    <i>
      <x v="41"/>
    </i>
    <i>
      <x v="33"/>
    </i>
    <i>
      <x v="21"/>
    </i>
    <i>
      <x/>
    </i>
    <i>
      <x v="31"/>
    </i>
    <i>
      <x v="10"/>
    </i>
    <i>
      <x v="2"/>
    </i>
    <i>
      <x v="42"/>
    </i>
    <i>
      <x v="14"/>
    </i>
    <i>
      <x v="45"/>
    </i>
    <i>
      <x v="30"/>
    </i>
    <i>
      <x v="19"/>
    </i>
    <i>
      <x v="11"/>
    </i>
    <i>
      <x v="1"/>
    </i>
    <i>
      <x v="34"/>
    </i>
    <i>
      <x v="13"/>
    </i>
    <i>
      <x v="46"/>
    </i>
    <i>
      <x v="24"/>
    </i>
    <i>
      <x v="12"/>
    </i>
    <i>
      <x v="44"/>
    </i>
    <i>
      <x v="39"/>
    </i>
    <i>
      <x v="4"/>
    </i>
    <i>
      <x v="23"/>
    </i>
    <i>
      <x v="28"/>
    </i>
    <i>
      <x v="29"/>
    </i>
    <i>
      <x v="32"/>
    </i>
    <i>
      <x v="5"/>
    </i>
    <i>
      <x v="17"/>
    </i>
    <i>
      <x v="49"/>
    </i>
    <i>
      <x v="26"/>
    </i>
    <i>
      <x v="16"/>
    </i>
    <i>
      <x v="37"/>
    </i>
    <i>
      <x v="40"/>
    </i>
    <i>
      <x v="18"/>
    </i>
    <i>
      <x v="47"/>
    </i>
    <i>
      <x v="8"/>
    </i>
    <i>
      <x v="22"/>
    </i>
    <i>
      <x v="48"/>
    </i>
    <i>
      <x v="27"/>
    </i>
    <i>
      <x v="43"/>
    </i>
    <i>
      <x v="15"/>
    </i>
    <i>
      <x v="9"/>
    </i>
    <i>
      <x v="6"/>
    </i>
    <i>
      <x v="36"/>
    </i>
  </rowItems>
  <colItems count="1">
    <i/>
  </colItems>
  <dataFields count="1">
    <dataField name="Sum of Net_Follower_Gain" fld="8" baseField="0" baseItem="0" numFmtId="3"/>
  </dataFields>
  <formats count="2">
    <format dxfId="59">
      <pivotArea collapsedLevelsAreSubtotals="1" fieldPosition="0">
        <references count="1">
          <reference field="0" count="1">
            <x v="7"/>
          </reference>
        </references>
      </pivotArea>
    </format>
    <format dxfId="58">
      <pivotArea dataOnly="0" labelOnly="1" fieldPosition="0">
        <references count="1">
          <reference field="0" count="1">
            <x v="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61B1F6-A8BE-4707-B541-BFC89810BC6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L35" firstHeaderRow="1" firstDataRow="1" firstDataCol="1"/>
  <pivotFields count="12">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h="1" x="0"/>
        <item h="1" x="3"/>
        <item h="1" x="1"/>
        <item x="2"/>
        <item t="default"/>
      </items>
    </pivotField>
    <pivotField numFmtId="3" showAll="0"/>
    <pivotField numFmtId="3" showAll="0"/>
    <pivotField dataField="1" numFmtId="3" showAll="0"/>
    <pivotField numFmtId="3" showAll="0"/>
    <pivotField numFmtId="10" showAll="0"/>
    <pivotField showAll="0"/>
    <pivotField numFmtId="164" showAll="0"/>
    <pivotField showAll="0">
      <items count="15">
        <item sd="0" x="0"/>
        <item x="1"/>
        <item x="2"/>
        <item x="3"/>
        <item x="4"/>
        <item x="5"/>
        <item x="6"/>
        <item x="7"/>
        <item x="8"/>
        <item x="9"/>
        <item x="10"/>
        <item x="11"/>
        <item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34">
    <i>
      <x/>
    </i>
    <i>
      <x v="1"/>
    </i>
    <i>
      <x v="3"/>
    </i>
    <i>
      <x v="6"/>
    </i>
    <i>
      <x v="7"/>
    </i>
    <i>
      <x v="8"/>
    </i>
    <i>
      <x v="9"/>
    </i>
    <i>
      <x v="10"/>
    </i>
    <i>
      <x v="11"/>
    </i>
    <i>
      <x v="12"/>
    </i>
    <i>
      <x v="14"/>
    </i>
    <i>
      <x v="15"/>
    </i>
    <i>
      <x v="18"/>
    </i>
    <i>
      <x v="19"/>
    </i>
    <i>
      <x v="20"/>
    </i>
    <i>
      <x v="21"/>
    </i>
    <i>
      <x v="22"/>
    </i>
    <i>
      <x v="23"/>
    </i>
    <i>
      <x v="25"/>
    </i>
    <i>
      <x v="26"/>
    </i>
    <i>
      <x v="27"/>
    </i>
    <i>
      <x v="29"/>
    </i>
    <i>
      <x v="31"/>
    </i>
    <i>
      <x v="32"/>
    </i>
    <i>
      <x v="33"/>
    </i>
    <i>
      <x v="35"/>
    </i>
    <i>
      <x v="38"/>
    </i>
    <i>
      <x v="39"/>
    </i>
    <i>
      <x v="40"/>
    </i>
    <i>
      <x v="42"/>
    </i>
    <i>
      <x v="43"/>
    </i>
    <i>
      <x v="44"/>
    </i>
    <i>
      <x v="48"/>
    </i>
    <i t="grand">
      <x/>
    </i>
  </rowItems>
  <colItems count="1">
    <i/>
  </colItems>
  <dataFields count="1">
    <dataField name="Sum of Total_Followers" fld="4" baseField="0" baseItem="0" numFmtId="3"/>
  </dataFields>
  <chartFormats count="1">
    <chartFormat chart="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A77F7D-3692-43F4-8918-AEF29CC790E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L52" firstHeaderRow="1" firstDataRow="1" firstDataCol="1"/>
  <pivotFields count="12">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0"/>
        <item x="3"/>
        <item x="1"/>
        <item x="2"/>
        <item t="default"/>
      </items>
    </pivotField>
    <pivotField numFmtId="3" showAll="0"/>
    <pivotField numFmtId="3" showAll="0"/>
    <pivotField numFmtId="3" showAll="0"/>
    <pivotField dataField="1" numFmtId="3" showAll="0"/>
    <pivotField numFmtId="10" showAll="0"/>
    <pivotField showAll="0"/>
    <pivotField numFmtId="164" showAll="0"/>
    <pivotField showAll="0">
      <items count="15">
        <item sd="0" x="0"/>
        <item x="1"/>
        <item x="2"/>
        <item x="3"/>
        <item x="4"/>
        <item x="5"/>
        <item x="6"/>
        <item x="7"/>
        <item x="8"/>
        <item x="9"/>
        <item x="10"/>
        <item x="11"/>
        <item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Net Followers Gain" fld="5" baseField="0" baseItem="0" numFmtId="3"/>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64E029-70BB-43F7-B885-A818D9826B04}" name="PivotTable3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C201" firstHeaderRow="1" firstDataRow="1" firstDataCol="1"/>
  <pivotFields count="9">
    <pivotField numFmtId="14" showAll="0"/>
    <pivotField showAll="0"/>
    <pivotField numFmtId="3" showAll="0"/>
    <pivotField numFmtId="3" showAll="0"/>
    <pivotField numFmtId="3" showAll="0"/>
    <pivotField dataField="1" numFmtId="10" showAll="0"/>
    <pivotField showAll="0"/>
    <pivotField axis="axisRow" numFmtId="164" showAll="0">
      <items count="199">
        <item x="46"/>
        <item x="153"/>
        <item x="58"/>
        <item x="18"/>
        <item x="184"/>
        <item x="146"/>
        <item x="141"/>
        <item x="73"/>
        <item x="21"/>
        <item x="25"/>
        <item x="119"/>
        <item x="189"/>
        <item x="33"/>
        <item x="169"/>
        <item x="130"/>
        <item x="131"/>
        <item x="53"/>
        <item x="95"/>
        <item x="36"/>
        <item x="113"/>
        <item x="128"/>
        <item x="8"/>
        <item x="167"/>
        <item x="192"/>
        <item x="67"/>
        <item x="54"/>
        <item x="69"/>
        <item x="104"/>
        <item x="41"/>
        <item x="137"/>
        <item x="140"/>
        <item x="139"/>
        <item x="162"/>
        <item x="22"/>
        <item x="182"/>
        <item x="116"/>
        <item x="98"/>
        <item x="156"/>
        <item x="147"/>
        <item x="151"/>
        <item x="77"/>
        <item x="150"/>
        <item x="13"/>
        <item x="161"/>
        <item x="82"/>
        <item x="64"/>
        <item x="70"/>
        <item x="44"/>
        <item x="185"/>
        <item x="188"/>
        <item x="9"/>
        <item x="83"/>
        <item x="55"/>
        <item x="24"/>
        <item x="61"/>
        <item x="134"/>
        <item x="0"/>
        <item x="142"/>
        <item x="49"/>
        <item x="180"/>
        <item x="93"/>
        <item x="26"/>
        <item x="127"/>
        <item x="145"/>
        <item x="4"/>
        <item x="173"/>
        <item x="47"/>
        <item x="65"/>
        <item x="37"/>
        <item x="79"/>
        <item x="114"/>
        <item x="157"/>
        <item x="135"/>
        <item x="175"/>
        <item x="11"/>
        <item x="111"/>
        <item x="108"/>
        <item x="16"/>
        <item x="88"/>
        <item x="91"/>
        <item x="171"/>
        <item x="194"/>
        <item x="109"/>
        <item x="74"/>
        <item x="155"/>
        <item x="125"/>
        <item x="1"/>
        <item x="193"/>
        <item x="81"/>
        <item x="59"/>
        <item x="117"/>
        <item x="191"/>
        <item x="39"/>
        <item x="144"/>
        <item x="110"/>
        <item x="20"/>
        <item x="10"/>
        <item x="3"/>
        <item x="7"/>
        <item x="107"/>
        <item x="75"/>
        <item x="112"/>
        <item x="121"/>
        <item x="124"/>
        <item x="27"/>
        <item x="149"/>
        <item x="76"/>
        <item x="42"/>
        <item x="31"/>
        <item x="159"/>
        <item x="195"/>
        <item x="102"/>
        <item x="50"/>
        <item x="68"/>
        <item x="35"/>
        <item x="115"/>
        <item x="126"/>
        <item x="129"/>
        <item x="66"/>
        <item x="40"/>
        <item x="90"/>
        <item x="97"/>
        <item x="168"/>
        <item x="87"/>
        <item x="166"/>
        <item x="177"/>
        <item x="179"/>
        <item x="197"/>
        <item x="178"/>
        <item x="105"/>
        <item x="158"/>
        <item x="163"/>
        <item x="72"/>
        <item x="80"/>
        <item x="29"/>
        <item x="71"/>
        <item x="85"/>
        <item x="89"/>
        <item x="196"/>
        <item x="6"/>
        <item x="154"/>
        <item x="160"/>
        <item x="99"/>
        <item x="12"/>
        <item x="106"/>
        <item x="34"/>
        <item x="43"/>
        <item x="5"/>
        <item x="176"/>
        <item x="138"/>
        <item x="148"/>
        <item x="152"/>
        <item x="30"/>
        <item x="60"/>
        <item x="14"/>
        <item x="172"/>
        <item x="23"/>
        <item x="28"/>
        <item x="187"/>
        <item x="2"/>
        <item x="170"/>
        <item x="96"/>
        <item x="165"/>
        <item x="186"/>
        <item x="15"/>
        <item x="57"/>
        <item x="133"/>
        <item x="103"/>
        <item x="118"/>
        <item x="122"/>
        <item x="45"/>
        <item x="32"/>
        <item x="132"/>
        <item x="51"/>
        <item x="62"/>
        <item x="52"/>
        <item x="84"/>
        <item x="143"/>
        <item x="94"/>
        <item x="190"/>
        <item x="78"/>
        <item x="101"/>
        <item x="100"/>
        <item x="136"/>
        <item x="174"/>
        <item x="17"/>
        <item x="120"/>
        <item x="183"/>
        <item x="123"/>
        <item x="63"/>
        <item x="38"/>
        <item x="92"/>
        <item x="19"/>
        <item x="164"/>
        <item x="48"/>
        <item x="86"/>
        <item x="56"/>
        <item x="181"/>
        <item t="default"/>
      </items>
    </pivotField>
    <pivotField dragToRow="0" dragToCol="0" dragToPage="0" showAll="0" defaultSubtotal="0"/>
  </pivotFields>
  <rowFields count="1">
    <field x="7"/>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rowItems>
  <colItems count="1">
    <i/>
  </colItems>
  <dataFields count="1">
    <dataField name="Average of Follower Growth Rate" fld="5" subtotal="average"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65146-CD19-4B4C-B387-26FA1C2C7BA7}" name="PivotTable36"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8" firstHeaderRow="0" firstDataRow="1" firstDataCol="1"/>
  <pivotFields count="9">
    <pivotField numFmtId="14" showAll="0"/>
    <pivotField axis="axisRow" showAll="0">
      <items count="5">
        <item x="0"/>
        <item x="3"/>
        <item x="1"/>
        <item x="2"/>
        <item t="default"/>
      </items>
    </pivotField>
    <pivotField numFmtId="3" showAll="0"/>
    <pivotField numFmtId="3" showAll="0"/>
    <pivotField dataField="1" numFmtId="3" showAll="0"/>
    <pivotField numFmtId="3" showAll="0"/>
    <pivotField numFmtId="10" showAll="0"/>
    <pivotField showAll="0"/>
    <pivotField dataField="1" numFmtId="164" showAll="0"/>
  </pivotFields>
  <rowFields count="1">
    <field x="1"/>
  </rowFields>
  <rowItems count="5">
    <i>
      <x/>
    </i>
    <i>
      <x v="1"/>
    </i>
    <i>
      <x v="2"/>
    </i>
    <i>
      <x v="3"/>
    </i>
    <i t="grand">
      <x/>
    </i>
  </rowItems>
  <colFields count="1">
    <field x="-2"/>
  </colFields>
  <colItems count="2">
    <i>
      <x/>
    </i>
    <i i="1">
      <x v="1"/>
    </i>
  </colItems>
  <dataFields count="2">
    <dataField name="Sum of Ad_Spend" fld="8" baseField="0" baseItem="0" numFmtId="164"/>
    <dataField name="Sum of Net Follower Gain"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E7EAAE4C-EA5B-4828-A796-4BC7E3E953A2}" autoFormatId="16" applyNumberFormats="0" applyBorderFormats="0" applyFontFormats="0" applyPatternFormats="0" applyAlignmentFormats="0" applyWidthHeightFormats="0">
  <queryTableRefresh nextId="10">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9" dataBound="0" tableColumnId="9"/>
      <queryTableField id="6" name="Follower Growth Rate" tableColumnId="6"/>
      <queryTableField id="7" name="Engagement_Rate" tableColumnId="7"/>
      <queryTableField id="8" name="Ad_Spend"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9F0E640-091C-4E9E-B944-854D336BC683}" autoFormatId="16" applyNumberFormats="0" applyBorderFormats="0" applyFontFormats="0" applyPatternFormats="0" applyAlignmentFormats="0" applyWidthHeightFormats="0">
  <queryTableRefresh nextId="10">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9" dataBound="0" tableColumnId="9"/>
      <queryTableField id="6" name="Follower Growth Rate" tableColumnId="6"/>
      <queryTableField id="7" name="Engagement_Rate" tableColumnId="7"/>
      <queryTableField id="8" name="Ad_Spen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FCB5FC06-B5C7-4793-8EDF-9632E4FF7AF2}" autoFormatId="16" applyNumberFormats="0" applyBorderFormats="0" applyFontFormats="0" applyPatternFormats="0" applyAlignmentFormats="0" applyWidthHeightFormats="0">
  <queryTableRefresh nextId="10">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9" dataBound="0" tableColumnId="9"/>
      <queryTableField id="6" name="Follower Growth Rate" tableColumnId="6"/>
      <queryTableField id="7" name="Engagement_Rate" tableColumnId="7"/>
      <queryTableField id="8" name="Ad_Spen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88D68EA-DB9C-4943-8EC3-32D6314FFD4C}" sourceName="Platform">
  <pivotTables>
    <pivotTable tabId="9" name="PivotTable1"/>
  </pivotTables>
  <data>
    <tabular pivotCacheId="1998332054">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D6C7A123-EEE8-40AF-B4FA-4C0D5A121CFA}" sourceName="Platform">
  <pivotTables>
    <pivotTable tabId="8" name="PivotTable1"/>
  </pivotTables>
  <data>
    <tabular pivotCacheId="1998332054">
      <items count="4">
        <i x="0"/>
        <i x="3"/>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4359521F-B580-4543-BC24-1CE43A3A9106}" cache="Slicer_Platform1" caption="Platfor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E4FD8445-D148-4898-92C2-A68779187432}" cache="Slicer_Platform" caption="Platform" rowHeight="247650"/>
</slicer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277EEA-2C27-4C06-B2DC-DF4D7C072B05}" name="Table4__2_1_1_1" displayName="Table4__2_1_1_1" ref="A1:M301" totalsRowShown="0" headerRowDxfId="80">
  <autoFilter ref="A1:M301" xr:uid="{54277EEA-2C27-4C06-B2DC-DF4D7C072B05}"/>
  <sortState xmlns:xlrd2="http://schemas.microsoft.com/office/spreadsheetml/2017/richdata2" ref="A2:M301">
    <sortCondition ref="C1:C301"/>
  </sortState>
  <tableColumns count="13">
    <tableColumn id="1" xr3:uid="{8BBA750B-6827-4EAE-9CEB-29990E6E1127}" name="PostID" dataDxfId="79"/>
    <tableColumn id="2" xr3:uid="{1D8BACBB-4B12-46D1-A445-843ECCAFC8BD}" name="Platform" dataDxfId="78"/>
    <tableColumn id="3" xr3:uid="{4B197B1F-689C-4720-B5B3-32182318A4CE}" name="Date" dataDxfId="77"/>
    <tableColumn id="4" xr3:uid="{06BC4AFB-8403-4F0D-87D3-CD6200465EE7}" name="ContentType" dataDxfId="76"/>
    <tableColumn id="5" xr3:uid="{1BA49BF7-5CD9-4EAA-BF9F-FCA63013E9D9}" name="Hashtags" dataDxfId="75"/>
    <tableColumn id="6" xr3:uid="{0F6140FD-3D5D-45A6-B8EE-A21BCCA68D55}" name="Likes" dataDxfId="74"/>
    <tableColumn id="7" xr3:uid="{F07B8420-E46B-44D3-A8A8-FF70C50E962F}" name="Shares" dataDxfId="73"/>
    <tableColumn id="8" xr3:uid="{B7F90C5B-648B-477C-B720-1EFAA2B37A25}" name="Comments" dataDxfId="72"/>
    <tableColumn id="9" xr3:uid="{F43B77EF-8BB1-45CA-BE27-E159F9E9D2B8}" name="Clicks" dataDxfId="71"/>
    <tableColumn id="10" xr3:uid="{BF7AA36A-D2E5-4BC2-993F-32521EE9A7DF}" name="Reach" dataDxfId="70"/>
    <tableColumn id="11" xr3:uid="{B89B5904-3F8F-4C53-8C93-618BB9B580CA}" name="Impressions" dataDxfId="69"/>
    <tableColumn id="12" xr3:uid="{C28DB240-FDC6-402F-B447-C9A4786F611B}" name="Engagement Rate" dataDxfId="68" dataCellStyle="Percent"/>
    <tableColumn id="13" xr3:uid="{B6B3AC21-AD00-4FC6-A930-20E37F57B0FF}" name="Campaign" dataDxfId="67"/>
  </tableColumns>
  <tableStyleInfo name="TableStyleLight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4C5CF9-FC8F-49AC-894B-4488DF986087}" name="Table4_1" displayName="Table4_1" ref="A1:H201" totalsRowShown="0">
  <tableColumns count="8">
    <tableColumn id="1" xr3:uid="{E18B3D0F-89FA-4406-81F6-3EFC70F41187}" name="Week_Start_Date" dataDxfId="66"/>
    <tableColumn id="2" xr3:uid="{4CE65E65-910B-4A61-91E0-14B1957C1961}" name="Platform" dataDxfId="65"/>
    <tableColumn id="3" xr3:uid="{3F5198D0-8C6E-4E68-B0C7-145BA61E2458}" name="New_Followers" dataDxfId="64"/>
    <tableColumn id="4" xr3:uid="{C1642285-BBB8-430B-A90E-CE900059C958}" name="Unfollows" dataDxfId="63"/>
    <tableColumn id="5" xr3:uid="{A6B45DFB-0DEE-4B09-970E-7081EEC6792E}" name="Total_Followers" dataDxfId="62"/>
    <tableColumn id="6" xr3:uid="{918334C1-A1FB-406C-AE73-BDC78771ACBD}" name="Follower Growth Rate" dataDxfId="61" dataCellStyle="Percent"/>
    <tableColumn id="7" xr3:uid="{9B093DD2-7209-4D3D-A7D6-2C9149A3DB39}" name="Engagement_Rate"/>
    <tableColumn id="8" xr3:uid="{53D52583-2EFB-429E-91E9-2F867B1EBDB8}" name="Ad_Spend" dataDxfId="60"/>
  </tableColumns>
  <tableStyleInfo name="TableStyleLight1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FB4EB4C-5289-46CF-BF3B-7619C75A89F1}" name="Table7" displayName="Table7" ref="K1:M201" totalsRowShown="0" headerRowDxfId="49" tableBorderDxfId="48">
  <autoFilter ref="K1:M201" xr:uid="{6D62F512-59F1-4239-BEFD-D888F7D6B6CC}">
    <filterColumn colId="1">
      <filters>
        <filter val="Instagram"/>
      </filters>
    </filterColumn>
  </autoFilter>
  <tableColumns count="3">
    <tableColumn id="1" xr3:uid="{E1C8A578-F3FE-4278-ACD3-2FEFD692EA06}" name="Week_Start_Date" dataDxfId="47"/>
    <tableColumn id="2" xr3:uid="{B58D58E0-B1BD-4106-9216-FFFAA45B5220}" name="Platform" dataDxfId="46"/>
    <tableColumn id="3" xr3:uid="{6F3FF5FF-457A-489F-A9A0-F8EA7156D83A}" name="Net Followers Gain" dataDxfId="4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A56915-646E-4A5B-B5BC-248AE2D64907}" name="Table8" displayName="Table8" ref="Z1:AB201" totalsRowShown="0" headerRowDxfId="44" tableBorderDxfId="43">
  <autoFilter ref="Z1:AB201" xr:uid="{79A56915-646E-4A5B-B5BC-248AE2D64907}"/>
  <tableColumns count="3">
    <tableColumn id="1" xr3:uid="{4532A2D4-F1F6-4EA4-BFC4-657839021C01}" name="Week_Start_Date" dataDxfId="42"/>
    <tableColumn id="2" xr3:uid="{0C75F16F-D396-430B-838C-B57E7242FF82}" name="Column1" dataDxfId="41"/>
    <tableColumn id="3" xr3:uid="{1EEE76B3-5642-4119-B810-5B654EA1963D}" name="Total_Followers" dataDxfId="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818EAF8-030A-49D7-8026-D50A7CC8BA2A}" name="Table10" displayName="Table10" ref="K1:M201" totalsRowShown="0" headerRowDxfId="39" tableBorderDxfId="38">
  <autoFilter ref="K1:M201" xr:uid="{1E911CE4-11CE-483B-A560-089A702FC639}">
    <filterColumn colId="1">
      <filters>
        <filter val="Twitter"/>
      </filters>
    </filterColumn>
  </autoFilter>
  <tableColumns count="3">
    <tableColumn id="1" xr3:uid="{E6ADE4B4-C80F-4AA3-8670-2D789BC9AA7A}" name="Week_Start_Date" dataDxfId="37"/>
    <tableColumn id="2" xr3:uid="{03CDD169-592F-4E76-81C1-196E0021EEFE}" name="Column1" dataDxfId="36"/>
    <tableColumn id="3" xr3:uid="{A7819CA7-CE0C-45FB-9977-4AB0AD0DD7D8}" name="Net Followers Gain" dataDxfId="3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1D0028B-BB57-4812-8988-B760EDFABE39}" name="Table11" displayName="Table11" ref="X1:Z201" totalsRowShown="0" headerRowDxfId="34" tableBorderDxfId="33">
  <autoFilter ref="X1:Z201" xr:uid="{A1D0028B-BB57-4812-8988-B760EDFABE39}"/>
  <tableColumns count="3">
    <tableColumn id="1" xr3:uid="{4E6BD554-93B8-4F01-9EEE-B3BEFC3E6FFB}" name="Week_Start_Date" dataDxfId="32"/>
    <tableColumn id="2" xr3:uid="{6DEE0D12-CD64-4177-98CD-7F0F32D4B1E2}" name="Column1" dataDxfId="31"/>
    <tableColumn id="3" xr3:uid="{A0419B45-DF06-4DA6-92CB-B70F088B5FFC}" name="Total_Followers" dataDxfId="3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4AEC07-9F13-41F5-ACFA-D9CF88BEDC21}" name="Table13" displayName="Table13" ref="K1:M201" totalsRowShown="0" headerRowDxfId="29" tableBorderDxfId="28">
  <autoFilter ref="K1:M201" xr:uid="{081B21B2-AC6D-4B1B-B819-511A780DC9A2}">
    <filterColumn colId="1">
      <filters>
        <filter val="YouTube"/>
      </filters>
    </filterColumn>
  </autoFilter>
  <tableColumns count="3">
    <tableColumn id="1" xr3:uid="{24D9C010-805D-4877-8489-1C9D8E02D53B}" name="Week_Start_Date" dataDxfId="27"/>
    <tableColumn id="2" xr3:uid="{677D6D8C-50B0-4102-90F2-A7EE58321430}" name="Column1" dataDxfId="26"/>
    <tableColumn id="3" xr3:uid="{BBCDD7C0-3CB3-4668-BEB5-ED37BFE00956}" name="Net Followers Gain" dataDxfId="2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7DE5898-012E-4AE6-8ECF-149AB9BF2881}" name="Table14" displayName="Table14" ref="X1:Z201" totalsRowShown="0" headerRowDxfId="24" tableBorderDxfId="23">
  <autoFilter ref="X1:Z201" xr:uid="{B7DE5898-012E-4AE6-8ECF-149AB9BF2881}"/>
  <tableColumns count="3">
    <tableColumn id="1" xr3:uid="{F9868E0C-B1F0-486E-B49C-011A77A72781}" name="Week_Start_Date" dataDxfId="22"/>
    <tableColumn id="2" xr3:uid="{C92D8E63-1328-4D77-8A22-C850D96FA85A}" name="Column1" dataDxfId="21"/>
    <tableColumn id="3" xr3:uid="{E6942435-A88F-4452-88E2-4EBBEF61845C}" name="Total_Followers" dataDxfId="2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B09007-35DE-42B4-A3F4-E484ECBD65F9}" name="Table4_1416" displayName="Table4_1416" ref="A1:I201" tableType="queryTable" totalsRowShown="0">
  <autoFilter ref="A1:I201" xr:uid="{4FB09007-35DE-42B4-A3F4-E484ECBD65F9}"/>
  <tableColumns count="9">
    <tableColumn id="1" xr3:uid="{33B59F47-246F-477F-9152-61034FF61A4A}" uniqueName="1" name="Week_Start_Date" queryTableFieldId="1" dataDxfId="19"/>
    <tableColumn id="2" xr3:uid="{A8D808CA-F6F6-406E-9837-F9AF3F9562F8}" uniqueName="2" name="Platform" queryTableFieldId="2" dataDxfId="18"/>
    <tableColumn id="3" xr3:uid="{0BFE548E-1393-48D4-ADEC-A63E7D414B30}" uniqueName="3" name="New_Followers" queryTableFieldId="3" dataDxfId="17"/>
    <tableColumn id="4" xr3:uid="{5704DD6B-C16B-4504-BBF2-E4CAAFB250EE}" uniqueName="4" name="Unfollows" queryTableFieldId="4" dataDxfId="16"/>
    <tableColumn id="5" xr3:uid="{BFBA9549-0D89-46FC-A8B7-E6BEBE5F55D3}" uniqueName="5" name="Total_Followers" queryTableFieldId="5" dataDxfId="15"/>
    <tableColumn id="9" xr3:uid="{8F1AB4C7-1282-4445-B302-D98840F9E5AB}" uniqueName="9" name="Net Followers Gain" queryTableFieldId="9" dataDxfId="14">
      <calculatedColumnFormula>Table4_1416[[#This Row],[New_Followers]]-Table4_1416[[#This Row],[Unfollows]]</calculatedColumnFormula>
    </tableColumn>
    <tableColumn id="6" xr3:uid="{DFF146A6-6631-4CFD-970D-699C814E3DA7}" uniqueName="6" name="Follower Growth Rate" queryTableFieldId="6" dataDxfId="13" dataCellStyle="Percent"/>
    <tableColumn id="7" xr3:uid="{1E6FC89F-C967-4325-A2B1-D6353C47B96C}" uniqueName="7" name="Engagement_Rate" queryTableFieldId="7"/>
    <tableColumn id="8" xr3:uid="{D75694B0-168E-47ED-87AA-D8A0EC1FAE59}" uniqueName="8" name="Ad_Spend" queryTableFieldId="8" dataDxfId="12"/>
  </tableColumns>
  <tableStyleInfo name="TableStyleLight1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1F05B6F-338C-475F-8007-6789416B4FC0}" name="Table16" displayName="Table16" ref="K1:M201" totalsRowShown="0">
  <autoFilter ref="K1:M201" xr:uid="{D70CF036-84BD-4BEC-83E6-6C3D31CCBF93}">
    <filterColumn colId="1">
      <filters>
        <filter val="LinkedIn"/>
      </filters>
    </filterColumn>
  </autoFilter>
  <tableColumns count="3">
    <tableColumn id="1" xr3:uid="{3188E666-2BD6-4107-8DA1-B02B4F104F35}" name="Week_Start_Date" dataDxfId="11"/>
    <tableColumn id="2" xr3:uid="{51114438-0376-409E-AAE9-DBBCCB4B2366}" name="Column1"/>
    <tableColumn id="3" xr3:uid="{03EEA234-8D7E-4ED6-927B-395FFB213819}" name="Net Followers Gain"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EC78C78-4D78-4C58-99B2-8BCA535815FE}" name="Table17" displayName="Table17" ref="W1:Y201" totalsRowShown="0">
  <autoFilter ref="W1:Y201" xr:uid="{4EC78C78-4D78-4C58-99B2-8BCA535815FE}"/>
  <tableColumns count="3">
    <tableColumn id="1" xr3:uid="{C54232AE-E810-4869-8355-1F000875E6A1}" name="Week_Start_Date" dataDxfId="9"/>
    <tableColumn id="2" xr3:uid="{20EF537F-1A3B-4D82-82AD-77C4B7E63B19}" name="Column1"/>
    <tableColumn id="3" xr3:uid="{4A6D6B25-F843-4CC9-A7FD-FBE66162E6A5}" name="Total_Followers" dataDxfId="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5D5843-4528-403D-B268-0B86E1B8FC65}" name="Table4_14" displayName="Table4_14" ref="A1:I201" tableType="queryTable" totalsRowShown="0">
  <autoFilter ref="A1:I201" xr:uid="{665D5843-4528-403D-B268-0B86E1B8FC65}"/>
  <tableColumns count="9">
    <tableColumn id="1" xr3:uid="{06319A16-1BA7-40D2-B7D1-1C3DAE785643}" uniqueName="1" name="Week_Start_Date" queryTableFieldId="1" dataDxfId="57"/>
    <tableColumn id="2" xr3:uid="{DF0E0618-CB02-445E-9614-1A02DA0AB22C}" uniqueName="2" name="Platform" queryTableFieldId="2" dataDxfId="56"/>
    <tableColumn id="3" xr3:uid="{0DC241F2-5B80-451E-8F28-F0D04E966A79}" uniqueName="3" name="New_Followers" queryTableFieldId="3" dataDxfId="55"/>
    <tableColumn id="4" xr3:uid="{2B64B0DA-1248-4698-AFF4-B7F8A6CA4729}" uniqueName="4" name="Unfollows" queryTableFieldId="4" dataDxfId="54"/>
    <tableColumn id="5" xr3:uid="{6F57326F-D8D5-496A-9358-C5BCBE9A68D9}" uniqueName="5" name="Total_Followers" queryTableFieldId="5" dataDxfId="53"/>
    <tableColumn id="9" xr3:uid="{A41BEE82-BD80-42BC-93BE-5BC9D169EC3E}" uniqueName="9" name="Net Followers Gain" queryTableFieldId="9" dataDxfId="52">
      <calculatedColumnFormula>Table4_14[[#This Row],[New_Followers]]-Table4_14[[#This Row],[Unfollows]]</calculatedColumnFormula>
    </tableColumn>
    <tableColumn id="6" xr3:uid="{72D4830C-BCC1-40DE-859F-AA986B495915}" uniqueName="6" name="Follower Growth Rate" queryTableFieldId="6" dataDxfId="51" dataCellStyle="Percent"/>
    <tableColumn id="7" xr3:uid="{E82871E2-DE4A-4D2A-B582-FCB8EB871665}" uniqueName="7" name="Engagement_Rate" queryTableFieldId="7"/>
    <tableColumn id="8" xr3:uid="{E630A143-05F6-4DA5-A242-27C00CC99C86}" uniqueName="8" name="Ad_Spend" queryTableFieldId="8" dataDxfId="50"/>
  </tableColumns>
  <tableStyleInfo name="TableStyleLight1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2417FA-0E88-4A41-B75D-3E6CC69A87A0}" name="Table4_145" displayName="Table4_145" ref="A1:I201" tableType="queryTable" totalsRowShown="0">
  <autoFilter ref="A1:I201" xr:uid="{162417FA-0E88-4A41-B75D-3E6CC69A87A0}"/>
  <tableColumns count="9">
    <tableColumn id="1" xr3:uid="{28A2F52A-278B-4EE5-86CA-FE27F8E84D01}" uniqueName="1" name="Week_Start_Date" queryTableFieldId="1" dataDxfId="7"/>
    <tableColumn id="2" xr3:uid="{18B47172-BE5F-4130-91A1-42E117D0C61F}" uniqueName="2" name="Platform" queryTableFieldId="2" dataDxfId="6"/>
    <tableColumn id="3" xr3:uid="{854EE654-A8DA-405F-B612-81BB2D2C2782}" uniqueName="3" name="New_Followers" queryTableFieldId="3" dataDxfId="5"/>
    <tableColumn id="4" xr3:uid="{2BDC62C7-1741-420B-BC73-A78B84ED5B34}" uniqueName="4" name="Unfollows" queryTableFieldId="4" dataDxfId="4"/>
    <tableColumn id="5" xr3:uid="{65153E47-2FF2-49DE-9857-C719C7A467DC}" uniqueName="5" name="Total_Followers" queryTableFieldId="5" dataDxfId="3"/>
    <tableColumn id="9" xr3:uid="{AB09F883-29A9-400A-8C7B-F73E37E01AEF}" uniqueName="9" name="Net Followers Gain" queryTableFieldId="9" dataDxfId="2">
      <calculatedColumnFormula>Table4_145[[#This Row],[New_Followers]]-Table4_145[[#This Row],[Unfollows]]</calculatedColumnFormula>
    </tableColumn>
    <tableColumn id="6" xr3:uid="{00D2B7BC-152F-48F6-BACE-7E923F799DEE}" uniqueName="6" name="Follower Growth Rate" queryTableFieldId="6" dataDxfId="1" dataCellStyle="Percent"/>
    <tableColumn id="7" xr3:uid="{4E771DEC-B133-40CA-8828-A7F90A9C73F5}" uniqueName="7" name="Engagement_Rate" queryTableFieldId="7"/>
    <tableColumn id="8" xr3:uid="{019436DB-2B85-44C2-A8EE-5FEA8182F0CA}" uniqueName="8" name="Ad_Spend" queryTableFieldId="8" dataDxfId="0"/>
  </tableColumns>
  <tableStyleInfo name="TableStyleLight1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6.xml"/><Relationship Id="rId1" Type="http://schemas.openxmlformats.org/officeDocument/2006/relationships/pivotTable" Target="../pivotTables/pivotTable3.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7.xml"/><Relationship Id="rId1" Type="http://schemas.openxmlformats.org/officeDocument/2006/relationships/pivotTable" Target="../pivotTables/pivotTable4.xml"/><Relationship Id="rId4" Type="http://schemas.microsoft.com/office/2007/relationships/slicer" Target="../slicers/slicer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fQcQ1XVmwU-dgmDv20b74-g4jRTlQwD5/view?usp=sharing"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82F2-FA55-4673-BE9D-6A82CB82FC50}">
  <dimension ref="A1:M301"/>
  <sheetViews>
    <sheetView workbookViewId="0">
      <selection activeCell="O11" sqref="O11"/>
    </sheetView>
  </sheetViews>
  <sheetFormatPr defaultRowHeight="14.4" x14ac:dyDescent="0.3"/>
  <cols>
    <col min="1" max="1" width="6.44140625" bestFit="1" customWidth="1"/>
    <col min="2" max="2" width="9" bestFit="1" customWidth="1"/>
    <col min="3" max="3" width="10.33203125" bestFit="1" customWidth="1"/>
    <col min="4" max="4" width="11.44140625" bestFit="1" customWidth="1"/>
    <col min="5" max="5" width="31.109375" bestFit="1" customWidth="1"/>
    <col min="6" max="6" width="6.5546875" bestFit="1" customWidth="1"/>
    <col min="7" max="7" width="6.6640625" bestFit="1" customWidth="1"/>
    <col min="8" max="8" width="10.109375" bestFit="1" customWidth="1"/>
    <col min="9" max="9" width="6.21875" bestFit="1" customWidth="1"/>
    <col min="10" max="10" width="6.5546875" bestFit="1" customWidth="1"/>
    <col min="11" max="11" width="11.21875" bestFit="1" customWidth="1"/>
    <col min="12" max="12" width="15.33203125" bestFit="1" customWidth="1"/>
    <col min="13" max="13" width="25.6640625" bestFit="1" customWidth="1"/>
    <col min="18" max="18" width="5.109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271</v>
      </c>
      <c r="B2" t="s">
        <v>19</v>
      </c>
      <c r="C2" s="2">
        <v>45444</v>
      </c>
      <c r="D2" t="s">
        <v>15</v>
      </c>
      <c r="E2" t="s">
        <v>36</v>
      </c>
      <c r="F2" s="3">
        <v>19844</v>
      </c>
      <c r="G2" s="3">
        <v>1022</v>
      </c>
      <c r="H2" s="3">
        <v>860</v>
      </c>
      <c r="I2" s="3">
        <v>2570</v>
      </c>
      <c r="J2" s="3">
        <v>23719</v>
      </c>
      <c r="K2" s="3">
        <v>182628</v>
      </c>
      <c r="L2" s="4">
        <v>0.118963138182535</v>
      </c>
      <c r="M2" t="s">
        <v>26</v>
      </c>
    </row>
    <row r="3" spans="1:13" x14ac:dyDescent="0.3">
      <c r="A3" t="s">
        <v>257</v>
      </c>
      <c r="B3" t="s">
        <v>14</v>
      </c>
      <c r="C3" s="2">
        <v>45445</v>
      </c>
      <c r="D3" t="s">
        <v>28</v>
      </c>
      <c r="E3" t="s">
        <v>20</v>
      </c>
      <c r="F3" s="3">
        <v>14199</v>
      </c>
      <c r="G3" s="3">
        <v>1206</v>
      </c>
      <c r="H3" s="3">
        <v>954</v>
      </c>
      <c r="I3" s="3">
        <v>2009</v>
      </c>
      <c r="J3" s="3">
        <v>8</v>
      </c>
      <c r="K3" s="3">
        <v>65537</v>
      </c>
      <c r="L3" s="4">
        <v>0.249614721455056</v>
      </c>
      <c r="M3" t="s">
        <v>26</v>
      </c>
    </row>
    <row r="4" spans="1:13" x14ac:dyDescent="0.3">
      <c r="A4" t="s">
        <v>127</v>
      </c>
      <c r="B4" t="s">
        <v>41</v>
      </c>
      <c r="C4" s="2">
        <v>45446</v>
      </c>
      <c r="D4" t="s">
        <v>15</v>
      </c>
      <c r="E4" t="s">
        <v>51</v>
      </c>
      <c r="F4" s="3">
        <v>8941</v>
      </c>
      <c r="G4" s="3">
        <v>911</v>
      </c>
      <c r="H4" s="3">
        <v>166</v>
      </c>
      <c r="I4" s="3">
        <v>1217</v>
      </c>
      <c r="J4" s="3">
        <v>68817</v>
      </c>
      <c r="K4" s="3">
        <v>221180</v>
      </c>
      <c r="L4" s="4">
        <v>4.5293426168731402E-2</v>
      </c>
      <c r="M4" t="s">
        <v>46</v>
      </c>
    </row>
    <row r="5" spans="1:13" x14ac:dyDescent="0.3">
      <c r="A5" t="s">
        <v>183</v>
      </c>
      <c r="B5" t="s">
        <v>14</v>
      </c>
      <c r="C5" s="2">
        <v>45448</v>
      </c>
      <c r="D5" t="s">
        <v>24</v>
      </c>
      <c r="E5" t="s">
        <v>56</v>
      </c>
      <c r="F5" s="3">
        <v>18907</v>
      </c>
      <c r="G5" s="3">
        <v>1075</v>
      </c>
      <c r="H5" s="3">
        <v>675</v>
      </c>
      <c r="I5" s="3">
        <v>1383</v>
      </c>
      <c r="J5" s="3">
        <v>17875</v>
      </c>
      <c r="K5" s="3">
        <v>186649</v>
      </c>
      <c r="L5" s="4">
        <v>0.110672974406506</v>
      </c>
      <c r="M5" t="s">
        <v>17</v>
      </c>
    </row>
    <row r="6" spans="1:13" x14ac:dyDescent="0.3">
      <c r="A6" t="s">
        <v>124</v>
      </c>
      <c r="B6" t="s">
        <v>41</v>
      </c>
      <c r="C6" s="2">
        <v>45449</v>
      </c>
      <c r="D6" t="s">
        <v>24</v>
      </c>
      <c r="E6" t="s">
        <v>42</v>
      </c>
      <c r="F6" s="3">
        <v>11521</v>
      </c>
      <c r="G6" s="3">
        <v>1071</v>
      </c>
      <c r="H6" s="3">
        <v>762</v>
      </c>
      <c r="I6" s="3">
        <v>2539</v>
      </c>
      <c r="J6" s="3">
        <v>12701</v>
      </c>
      <c r="K6" s="3">
        <v>238350</v>
      </c>
      <c r="L6" s="4">
        <v>5.6026851269142003E-2</v>
      </c>
      <c r="M6" t="s">
        <v>26</v>
      </c>
    </row>
    <row r="7" spans="1:13" x14ac:dyDescent="0.3">
      <c r="A7" t="s">
        <v>225</v>
      </c>
      <c r="B7" t="s">
        <v>14</v>
      </c>
      <c r="C7" s="2">
        <v>45449</v>
      </c>
      <c r="D7" t="s">
        <v>35</v>
      </c>
      <c r="E7" t="s">
        <v>116</v>
      </c>
      <c r="F7" s="3">
        <v>3531</v>
      </c>
      <c r="G7" s="3">
        <v>789</v>
      </c>
      <c r="H7" s="3">
        <v>467</v>
      </c>
      <c r="I7" s="3">
        <v>1867</v>
      </c>
      <c r="J7" s="3">
        <v>40816</v>
      </c>
      <c r="K7" s="3">
        <v>236037</v>
      </c>
      <c r="L7" s="4">
        <v>2.0280718700881599E-2</v>
      </c>
      <c r="M7" t="s">
        <v>26</v>
      </c>
    </row>
    <row r="8" spans="1:13" x14ac:dyDescent="0.3">
      <c r="A8" t="s">
        <v>313</v>
      </c>
      <c r="B8" t="s">
        <v>19</v>
      </c>
      <c r="C8" s="2">
        <v>45450</v>
      </c>
      <c r="D8" t="s">
        <v>28</v>
      </c>
      <c r="E8" t="s">
        <v>29</v>
      </c>
      <c r="F8" s="3">
        <v>8233</v>
      </c>
      <c r="G8" s="3">
        <v>436</v>
      </c>
      <c r="H8" s="3">
        <v>269</v>
      </c>
      <c r="I8" s="3">
        <v>2037</v>
      </c>
      <c r="J8" s="3">
        <v>8875</v>
      </c>
      <c r="K8" s="3">
        <v>52289</v>
      </c>
      <c r="L8" s="4">
        <v>0.17093461339861199</v>
      </c>
      <c r="M8" t="s">
        <v>17</v>
      </c>
    </row>
    <row r="9" spans="1:13" x14ac:dyDescent="0.3">
      <c r="A9" t="s">
        <v>135</v>
      </c>
      <c r="B9" t="s">
        <v>19</v>
      </c>
      <c r="C9" s="2">
        <v>45453</v>
      </c>
      <c r="D9" t="s">
        <v>28</v>
      </c>
      <c r="E9" t="s">
        <v>36</v>
      </c>
      <c r="F9" s="3">
        <v>21561</v>
      </c>
      <c r="G9" s="3">
        <v>340</v>
      </c>
      <c r="H9" s="3">
        <v>741</v>
      </c>
      <c r="I9" s="3">
        <v>986</v>
      </c>
      <c r="J9" s="3">
        <v>24826</v>
      </c>
      <c r="K9" s="3">
        <v>198492</v>
      </c>
      <c r="L9" s="4">
        <v>0.114070088467041</v>
      </c>
      <c r="M9" t="s">
        <v>17</v>
      </c>
    </row>
    <row r="10" spans="1:13" x14ac:dyDescent="0.3">
      <c r="A10" t="s">
        <v>255</v>
      </c>
      <c r="B10" t="s">
        <v>23</v>
      </c>
      <c r="C10" s="2">
        <v>45454</v>
      </c>
      <c r="D10" t="s">
        <v>28</v>
      </c>
      <c r="E10" t="s">
        <v>65</v>
      </c>
      <c r="F10" s="3">
        <v>14910</v>
      </c>
      <c r="G10" s="3">
        <v>778</v>
      </c>
      <c r="H10" s="3">
        <v>289</v>
      </c>
      <c r="I10" s="3">
        <v>2541</v>
      </c>
      <c r="J10" s="3">
        <v>14309</v>
      </c>
      <c r="K10" s="3">
        <v>247815</v>
      </c>
      <c r="L10" s="4">
        <v>6.4471480741682297E-2</v>
      </c>
      <c r="M10" t="s">
        <v>26</v>
      </c>
    </row>
    <row r="11" spans="1:13" x14ac:dyDescent="0.3">
      <c r="A11" t="s">
        <v>264</v>
      </c>
      <c r="B11" t="s">
        <v>23</v>
      </c>
      <c r="C11" s="2">
        <v>45455</v>
      </c>
      <c r="D11" t="s">
        <v>24</v>
      </c>
      <c r="E11" t="s">
        <v>20</v>
      </c>
      <c r="F11" s="3">
        <v>17679</v>
      </c>
      <c r="G11" s="3">
        <v>690</v>
      </c>
      <c r="H11" s="3">
        <v>451</v>
      </c>
      <c r="I11" s="3">
        <v>2195</v>
      </c>
      <c r="J11" s="3">
        <v>4390</v>
      </c>
      <c r="K11" s="3">
        <v>235804</v>
      </c>
      <c r="L11" s="4">
        <v>7.9812047293515001E-2</v>
      </c>
      <c r="M11" t="s">
        <v>46</v>
      </c>
    </row>
    <row r="12" spans="1:13" x14ac:dyDescent="0.3">
      <c r="A12" t="s">
        <v>87</v>
      </c>
      <c r="B12" t="s">
        <v>14</v>
      </c>
      <c r="C12" s="2">
        <v>45456</v>
      </c>
      <c r="D12" t="s">
        <v>35</v>
      </c>
      <c r="E12" t="s">
        <v>38</v>
      </c>
      <c r="F12" s="3">
        <v>23164</v>
      </c>
      <c r="G12" s="3">
        <v>1122</v>
      </c>
      <c r="H12" s="3">
        <v>900</v>
      </c>
      <c r="I12" s="3">
        <v>888</v>
      </c>
      <c r="J12" s="3">
        <v>36938</v>
      </c>
      <c r="K12" s="3">
        <v>104674</v>
      </c>
      <c r="L12" s="4">
        <v>0.240613714962646</v>
      </c>
      <c r="M12" t="s">
        <v>17</v>
      </c>
    </row>
    <row r="13" spans="1:13" x14ac:dyDescent="0.3">
      <c r="A13" t="s">
        <v>117</v>
      </c>
      <c r="B13" t="s">
        <v>19</v>
      </c>
      <c r="C13" s="2">
        <v>45456</v>
      </c>
      <c r="D13" t="s">
        <v>15</v>
      </c>
      <c r="E13" t="s">
        <v>16</v>
      </c>
      <c r="F13" s="3">
        <v>14173</v>
      </c>
      <c r="G13" s="3">
        <v>294</v>
      </c>
      <c r="H13" s="3">
        <v>257</v>
      </c>
      <c r="I13" s="3">
        <v>1288</v>
      </c>
      <c r="J13" s="3">
        <v>39466</v>
      </c>
      <c r="K13" s="3">
        <v>55563</v>
      </c>
      <c r="L13" s="4">
        <v>0.26499649047027701</v>
      </c>
      <c r="M13" t="s">
        <v>46</v>
      </c>
    </row>
    <row r="14" spans="1:13" x14ac:dyDescent="0.3">
      <c r="A14" t="s">
        <v>142</v>
      </c>
      <c r="B14" t="s">
        <v>41</v>
      </c>
      <c r="C14" s="2">
        <v>45457</v>
      </c>
      <c r="D14" t="s">
        <v>35</v>
      </c>
      <c r="E14" t="s">
        <v>42</v>
      </c>
      <c r="F14" s="3">
        <v>21856</v>
      </c>
      <c r="G14" s="3">
        <v>1203</v>
      </c>
      <c r="H14" s="3">
        <v>634</v>
      </c>
      <c r="I14" s="3">
        <v>2807</v>
      </c>
      <c r="J14" s="3">
        <v>3647</v>
      </c>
      <c r="K14" s="3">
        <v>104178</v>
      </c>
      <c r="L14" s="4">
        <v>0.22742805582752601</v>
      </c>
      <c r="M14" t="s">
        <v>30</v>
      </c>
    </row>
    <row r="15" spans="1:13" x14ac:dyDescent="0.3">
      <c r="A15" t="s">
        <v>160</v>
      </c>
      <c r="B15" t="s">
        <v>41</v>
      </c>
      <c r="C15" s="2">
        <v>45457</v>
      </c>
      <c r="D15" t="s">
        <v>28</v>
      </c>
      <c r="E15" t="s">
        <v>51</v>
      </c>
      <c r="F15" s="3">
        <v>17183</v>
      </c>
      <c r="G15" s="3">
        <v>1224</v>
      </c>
      <c r="H15" s="3">
        <v>943</v>
      </c>
      <c r="I15" s="3">
        <v>2010</v>
      </c>
      <c r="J15" s="3">
        <v>21481</v>
      </c>
      <c r="K15" s="3">
        <v>49110</v>
      </c>
      <c r="L15" s="4">
        <v>0.39401343921808202</v>
      </c>
      <c r="M15" t="s">
        <v>26</v>
      </c>
    </row>
    <row r="16" spans="1:13" x14ac:dyDescent="0.3">
      <c r="A16" t="s">
        <v>186</v>
      </c>
      <c r="B16" t="s">
        <v>23</v>
      </c>
      <c r="C16" s="2">
        <v>45459</v>
      </c>
      <c r="D16" t="s">
        <v>24</v>
      </c>
      <c r="E16" t="s">
        <v>16</v>
      </c>
      <c r="F16" s="3">
        <v>12160</v>
      </c>
      <c r="G16" s="3">
        <v>1405</v>
      </c>
      <c r="H16" s="3">
        <v>769</v>
      </c>
      <c r="I16" s="3">
        <v>1980</v>
      </c>
      <c r="J16" s="3">
        <v>33174</v>
      </c>
      <c r="K16" s="3">
        <v>226481</v>
      </c>
      <c r="L16" s="4">
        <v>6.3290077313328696E-2</v>
      </c>
      <c r="M16" t="s">
        <v>17</v>
      </c>
    </row>
    <row r="17" spans="1:13" x14ac:dyDescent="0.3">
      <c r="A17" t="s">
        <v>91</v>
      </c>
      <c r="B17" t="s">
        <v>14</v>
      </c>
      <c r="C17" s="2">
        <v>45460</v>
      </c>
      <c r="D17" t="s">
        <v>35</v>
      </c>
      <c r="E17" t="s">
        <v>16</v>
      </c>
      <c r="F17" s="3">
        <v>6976</v>
      </c>
      <c r="G17" s="3">
        <v>1320</v>
      </c>
      <c r="H17" s="3">
        <v>393</v>
      </c>
      <c r="I17" s="3">
        <v>2285</v>
      </c>
      <c r="J17" s="3">
        <v>14049</v>
      </c>
      <c r="K17" s="3">
        <v>101367</v>
      </c>
      <c r="L17" s="4">
        <v>8.57182317716811E-2</v>
      </c>
      <c r="M17" t="s">
        <v>46</v>
      </c>
    </row>
    <row r="18" spans="1:13" x14ac:dyDescent="0.3">
      <c r="A18" t="s">
        <v>114</v>
      </c>
      <c r="B18" t="s">
        <v>19</v>
      </c>
      <c r="C18" s="2">
        <v>45460</v>
      </c>
      <c r="D18" t="s">
        <v>15</v>
      </c>
      <c r="E18" t="s">
        <v>36</v>
      </c>
      <c r="F18" s="3">
        <v>3252</v>
      </c>
      <c r="G18" s="3">
        <v>1043</v>
      </c>
      <c r="H18" s="3">
        <v>647</v>
      </c>
      <c r="I18" s="3">
        <v>1545</v>
      </c>
      <c r="J18" s="3">
        <v>18859</v>
      </c>
      <c r="K18" s="3">
        <v>222958</v>
      </c>
      <c r="L18" s="4">
        <v>2.2165609666394599E-2</v>
      </c>
      <c r="M18" t="s">
        <v>17</v>
      </c>
    </row>
    <row r="19" spans="1:13" x14ac:dyDescent="0.3">
      <c r="A19" t="s">
        <v>331</v>
      </c>
      <c r="B19" t="s">
        <v>41</v>
      </c>
      <c r="C19" s="2">
        <v>45462</v>
      </c>
      <c r="D19" t="s">
        <v>35</v>
      </c>
      <c r="E19" t="s">
        <v>56</v>
      </c>
      <c r="F19" s="3">
        <v>20444</v>
      </c>
      <c r="G19" s="3">
        <v>233</v>
      </c>
      <c r="H19" s="3">
        <v>189</v>
      </c>
      <c r="I19" s="3">
        <v>2879</v>
      </c>
      <c r="J19" s="3">
        <v>28185</v>
      </c>
      <c r="K19" s="3">
        <v>159891</v>
      </c>
      <c r="L19" s="4">
        <v>0.13050140408153099</v>
      </c>
      <c r="M19" t="s">
        <v>30</v>
      </c>
    </row>
    <row r="20" spans="1:13" x14ac:dyDescent="0.3">
      <c r="A20" t="s">
        <v>262</v>
      </c>
      <c r="B20" t="s">
        <v>41</v>
      </c>
      <c r="C20" s="2">
        <v>45463</v>
      </c>
      <c r="D20" t="s">
        <v>28</v>
      </c>
      <c r="E20" t="s">
        <v>38</v>
      </c>
      <c r="F20" s="3">
        <v>21123</v>
      </c>
      <c r="G20" s="3">
        <v>1343</v>
      </c>
      <c r="H20" s="3">
        <v>589</v>
      </c>
      <c r="I20" s="3">
        <v>727</v>
      </c>
      <c r="J20" s="3">
        <v>87833</v>
      </c>
      <c r="K20" s="3">
        <v>206703</v>
      </c>
      <c r="L20" s="4">
        <v>0.111536842716361</v>
      </c>
      <c r="M20" t="s">
        <v>17</v>
      </c>
    </row>
    <row r="21" spans="1:13" x14ac:dyDescent="0.3">
      <c r="A21" t="s">
        <v>144</v>
      </c>
      <c r="B21" t="s">
        <v>41</v>
      </c>
      <c r="C21" s="2">
        <v>45464</v>
      </c>
      <c r="D21" t="s">
        <v>28</v>
      </c>
      <c r="E21" t="s">
        <v>29</v>
      </c>
      <c r="F21" s="3">
        <v>21216</v>
      </c>
      <c r="G21" s="3">
        <v>1207</v>
      </c>
      <c r="H21" s="3">
        <v>859</v>
      </c>
      <c r="I21" s="3">
        <v>328</v>
      </c>
      <c r="J21" s="3">
        <v>91296</v>
      </c>
      <c r="K21" s="3">
        <v>196683</v>
      </c>
      <c r="L21" s="4">
        <v>0.118373219851233</v>
      </c>
      <c r="M21" t="s">
        <v>26</v>
      </c>
    </row>
    <row r="22" spans="1:13" x14ac:dyDescent="0.3">
      <c r="A22" t="s">
        <v>95</v>
      </c>
      <c r="B22" t="s">
        <v>14</v>
      </c>
      <c r="C22" s="2">
        <v>45465</v>
      </c>
      <c r="D22" t="s">
        <v>15</v>
      </c>
      <c r="E22" t="s">
        <v>38</v>
      </c>
      <c r="F22" s="3">
        <v>16430</v>
      </c>
      <c r="G22" s="3">
        <v>488</v>
      </c>
      <c r="H22" s="3">
        <v>514</v>
      </c>
      <c r="I22" s="3">
        <v>1436</v>
      </c>
      <c r="J22" s="3">
        <v>30059</v>
      </c>
      <c r="K22" s="3">
        <v>223305</v>
      </c>
      <c r="L22" s="4">
        <v>7.8063634938760895E-2</v>
      </c>
      <c r="M22" t="s">
        <v>30</v>
      </c>
    </row>
    <row r="23" spans="1:13" x14ac:dyDescent="0.3">
      <c r="A23" t="s">
        <v>211</v>
      </c>
      <c r="B23" t="s">
        <v>19</v>
      </c>
      <c r="C23" s="2">
        <v>45465</v>
      </c>
      <c r="D23" t="s">
        <v>35</v>
      </c>
      <c r="E23" t="s">
        <v>16</v>
      </c>
      <c r="F23" s="3">
        <v>13479</v>
      </c>
      <c r="G23" s="3">
        <v>1189</v>
      </c>
      <c r="H23" s="3">
        <v>695</v>
      </c>
      <c r="I23" s="3">
        <v>416</v>
      </c>
      <c r="J23" s="3">
        <v>30229</v>
      </c>
      <c r="K23" s="3">
        <v>45704</v>
      </c>
      <c r="L23" s="4">
        <v>0.33614125678277601</v>
      </c>
      <c r="M23" t="s">
        <v>17</v>
      </c>
    </row>
    <row r="24" spans="1:13" x14ac:dyDescent="0.3">
      <c r="A24" t="s">
        <v>287</v>
      </c>
      <c r="B24" t="s">
        <v>14</v>
      </c>
      <c r="C24" s="2">
        <v>45465</v>
      </c>
      <c r="D24" t="s">
        <v>24</v>
      </c>
      <c r="E24" t="s">
        <v>38</v>
      </c>
      <c r="F24" s="3">
        <v>7342</v>
      </c>
      <c r="G24" s="3">
        <v>906</v>
      </c>
      <c r="H24" s="3">
        <v>902</v>
      </c>
      <c r="I24" s="3">
        <v>1199</v>
      </c>
      <c r="J24" s="3">
        <v>68488</v>
      </c>
      <c r="K24" s="3">
        <v>79310</v>
      </c>
      <c r="L24" s="4">
        <v>0.115370066826378</v>
      </c>
      <c r="M24" t="s">
        <v>17</v>
      </c>
    </row>
    <row r="25" spans="1:13" x14ac:dyDescent="0.3">
      <c r="A25" t="s">
        <v>53</v>
      </c>
      <c r="B25" t="s">
        <v>19</v>
      </c>
      <c r="C25" s="2">
        <v>45466</v>
      </c>
      <c r="D25" t="s">
        <v>24</v>
      </c>
      <c r="E25" t="s">
        <v>51</v>
      </c>
      <c r="F25" s="3">
        <v>16512</v>
      </c>
      <c r="G25" s="3">
        <v>1050</v>
      </c>
      <c r="H25" s="3">
        <v>971</v>
      </c>
      <c r="I25" s="3">
        <v>1891</v>
      </c>
      <c r="J25" s="3">
        <v>15865</v>
      </c>
      <c r="K25" s="3">
        <v>166503</v>
      </c>
      <c r="L25" s="4">
        <v>0.11130730377230399</v>
      </c>
      <c r="M25" t="s">
        <v>30</v>
      </c>
    </row>
    <row r="26" spans="1:13" x14ac:dyDescent="0.3">
      <c r="A26" t="s">
        <v>34</v>
      </c>
      <c r="B26" t="s">
        <v>23</v>
      </c>
      <c r="C26" s="2">
        <v>45467</v>
      </c>
      <c r="D26" t="s">
        <v>35</v>
      </c>
      <c r="E26" t="s">
        <v>36</v>
      </c>
      <c r="F26" s="3">
        <v>7713</v>
      </c>
      <c r="G26" s="3">
        <v>575</v>
      </c>
      <c r="H26" s="3">
        <v>417</v>
      </c>
      <c r="I26" s="3">
        <v>336</v>
      </c>
      <c r="J26" s="3">
        <v>61660</v>
      </c>
      <c r="K26" s="3">
        <v>66017</v>
      </c>
      <c r="L26" s="4">
        <v>0.131859975460866</v>
      </c>
      <c r="M26" t="s">
        <v>30</v>
      </c>
    </row>
    <row r="27" spans="1:13" x14ac:dyDescent="0.3">
      <c r="A27" t="s">
        <v>243</v>
      </c>
      <c r="B27" t="s">
        <v>23</v>
      </c>
      <c r="C27" s="2">
        <v>45467</v>
      </c>
      <c r="D27" t="s">
        <v>15</v>
      </c>
      <c r="E27" t="s">
        <v>51</v>
      </c>
      <c r="F27" s="3">
        <v>6632</v>
      </c>
      <c r="G27" s="3">
        <v>254</v>
      </c>
      <c r="H27" s="3">
        <v>525</v>
      </c>
      <c r="I27" s="3">
        <v>1013</v>
      </c>
      <c r="J27" s="3">
        <v>13838</v>
      </c>
      <c r="K27" s="3">
        <v>180180</v>
      </c>
      <c r="L27" s="4">
        <v>4.1131091131091098E-2</v>
      </c>
      <c r="M27" t="s">
        <v>17</v>
      </c>
    </row>
    <row r="28" spans="1:13" x14ac:dyDescent="0.3">
      <c r="A28" t="s">
        <v>245</v>
      </c>
      <c r="B28" t="s">
        <v>19</v>
      </c>
      <c r="C28" s="2">
        <v>45467</v>
      </c>
      <c r="D28" t="s">
        <v>24</v>
      </c>
      <c r="E28" t="s">
        <v>20</v>
      </c>
      <c r="F28" s="3">
        <v>5596</v>
      </c>
      <c r="G28" s="3">
        <v>1231</v>
      </c>
      <c r="H28" s="3">
        <v>473</v>
      </c>
      <c r="I28" s="3">
        <v>2251</v>
      </c>
      <c r="J28" s="3">
        <v>43705</v>
      </c>
      <c r="K28" s="3">
        <v>75643</v>
      </c>
      <c r="L28" s="4">
        <v>9.6505955607260399E-2</v>
      </c>
      <c r="M28" t="s">
        <v>17</v>
      </c>
    </row>
    <row r="29" spans="1:13" x14ac:dyDescent="0.3">
      <c r="A29" t="s">
        <v>265</v>
      </c>
      <c r="B29" t="s">
        <v>41</v>
      </c>
      <c r="C29" s="2">
        <v>45474</v>
      </c>
      <c r="D29" t="s">
        <v>28</v>
      </c>
      <c r="E29" t="s">
        <v>25</v>
      </c>
      <c r="F29" s="3">
        <v>3761</v>
      </c>
      <c r="G29" s="3">
        <v>651</v>
      </c>
      <c r="H29" s="3">
        <v>493</v>
      </c>
      <c r="I29" s="3">
        <v>2294</v>
      </c>
      <c r="J29" s="3">
        <v>71696</v>
      </c>
      <c r="K29" s="3">
        <v>41177</v>
      </c>
      <c r="L29" s="4">
        <v>0.11911989702989501</v>
      </c>
      <c r="M29" t="s">
        <v>17</v>
      </c>
    </row>
    <row r="30" spans="1:13" x14ac:dyDescent="0.3">
      <c r="A30" t="s">
        <v>136</v>
      </c>
      <c r="B30" t="s">
        <v>41</v>
      </c>
      <c r="C30" s="2">
        <v>45475</v>
      </c>
      <c r="D30" t="s">
        <v>35</v>
      </c>
      <c r="E30" t="s">
        <v>36</v>
      </c>
      <c r="F30" s="3">
        <v>12320</v>
      </c>
      <c r="G30" s="3">
        <v>1157</v>
      </c>
      <c r="H30" s="3">
        <v>365</v>
      </c>
      <c r="I30" s="3">
        <v>584</v>
      </c>
      <c r="J30" s="3">
        <v>66634</v>
      </c>
      <c r="K30" s="3">
        <v>210102</v>
      </c>
      <c r="L30" s="4">
        <v>6.5882285746922897E-2</v>
      </c>
      <c r="M30" t="s">
        <v>30</v>
      </c>
    </row>
    <row r="31" spans="1:13" x14ac:dyDescent="0.3">
      <c r="A31" t="s">
        <v>86</v>
      </c>
      <c r="B31" t="s">
        <v>41</v>
      </c>
      <c r="C31" s="2">
        <v>45476</v>
      </c>
      <c r="D31" t="s">
        <v>24</v>
      </c>
      <c r="E31" t="s">
        <v>36</v>
      </c>
      <c r="F31" s="3">
        <v>14338</v>
      </c>
      <c r="G31" s="3">
        <v>1454</v>
      </c>
      <c r="H31" s="3">
        <v>697</v>
      </c>
      <c r="I31" s="3">
        <v>2703</v>
      </c>
      <c r="J31" s="3">
        <v>21288</v>
      </c>
      <c r="K31" s="3">
        <v>107649</v>
      </c>
      <c r="L31" s="4">
        <v>0.15317374058281999</v>
      </c>
      <c r="M31" t="s">
        <v>30</v>
      </c>
    </row>
    <row r="32" spans="1:13" x14ac:dyDescent="0.3">
      <c r="A32" t="s">
        <v>266</v>
      </c>
      <c r="B32" t="s">
        <v>23</v>
      </c>
      <c r="C32" s="2">
        <v>45476</v>
      </c>
      <c r="D32" t="s">
        <v>28</v>
      </c>
      <c r="E32" t="s">
        <v>20</v>
      </c>
      <c r="F32" s="3">
        <v>12167</v>
      </c>
      <c r="G32" s="3">
        <v>364</v>
      </c>
      <c r="H32" s="3">
        <v>160</v>
      </c>
      <c r="I32" s="3">
        <v>616</v>
      </c>
      <c r="J32" s="3">
        <v>42228</v>
      </c>
      <c r="K32" s="3">
        <v>175832</v>
      </c>
      <c r="L32" s="4">
        <v>7.2176850630147005E-2</v>
      </c>
      <c r="M32" t="s">
        <v>26</v>
      </c>
    </row>
    <row r="33" spans="1:13" x14ac:dyDescent="0.3">
      <c r="A33" t="s">
        <v>125</v>
      </c>
      <c r="B33" t="s">
        <v>23</v>
      </c>
      <c r="C33" s="2">
        <v>45480</v>
      </c>
      <c r="D33" t="s">
        <v>24</v>
      </c>
      <c r="E33" t="s">
        <v>20</v>
      </c>
      <c r="F33" s="3">
        <v>24625</v>
      </c>
      <c r="G33" s="3">
        <v>749</v>
      </c>
      <c r="H33" s="3">
        <v>193</v>
      </c>
      <c r="I33" s="3">
        <v>1340</v>
      </c>
      <c r="J33" s="3">
        <v>4890</v>
      </c>
      <c r="K33" s="3">
        <v>189381</v>
      </c>
      <c r="L33" s="4">
        <v>0.13500298340382599</v>
      </c>
      <c r="M33" t="s">
        <v>17</v>
      </c>
    </row>
    <row r="34" spans="1:13" x14ac:dyDescent="0.3">
      <c r="A34" t="s">
        <v>214</v>
      </c>
      <c r="B34" t="s">
        <v>14</v>
      </c>
      <c r="C34" s="2">
        <v>45483</v>
      </c>
      <c r="D34" t="s">
        <v>15</v>
      </c>
      <c r="E34" t="s">
        <v>56</v>
      </c>
      <c r="F34" s="3">
        <v>8809</v>
      </c>
      <c r="G34" s="3">
        <v>1151</v>
      </c>
      <c r="H34" s="3">
        <v>908</v>
      </c>
      <c r="I34" s="3">
        <v>883</v>
      </c>
      <c r="J34" s="3">
        <v>42921</v>
      </c>
      <c r="K34" s="3">
        <v>151279</v>
      </c>
      <c r="L34" s="4">
        <v>7.1840771025720701E-2</v>
      </c>
      <c r="M34" t="s">
        <v>46</v>
      </c>
    </row>
    <row r="35" spans="1:13" x14ac:dyDescent="0.3">
      <c r="A35" t="s">
        <v>37</v>
      </c>
      <c r="B35" t="s">
        <v>23</v>
      </c>
      <c r="C35" s="2">
        <v>45486</v>
      </c>
      <c r="D35" t="s">
        <v>28</v>
      </c>
      <c r="E35" t="s">
        <v>38</v>
      </c>
      <c r="F35" s="3">
        <v>18639</v>
      </c>
      <c r="G35" s="3">
        <v>1360</v>
      </c>
      <c r="H35" s="3">
        <v>898</v>
      </c>
      <c r="I35" s="3">
        <v>2011</v>
      </c>
      <c r="J35" s="3">
        <v>42841</v>
      </c>
      <c r="K35" s="3">
        <v>247779</v>
      </c>
      <c r="L35" s="4">
        <v>8.4337252148083602E-2</v>
      </c>
      <c r="M35" t="s">
        <v>30</v>
      </c>
    </row>
    <row r="36" spans="1:13" x14ac:dyDescent="0.3">
      <c r="A36" t="s">
        <v>177</v>
      </c>
      <c r="B36" t="s">
        <v>23</v>
      </c>
      <c r="C36" s="2">
        <v>45488</v>
      </c>
      <c r="D36" t="s">
        <v>24</v>
      </c>
      <c r="E36" t="s">
        <v>36</v>
      </c>
      <c r="F36" s="3">
        <v>14891</v>
      </c>
      <c r="G36" s="3">
        <v>674</v>
      </c>
      <c r="H36" s="3">
        <v>521</v>
      </c>
      <c r="I36" s="3">
        <v>1091</v>
      </c>
      <c r="J36" s="3">
        <v>18101</v>
      </c>
      <c r="K36" s="3">
        <v>53669</v>
      </c>
      <c r="L36" s="4">
        <v>0.29972609886526702</v>
      </c>
      <c r="M36" t="s">
        <v>17</v>
      </c>
    </row>
    <row r="37" spans="1:13" x14ac:dyDescent="0.3">
      <c r="A37" t="s">
        <v>216</v>
      </c>
      <c r="B37" t="s">
        <v>23</v>
      </c>
      <c r="C37" s="2">
        <v>45488</v>
      </c>
      <c r="D37" t="s">
        <v>15</v>
      </c>
      <c r="E37" t="s">
        <v>51</v>
      </c>
      <c r="F37" s="3">
        <v>17034</v>
      </c>
      <c r="G37" s="3">
        <v>231</v>
      </c>
      <c r="H37" s="3">
        <v>290</v>
      </c>
      <c r="I37" s="3">
        <v>1387</v>
      </c>
      <c r="J37" s="3">
        <v>63550</v>
      </c>
      <c r="K37" s="3">
        <v>198280</v>
      </c>
      <c r="L37" s="4">
        <v>8.8536413153116805E-2</v>
      </c>
      <c r="M37" t="s">
        <v>46</v>
      </c>
    </row>
    <row r="38" spans="1:13" x14ac:dyDescent="0.3">
      <c r="A38" t="s">
        <v>267</v>
      </c>
      <c r="B38" t="s">
        <v>23</v>
      </c>
      <c r="C38" s="2">
        <v>45488</v>
      </c>
      <c r="D38" t="s">
        <v>28</v>
      </c>
      <c r="E38" t="s">
        <v>33</v>
      </c>
      <c r="F38" s="3">
        <v>12554</v>
      </c>
      <c r="G38" s="3">
        <v>381</v>
      </c>
      <c r="H38" s="3">
        <v>211</v>
      </c>
      <c r="I38" s="3">
        <v>2286</v>
      </c>
      <c r="J38" s="3">
        <v>50567</v>
      </c>
      <c r="K38" s="3">
        <v>72779</v>
      </c>
      <c r="L38" s="4">
        <v>0.180629027604117</v>
      </c>
      <c r="M38" t="s">
        <v>17</v>
      </c>
    </row>
    <row r="39" spans="1:13" x14ac:dyDescent="0.3">
      <c r="A39" t="s">
        <v>275</v>
      </c>
      <c r="B39" t="s">
        <v>41</v>
      </c>
      <c r="C39" s="2">
        <v>45489</v>
      </c>
      <c r="D39" t="s">
        <v>24</v>
      </c>
      <c r="E39" t="s">
        <v>42</v>
      </c>
      <c r="F39" s="3">
        <v>8767</v>
      </c>
      <c r="G39" s="3">
        <v>974</v>
      </c>
      <c r="H39" s="3">
        <v>733</v>
      </c>
      <c r="I39" s="3">
        <v>1587</v>
      </c>
      <c r="J39" s="3">
        <v>74927</v>
      </c>
      <c r="K39" s="3">
        <v>113770</v>
      </c>
      <c r="L39" s="4">
        <v>9.2062933989628198E-2</v>
      </c>
      <c r="M39" t="s">
        <v>17</v>
      </c>
    </row>
    <row r="40" spans="1:13" x14ac:dyDescent="0.3">
      <c r="A40" t="s">
        <v>286</v>
      </c>
      <c r="B40" t="s">
        <v>23</v>
      </c>
      <c r="C40" s="2">
        <v>45491</v>
      </c>
      <c r="D40" t="s">
        <v>28</v>
      </c>
      <c r="E40" t="s">
        <v>65</v>
      </c>
      <c r="F40" s="3">
        <v>11111</v>
      </c>
      <c r="G40" s="3">
        <v>1222</v>
      </c>
      <c r="H40" s="3">
        <v>367</v>
      </c>
      <c r="I40" s="3">
        <v>507</v>
      </c>
      <c r="J40" s="3">
        <v>14129</v>
      </c>
      <c r="K40" s="3">
        <v>127163</v>
      </c>
      <c r="L40" s="4">
        <v>9.9871818060284806E-2</v>
      </c>
      <c r="M40" t="s">
        <v>46</v>
      </c>
    </row>
    <row r="41" spans="1:13" x14ac:dyDescent="0.3">
      <c r="A41" t="s">
        <v>322</v>
      </c>
      <c r="B41" t="s">
        <v>41</v>
      </c>
      <c r="C41" s="2">
        <v>45491</v>
      </c>
      <c r="D41" t="s">
        <v>28</v>
      </c>
      <c r="E41" t="s">
        <v>16</v>
      </c>
      <c r="F41" s="3">
        <v>16594</v>
      </c>
      <c r="G41" s="3">
        <v>809</v>
      </c>
      <c r="H41" s="3">
        <v>784</v>
      </c>
      <c r="I41" s="3">
        <v>1655</v>
      </c>
      <c r="J41" s="3">
        <v>35505</v>
      </c>
      <c r="K41" s="3">
        <v>112588</v>
      </c>
      <c r="L41" s="4">
        <v>0.161535865278715</v>
      </c>
      <c r="M41" t="s">
        <v>26</v>
      </c>
    </row>
    <row r="42" spans="1:13" x14ac:dyDescent="0.3">
      <c r="A42" t="s">
        <v>44</v>
      </c>
      <c r="B42" t="s">
        <v>14</v>
      </c>
      <c r="C42" s="2">
        <v>45494</v>
      </c>
      <c r="D42" t="s">
        <v>24</v>
      </c>
      <c r="E42" t="s">
        <v>20</v>
      </c>
      <c r="F42" s="3">
        <v>2009</v>
      </c>
      <c r="G42" s="3">
        <v>1072</v>
      </c>
      <c r="H42" s="3">
        <v>550</v>
      </c>
      <c r="I42" s="3">
        <v>1437</v>
      </c>
      <c r="J42" s="3">
        <v>22982</v>
      </c>
      <c r="K42" s="3">
        <v>69426</v>
      </c>
      <c r="L42" s="4">
        <v>5.2300290957278298E-2</v>
      </c>
      <c r="M42" t="s">
        <v>30</v>
      </c>
    </row>
    <row r="43" spans="1:13" x14ac:dyDescent="0.3">
      <c r="A43" t="s">
        <v>166</v>
      </c>
      <c r="B43" t="s">
        <v>19</v>
      </c>
      <c r="C43" s="2">
        <v>45494</v>
      </c>
      <c r="D43" t="s">
        <v>15</v>
      </c>
      <c r="E43" t="s">
        <v>29</v>
      </c>
      <c r="F43" s="3">
        <v>11911</v>
      </c>
      <c r="G43" s="3">
        <v>1360</v>
      </c>
      <c r="H43" s="3">
        <v>778</v>
      </c>
      <c r="I43" s="3">
        <v>1168</v>
      </c>
      <c r="J43" s="3">
        <v>16483</v>
      </c>
      <c r="K43" s="3">
        <v>72556</v>
      </c>
      <c r="L43" s="4">
        <v>0.19362974805667299</v>
      </c>
      <c r="M43" t="s">
        <v>26</v>
      </c>
    </row>
    <row r="44" spans="1:13" x14ac:dyDescent="0.3">
      <c r="A44" t="s">
        <v>194</v>
      </c>
      <c r="B44" t="s">
        <v>14</v>
      </c>
      <c r="C44" s="2">
        <v>45496</v>
      </c>
      <c r="D44" t="s">
        <v>28</v>
      </c>
      <c r="E44" t="s">
        <v>56</v>
      </c>
      <c r="F44" s="3">
        <v>24877</v>
      </c>
      <c r="G44" s="3">
        <v>262</v>
      </c>
      <c r="H44" s="3">
        <v>513</v>
      </c>
      <c r="I44" s="3">
        <v>648</v>
      </c>
      <c r="J44" s="3">
        <v>47544</v>
      </c>
      <c r="K44" s="3">
        <v>208280</v>
      </c>
      <c r="L44" s="4">
        <v>0.12316112924908799</v>
      </c>
      <c r="M44" t="s">
        <v>26</v>
      </c>
    </row>
    <row r="45" spans="1:13" x14ac:dyDescent="0.3">
      <c r="A45" t="s">
        <v>119</v>
      </c>
      <c r="B45" t="s">
        <v>19</v>
      </c>
      <c r="C45" s="2">
        <v>45497</v>
      </c>
      <c r="D45" t="s">
        <v>28</v>
      </c>
      <c r="E45" t="s">
        <v>36</v>
      </c>
      <c r="F45" s="3">
        <v>22914</v>
      </c>
      <c r="G45" s="3">
        <v>954</v>
      </c>
      <c r="H45" s="3">
        <v>584</v>
      </c>
      <c r="I45" s="3">
        <v>1519</v>
      </c>
      <c r="J45" s="3">
        <v>13637</v>
      </c>
      <c r="K45" s="3">
        <v>49847</v>
      </c>
      <c r="L45" s="4">
        <v>0.49054105563022798</v>
      </c>
      <c r="M45" t="s">
        <v>17</v>
      </c>
    </row>
    <row r="46" spans="1:13" x14ac:dyDescent="0.3">
      <c r="A46" t="s">
        <v>102</v>
      </c>
      <c r="B46" t="s">
        <v>41</v>
      </c>
      <c r="C46" s="2">
        <v>45499</v>
      </c>
      <c r="D46" t="s">
        <v>24</v>
      </c>
      <c r="E46" t="s">
        <v>38</v>
      </c>
      <c r="F46" s="3">
        <v>12176</v>
      </c>
      <c r="G46" s="3">
        <v>1005</v>
      </c>
      <c r="H46" s="3">
        <v>862</v>
      </c>
      <c r="I46" s="3">
        <v>974</v>
      </c>
      <c r="J46" s="3">
        <v>2285</v>
      </c>
      <c r="K46" s="3">
        <v>116619</v>
      </c>
      <c r="L46" s="4">
        <v>0.12041777068916699</v>
      </c>
      <c r="M46" t="s">
        <v>30</v>
      </c>
    </row>
    <row r="47" spans="1:13" x14ac:dyDescent="0.3">
      <c r="A47" t="s">
        <v>188</v>
      </c>
      <c r="B47" t="s">
        <v>14</v>
      </c>
      <c r="C47" s="2">
        <v>45499</v>
      </c>
      <c r="D47" t="s">
        <v>28</v>
      </c>
      <c r="E47" t="s">
        <v>65</v>
      </c>
      <c r="F47" s="3">
        <v>18282</v>
      </c>
      <c r="G47" s="3">
        <v>224</v>
      </c>
      <c r="H47" s="3">
        <v>962</v>
      </c>
      <c r="I47" s="3">
        <v>890</v>
      </c>
      <c r="J47" s="3">
        <v>35105</v>
      </c>
      <c r="K47" s="3">
        <v>64089</v>
      </c>
      <c r="L47" s="4">
        <v>0.30376507669022801</v>
      </c>
      <c r="M47" t="s">
        <v>30</v>
      </c>
    </row>
    <row r="48" spans="1:13" x14ac:dyDescent="0.3">
      <c r="A48" t="s">
        <v>147</v>
      </c>
      <c r="B48" t="s">
        <v>14</v>
      </c>
      <c r="C48" s="2">
        <v>45502</v>
      </c>
      <c r="D48" t="s">
        <v>28</v>
      </c>
      <c r="E48" t="s">
        <v>38</v>
      </c>
      <c r="F48" s="3">
        <v>6164</v>
      </c>
      <c r="G48" s="3">
        <v>326</v>
      </c>
      <c r="H48" s="3">
        <v>615</v>
      </c>
      <c r="I48" s="3">
        <v>2806</v>
      </c>
      <c r="J48" s="3">
        <v>38579</v>
      </c>
      <c r="K48" s="3">
        <v>206129</v>
      </c>
      <c r="L48" s="4">
        <v>3.4468706489625398E-2</v>
      </c>
      <c r="M48" t="s">
        <v>46</v>
      </c>
    </row>
    <row r="49" spans="1:13" x14ac:dyDescent="0.3">
      <c r="A49" t="s">
        <v>158</v>
      </c>
      <c r="B49" t="s">
        <v>19</v>
      </c>
      <c r="C49" s="2">
        <v>45502</v>
      </c>
      <c r="D49" t="s">
        <v>28</v>
      </c>
      <c r="E49" t="s">
        <v>16</v>
      </c>
      <c r="F49" s="3">
        <v>19144</v>
      </c>
      <c r="G49" s="3">
        <v>1182</v>
      </c>
      <c r="H49" s="3">
        <v>860</v>
      </c>
      <c r="I49" s="3">
        <v>1398</v>
      </c>
      <c r="J49" s="3">
        <v>4185</v>
      </c>
      <c r="K49" s="3">
        <v>46570</v>
      </c>
      <c r="L49" s="4">
        <v>0.454928065278076</v>
      </c>
      <c r="M49" t="s">
        <v>17</v>
      </c>
    </row>
    <row r="50" spans="1:13" x14ac:dyDescent="0.3">
      <c r="A50" t="s">
        <v>253</v>
      </c>
      <c r="B50" t="s">
        <v>23</v>
      </c>
      <c r="C50" s="2">
        <v>45502</v>
      </c>
      <c r="D50" t="s">
        <v>24</v>
      </c>
      <c r="E50" t="s">
        <v>16</v>
      </c>
      <c r="F50" s="3">
        <v>22590</v>
      </c>
      <c r="G50" s="3">
        <v>1462</v>
      </c>
      <c r="H50" s="3">
        <v>966</v>
      </c>
      <c r="I50" s="3">
        <v>2463</v>
      </c>
      <c r="J50" s="3">
        <v>29689</v>
      </c>
      <c r="K50" s="3">
        <v>103449</v>
      </c>
      <c r="L50" s="4">
        <v>0.24183897379385</v>
      </c>
      <c r="M50" t="s">
        <v>26</v>
      </c>
    </row>
    <row r="51" spans="1:13" x14ac:dyDescent="0.3">
      <c r="A51" t="s">
        <v>68</v>
      </c>
      <c r="B51" t="s">
        <v>23</v>
      </c>
      <c r="C51" s="2">
        <v>45504</v>
      </c>
      <c r="D51" t="s">
        <v>15</v>
      </c>
      <c r="E51" t="s">
        <v>51</v>
      </c>
      <c r="F51" s="3">
        <v>2404</v>
      </c>
      <c r="G51" s="3">
        <v>774</v>
      </c>
      <c r="H51" s="3">
        <v>661</v>
      </c>
      <c r="I51" s="3">
        <v>662</v>
      </c>
      <c r="J51" s="3">
        <v>12676</v>
      </c>
      <c r="K51" s="3">
        <v>66916</v>
      </c>
      <c r="L51" s="4">
        <v>5.7370434574690599E-2</v>
      </c>
      <c r="M51" t="s">
        <v>17</v>
      </c>
    </row>
    <row r="52" spans="1:13" x14ac:dyDescent="0.3">
      <c r="A52" t="s">
        <v>99</v>
      </c>
      <c r="B52" t="s">
        <v>23</v>
      </c>
      <c r="C52" s="2">
        <v>45504</v>
      </c>
      <c r="D52" t="s">
        <v>15</v>
      </c>
      <c r="E52" t="s">
        <v>16</v>
      </c>
      <c r="F52" s="3">
        <v>12357</v>
      </c>
      <c r="G52" s="3">
        <v>716</v>
      </c>
      <c r="H52" s="3">
        <v>599</v>
      </c>
      <c r="I52" s="3">
        <v>999</v>
      </c>
      <c r="J52" s="3">
        <v>89591</v>
      </c>
      <c r="K52" s="3">
        <v>116367</v>
      </c>
      <c r="L52" s="4">
        <v>0.117490353794461</v>
      </c>
      <c r="M52" t="s">
        <v>17</v>
      </c>
    </row>
    <row r="53" spans="1:13" x14ac:dyDescent="0.3">
      <c r="A53" t="s">
        <v>174</v>
      </c>
      <c r="B53" t="s">
        <v>23</v>
      </c>
      <c r="C53" s="2">
        <v>45504</v>
      </c>
      <c r="D53" t="s">
        <v>35</v>
      </c>
      <c r="E53" t="s">
        <v>29</v>
      </c>
      <c r="F53" s="3">
        <v>13314</v>
      </c>
      <c r="G53" s="3">
        <v>274</v>
      </c>
      <c r="H53" s="3">
        <v>626</v>
      </c>
      <c r="I53" s="3">
        <v>2280</v>
      </c>
      <c r="J53" s="3">
        <v>14639</v>
      </c>
      <c r="K53" s="3">
        <v>163008</v>
      </c>
      <c r="L53" s="4">
        <v>8.7198174322732594E-2</v>
      </c>
      <c r="M53" t="s">
        <v>30</v>
      </c>
    </row>
    <row r="54" spans="1:13" x14ac:dyDescent="0.3">
      <c r="A54" t="s">
        <v>219</v>
      </c>
      <c r="B54" t="s">
        <v>14</v>
      </c>
      <c r="C54" s="2">
        <v>45504</v>
      </c>
      <c r="D54" t="s">
        <v>28</v>
      </c>
      <c r="E54" t="s">
        <v>25</v>
      </c>
      <c r="F54" s="3">
        <v>7122</v>
      </c>
      <c r="G54" s="3">
        <v>628</v>
      </c>
      <c r="H54" s="3">
        <v>757</v>
      </c>
      <c r="I54" s="3">
        <v>2313</v>
      </c>
      <c r="J54" s="3">
        <v>50924</v>
      </c>
      <c r="K54" s="3">
        <v>210954</v>
      </c>
      <c r="L54" s="4">
        <v>4.0326327066564298E-2</v>
      </c>
      <c r="M54" t="s">
        <v>46</v>
      </c>
    </row>
    <row r="55" spans="1:13" x14ac:dyDescent="0.3">
      <c r="A55" t="s">
        <v>111</v>
      </c>
      <c r="B55" t="s">
        <v>23</v>
      </c>
      <c r="C55" s="2">
        <v>45505</v>
      </c>
      <c r="D55" t="s">
        <v>15</v>
      </c>
      <c r="E55" t="s">
        <v>25</v>
      </c>
      <c r="F55" s="3">
        <v>21758</v>
      </c>
      <c r="G55" s="3">
        <v>1380</v>
      </c>
      <c r="H55" s="3">
        <v>188</v>
      </c>
      <c r="I55" s="3">
        <v>1735</v>
      </c>
      <c r="J55" s="3">
        <v>20998</v>
      </c>
      <c r="K55" s="3">
        <v>147803</v>
      </c>
      <c r="L55" s="4">
        <v>0.157818176897627</v>
      </c>
      <c r="M55" t="s">
        <v>46</v>
      </c>
    </row>
    <row r="56" spans="1:13" x14ac:dyDescent="0.3">
      <c r="A56" t="s">
        <v>295</v>
      </c>
      <c r="B56" t="s">
        <v>41</v>
      </c>
      <c r="C56" s="2">
        <v>45509</v>
      </c>
      <c r="D56" t="s">
        <v>28</v>
      </c>
      <c r="E56" t="s">
        <v>16</v>
      </c>
      <c r="F56" s="3">
        <v>20935</v>
      </c>
      <c r="G56" s="3">
        <v>1104</v>
      </c>
      <c r="H56" s="3">
        <v>876</v>
      </c>
      <c r="I56" s="3">
        <v>1270</v>
      </c>
      <c r="J56" s="3">
        <v>21454</v>
      </c>
      <c r="K56" s="3">
        <v>208722</v>
      </c>
      <c r="L56" s="4">
        <v>0.10978718103506099</v>
      </c>
      <c r="M56" t="s">
        <v>26</v>
      </c>
    </row>
    <row r="57" spans="1:13" x14ac:dyDescent="0.3">
      <c r="A57" t="s">
        <v>312</v>
      </c>
      <c r="B57" t="s">
        <v>23</v>
      </c>
      <c r="C57" s="2">
        <v>45509</v>
      </c>
      <c r="D57" t="s">
        <v>24</v>
      </c>
      <c r="E57" t="s">
        <v>38</v>
      </c>
      <c r="F57" s="3">
        <v>4048</v>
      </c>
      <c r="G57" s="3">
        <v>751</v>
      </c>
      <c r="H57" s="3">
        <v>930</v>
      </c>
      <c r="I57" s="3">
        <v>1382</v>
      </c>
      <c r="J57" s="3">
        <v>16844</v>
      </c>
      <c r="K57" s="3">
        <v>148177</v>
      </c>
      <c r="L57" s="4">
        <v>3.8663220337839199E-2</v>
      </c>
      <c r="M57" t="s">
        <v>30</v>
      </c>
    </row>
    <row r="58" spans="1:13" x14ac:dyDescent="0.3">
      <c r="A58" t="s">
        <v>146</v>
      </c>
      <c r="B58" t="s">
        <v>41</v>
      </c>
      <c r="C58" s="2">
        <v>45512</v>
      </c>
      <c r="D58" t="s">
        <v>35</v>
      </c>
      <c r="E58" t="s">
        <v>38</v>
      </c>
      <c r="F58" s="3">
        <v>24355</v>
      </c>
      <c r="G58" s="3">
        <v>1087</v>
      </c>
      <c r="H58" s="3">
        <v>686</v>
      </c>
      <c r="I58" s="3">
        <v>2426</v>
      </c>
      <c r="J58" s="3">
        <v>24963</v>
      </c>
      <c r="K58" s="3">
        <v>212307</v>
      </c>
      <c r="L58" s="4">
        <v>0.123067067972323</v>
      </c>
      <c r="M58" t="s">
        <v>17</v>
      </c>
    </row>
    <row r="59" spans="1:13" x14ac:dyDescent="0.3">
      <c r="A59" t="s">
        <v>195</v>
      </c>
      <c r="B59" t="s">
        <v>41</v>
      </c>
      <c r="C59" s="2">
        <v>45515</v>
      </c>
      <c r="D59" t="s">
        <v>35</v>
      </c>
      <c r="E59" t="s">
        <v>20</v>
      </c>
      <c r="F59" s="3">
        <v>14394</v>
      </c>
      <c r="G59" s="3">
        <v>1202</v>
      </c>
      <c r="H59" s="3">
        <v>188</v>
      </c>
      <c r="I59" s="3">
        <v>1259</v>
      </c>
      <c r="J59" s="3">
        <v>21925</v>
      </c>
      <c r="K59" s="3">
        <v>94061</v>
      </c>
      <c r="L59" s="4">
        <v>0.16780599823518799</v>
      </c>
      <c r="M59" t="s">
        <v>30</v>
      </c>
    </row>
    <row r="60" spans="1:13" x14ac:dyDescent="0.3">
      <c r="A60" t="s">
        <v>27</v>
      </c>
      <c r="B60" t="s">
        <v>14</v>
      </c>
      <c r="C60" s="2">
        <v>45516</v>
      </c>
      <c r="D60" t="s">
        <v>28</v>
      </c>
      <c r="E60" t="s">
        <v>29</v>
      </c>
      <c r="F60" s="3">
        <v>3581</v>
      </c>
      <c r="G60" s="3">
        <v>517</v>
      </c>
      <c r="H60" s="3">
        <v>880</v>
      </c>
      <c r="I60" s="3">
        <v>1925</v>
      </c>
      <c r="J60" s="3">
        <v>18636</v>
      </c>
      <c r="K60" s="3">
        <v>248611</v>
      </c>
      <c r="L60" s="4">
        <v>2.0023249172401902E-2</v>
      </c>
      <c r="M60" t="s">
        <v>30</v>
      </c>
    </row>
    <row r="61" spans="1:13" x14ac:dyDescent="0.3">
      <c r="A61" t="s">
        <v>182</v>
      </c>
      <c r="B61" t="s">
        <v>19</v>
      </c>
      <c r="C61" s="2">
        <v>45516</v>
      </c>
      <c r="D61" t="s">
        <v>35</v>
      </c>
      <c r="E61" t="s">
        <v>20</v>
      </c>
      <c r="F61" s="3">
        <v>8376</v>
      </c>
      <c r="G61" s="3">
        <v>1154</v>
      </c>
      <c r="H61" s="3">
        <v>422</v>
      </c>
      <c r="I61" s="3">
        <v>1907</v>
      </c>
      <c r="J61" s="3">
        <v>36874</v>
      </c>
      <c r="K61" s="3">
        <v>218486</v>
      </c>
      <c r="L61" s="4">
        <v>4.5549829279679203E-2</v>
      </c>
      <c r="M61" t="s">
        <v>26</v>
      </c>
    </row>
    <row r="62" spans="1:13" x14ac:dyDescent="0.3">
      <c r="A62" t="s">
        <v>134</v>
      </c>
      <c r="B62" t="s">
        <v>41</v>
      </c>
      <c r="C62" s="2">
        <v>45517</v>
      </c>
      <c r="D62" t="s">
        <v>35</v>
      </c>
      <c r="E62" t="s">
        <v>116</v>
      </c>
      <c r="F62" s="3">
        <v>6854</v>
      </c>
      <c r="G62" s="3">
        <v>417</v>
      </c>
      <c r="H62" s="3">
        <v>467</v>
      </c>
      <c r="I62" s="3">
        <v>1003</v>
      </c>
      <c r="J62" s="3">
        <v>61333</v>
      </c>
      <c r="K62" s="3">
        <v>40281</v>
      </c>
      <c r="L62" s="4">
        <v>0.19210049402944299</v>
      </c>
      <c r="M62" t="s">
        <v>17</v>
      </c>
    </row>
    <row r="63" spans="1:13" x14ac:dyDescent="0.3">
      <c r="A63" t="s">
        <v>209</v>
      </c>
      <c r="B63" t="s">
        <v>23</v>
      </c>
      <c r="C63" s="2">
        <v>45518</v>
      </c>
      <c r="D63" t="s">
        <v>35</v>
      </c>
      <c r="E63" t="s">
        <v>116</v>
      </c>
      <c r="F63" s="3">
        <v>10150</v>
      </c>
      <c r="G63" s="3">
        <v>526</v>
      </c>
      <c r="H63" s="3">
        <v>888</v>
      </c>
      <c r="I63" s="3">
        <v>1313</v>
      </c>
      <c r="J63" s="3">
        <v>51605</v>
      </c>
      <c r="K63" s="3">
        <v>143409</v>
      </c>
      <c r="L63" s="4">
        <v>8.0636501195880297E-2</v>
      </c>
      <c r="M63" t="s">
        <v>17</v>
      </c>
    </row>
    <row r="64" spans="1:13" x14ac:dyDescent="0.3">
      <c r="A64" t="s">
        <v>232</v>
      </c>
      <c r="B64" t="s">
        <v>14</v>
      </c>
      <c r="C64" s="2">
        <v>45519</v>
      </c>
      <c r="D64" t="s">
        <v>15</v>
      </c>
      <c r="E64" t="s">
        <v>42</v>
      </c>
      <c r="F64" s="3">
        <v>15503</v>
      </c>
      <c r="G64" s="3">
        <v>313</v>
      </c>
      <c r="H64" s="3">
        <v>388</v>
      </c>
      <c r="I64" s="3">
        <v>1078</v>
      </c>
      <c r="J64" s="3">
        <v>11500</v>
      </c>
      <c r="K64" s="3">
        <v>143754</v>
      </c>
      <c r="L64" s="4">
        <v>0.11272034169484001</v>
      </c>
      <c r="M64" t="s">
        <v>30</v>
      </c>
    </row>
    <row r="65" spans="1:13" x14ac:dyDescent="0.3">
      <c r="A65" t="s">
        <v>324</v>
      </c>
      <c r="B65" t="s">
        <v>23</v>
      </c>
      <c r="C65" s="2">
        <v>45519</v>
      </c>
      <c r="D65" t="s">
        <v>28</v>
      </c>
      <c r="E65" t="s">
        <v>29</v>
      </c>
      <c r="F65" s="3">
        <v>14977</v>
      </c>
      <c r="G65" s="3">
        <v>274</v>
      </c>
      <c r="H65" s="3">
        <v>798</v>
      </c>
      <c r="I65" s="3">
        <v>458</v>
      </c>
      <c r="J65" s="3">
        <v>6636</v>
      </c>
      <c r="K65" s="3">
        <v>43654</v>
      </c>
      <c r="L65" s="4">
        <v>0.367640995097815</v>
      </c>
      <c r="M65" t="s">
        <v>17</v>
      </c>
    </row>
    <row r="66" spans="1:13" x14ac:dyDescent="0.3">
      <c r="A66" t="s">
        <v>100</v>
      </c>
      <c r="B66" t="s">
        <v>23</v>
      </c>
      <c r="C66" s="2">
        <v>45521</v>
      </c>
      <c r="D66" t="s">
        <v>28</v>
      </c>
      <c r="E66" t="s">
        <v>33</v>
      </c>
      <c r="F66" s="3">
        <v>19154</v>
      </c>
      <c r="G66" s="3">
        <v>1064</v>
      </c>
      <c r="H66" s="3">
        <v>650</v>
      </c>
      <c r="I66" s="3">
        <v>747</v>
      </c>
      <c r="J66" s="3">
        <v>42667</v>
      </c>
      <c r="K66" s="3">
        <v>242332</v>
      </c>
      <c r="L66" s="4">
        <v>8.6113266097750205E-2</v>
      </c>
      <c r="M66" t="s">
        <v>26</v>
      </c>
    </row>
    <row r="67" spans="1:13" x14ac:dyDescent="0.3">
      <c r="A67" t="s">
        <v>52</v>
      </c>
      <c r="B67" t="s">
        <v>19</v>
      </c>
      <c r="C67" s="2">
        <v>45523</v>
      </c>
      <c r="D67" t="s">
        <v>15</v>
      </c>
      <c r="E67" t="s">
        <v>38</v>
      </c>
      <c r="F67" s="3">
        <v>15550</v>
      </c>
      <c r="G67" s="3">
        <v>204</v>
      </c>
      <c r="H67" s="3">
        <v>279</v>
      </c>
      <c r="I67" s="3">
        <v>1646</v>
      </c>
      <c r="J67" s="3">
        <v>35819</v>
      </c>
      <c r="K67" s="3">
        <v>219436</v>
      </c>
      <c r="L67" s="4">
        <v>7.3064583751070902E-2</v>
      </c>
      <c r="M67" t="s">
        <v>17</v>
      </c>
    </row>
    <row r="68" spans="1:13" x14ac:dyDescent="0.3">
      <c r="A68" t="s">
        <v>273</v>
      </c>
      <c r="B68" t="s">
        <v>19</v>
      </c>
      <c r="C68" s="2">
        <v>45523</v>
      </c>
      <c r="D68" t="s">
        <v>28</v>
      </c>
      <c r="E68" t="s">
        <v>56</v>
      </c>
      <c r="F68" s="3">
        <v>3605</v>
      </c>
      <c r="G68" s="3">
        <v>206</v>
      </c>
      <c r="H68" s="3">
        <v>921</v>
      </c>
      <c r="I68" s="3">
        <v>852</v>
      </c>
      <c r="J68" s="3">
        <v>11660</v>
      </c>
      <c r="K68" s="3">
        <v>182635</v>
      </c>
      <c r="L68" s="4">
        <v>2.5909601116982001E-2</v>
      </c>
      <c r="M68" t="s">
        <v>30</v>
      </c>
    </row>
    <row r="69" spans="1:13" x14ac:dyDescent="0.3">
      <c r="A69" t="s">
        <v>300</v>
      </c>
      <c r="B69" t="s">
        <v>23</v>
      </c>
      <c r="C69" s="2">
        <v>45524</v>
      </c>
      <c r="D69" t="s">
        <v>24</v>
      </c>
      <c r="E69" t="s">
        <v>33</v>
      </c>
      <c r="F69" s="3">
        <v>2846</v>
      </c>
      <c r="G69" s="3">
        <v>792</v>
      </c>
      <c r="H69" s="3">
        <v>902</v>
      </c>
      <c r="I69" s="3">
        <v>2469</v>
      </c>
      <c r="J69" s="3">
        <v>12130</v>
      </c>
      <c r="K69" s="3">
        <v>47151</v>
      </c>
      <c r="L69" s="4">
        <v>9.6286399015927601E-2</v>
      </c>
      <c r="M69" t="s">
        <v>17</v>
      </c>
    </row>
    <row r="70" spans="1:13" x14ac:dyDescent="0.3">
      <c r="A70" t="s">
        <v>187</v>
      </c>
      <c r="B70" t="s">
        <v>19</v>
      </c>
      <c r="C70" s="2">
        <v>45526</v>
      </c>
      <c r="D70" t="s">
        <v>28</v>
      </c>
      <c r="E70" t="s">
        <v>56</v>
      </c>
      <c r="F70" s="3">
        <v>16124</v>
      </c>
      <c r="G70" s="3">
        <v>863</v>
      </c>
      <c r="H70" s="3">
        <v>337</v>
      </c>
      <c r="I70" s="3">
        <v>819</v>
      </c>
      <c r="J70" s="3">
        <v>85788</v>
      </c>
      <c r="K70" s="3">
        <v>68625</v>
      </c>
      <c r="L70" s="4">
        <v>0.25244444444444403</v>
      </c>
      <c r="M70" t="s">
        <v>30</v>
      </c>
    </row>
    <row r="71" spans="1:13" x14ac:dyDescent="0.3">
      <c r="A71" t="s">
        <v>197</v>
      </c>
      <c r="B71" t="s">
        <v>19</v>
      </c>
      <c r="C71" s="2">
        <v>45528</v>
      </c>
      <c r="D71" t="s">
        <v>24</v>
      </c>
      <c r="E71" t="s">
        <v>56</v>
      </c>
      <c r="F71" s="3">
        <v>22527</v>
      </c>
      <c r="G71" s="3">
        <v>865</v>
      </c>
      <c r="H71" s="3">
        <v>646</v>
      </c>
      <c r="I71" s="3">
        <v>992</v>
      </c>
      <c r="J71" s="3">
        <v>18654</v>
      </c>
      <c r="K71" s="3">
        <v>141376</v>
      </c>
      <c r="L71" s="4">
        <v>0.170028859212313</v>
      </c>
      <c r="M71" t="s">
        <v>46</v>
      </c>
    </row>
    <row r="72" spans="1:13" x14ac:dyDescent="0.3">
      <c r="A72" t="s">
        <v>223</v>
      </c>
      <c r="B72" t="s">
        <v>23</v>
      </c>
      <c r="C72" s="2">
        <v>45528</v>
      </c>
      <c r="D72" t="s">
        <v>28</v>
      </c>
      <c r="E72" t="s">
        <v>25</v>
      </c>
      <c r="F72" s="3">
        <v>24890</v>
      </c>
      <c r="G72" s="3">
        <v>217</v>
      </c>
      <c r="H72" s="3">
        <v>178</v>
      </c>
      <c r="I72" s="3">
        <v>906</v>
      </c>
      <c r="J72" s="3">
        <v>54826</v>
      </c>
      <c r="K72" s="3">
        <v>107203</v>
      </c>
      <c r="L72" s="4">
        <v>0.23586093672751701</v>
      </c>
      <c r="M72" t="s">
        <v>26</v>
      </c>
    </row>
    <row r="73" spans="1:13" x14ac:dyDescent="0.3">
      <c r="A73" t="s">
        <v>49</v>
      </c>
      <c r="B73" t="s">
        <v>23</v>
      </c>
      <c r="C73" s="2">
        <v>45530</v>
      </c>
      <c r="D73" t="s">
        <v>35</v>
      </c>
      <c r="E73" t="s">
        <v>38</v>
      </c>
      <c r="F73" s="3">
        <v>4193</v>
      </c>
      <c r="G73" s="3">
        <v>924</v>
      </c>
      <c r="H73" s="3">
        <v>707</v>
      </c>
      <c r="I73" s="3">
        <v>2696</v>
      </c>
      <c r="J73" s="3">
        <v>55075</v>
      </c>
      <c r="K73" s="3">
        <v>126652</v>
      </c>
      <c r="L73" s="4">
        <v>4.5984271863057799E-2</v>
      </c>
      <c r="M73" t="s">
        <v>30</v>
      </c>
    </row>
    <row r="74" spans="1:13" x14ac:dyDescent="0.3">
      <c r="A74" t="s">
        <v>284</v>
      </c>
      <c r="B74" t="s">
        <v>23</v>
      </c>
      <c r="C74" s="2">
        <v>45531</v>
      </c>
      <c r="D74" t="s">
        <v>15</v>
      </c>
      <c r="E74" t="s">
        <v>65</v>
      </c>
      <c r="F74" s="3">
        <v>6324</v>
      </c>
      <c r="G74" s="3">
        <v>908</v>
      </c>
      <c r="H74" s="3">
        <v>375</v>
      </c>
      <c r="I74" s="3">
        <v>758</v>
      </c>
      <c r="J74" s="3">
        <v>34850</v>
      </c>
      <c r="K74" s="3">
        <v>241039</v>
      </c>
      <c r="L74" s="4">
        <v>3.1559208260903797E-2</v>
      </c>
      <c r="M74" t="s">
        <v>17</v>
      </c>
    </row>
    <row r="75" spans="1:13" x14ac:dyDescent="0.3">
      <c r="A75" t="s">
        <v>39</v>
      </c>
      <c r="B75" t="s">
        <v>14</v>
      </c>
      <c r="C75" s="2">
        <v>45534</v>
      </c>
      <c r="D75" t="s">
        <v>35</v>
      </c>
      <c r="E75" t="s">
        <v>20</v>
      </c>
      <c r="F75" s="3">
        <v>6804</v>
      </c>
      <c r="G75" s="3">
        <v>787</v>
      </c>
      <c r="H75" s="3">
        <v>970</v>
      </c>
      <c r="I75" s="3">
        <v>1095</v>
      </c>
      <c r="J75" s="3">
        <v>56343</v>
      </c>
      <c r="K75" s="3">
        <v>164677</v>
      </c>
      <c r="L75" s="4">
        <v>5.19866162244879E-2</v>
      </c>
      <c r="M75" t="s">
        <v>17</v>
      </c>
    </row>
    <row r="76" spans="1:13" x14ac:dyDescent="0.3">
      <c r="A76" t="s">
        <v>107</v>
      </c>
      <c r="B76" t="s">
        <v>41</v>
      </c>
      <c r="C76" s="2">
        <v>45537</v>
      </c>
      <c r="D76" t="s">
        <v>35</v>
      </c>
      <c r="E76" t="s">
        <v>29</v>
      </c>
      <c r="F76" s="3">
        <v>12040</v>
      </c>
      <c r="G76" s="3">
        <v>1147</v>
      </c>
      <c r="H76" s="3">
        <v>210</v>
      </c>
      <c r="I76" s="3">
        <v>885</v>
      </c>
      <c r="J76" s="3">
        <v>30360</v>
      </c>
      <c r="K76" s="3">
        <v>119530</v>
      </c>
      <c r="L76" s="4">
        <v>0.112080649209404</v>
      </c>
      <c r="M76" t="s">
        <v>30</v>
      </c>
    </row>
    <row r="77" spans="1:13" x14ac:dyDescent="0.3">
      <c r="A77" t="s">
        <v>316</v>
      </c>
      <c r="B77" t="s">
        <v>23</v>
      </c>
      <c r="C77" s="2">
        <v>45537</v>
      </c>
      <c r="D77" t="s">
        <v>28</v>
      </c>
      <c r="E77" t="s">
        <v>29</v>
      </c>
      <c r="F77" s="3">
        <v>11765</v>
      </c>
      <c r="G77" s="3">
        <v>693</v>
      </c>
      <c r="H77" s="3">
        <v>729</v>
      </c>
      <c r="I77" s="3">
        <v>744</v>
      </c>
      <c r="J77" s="3">
        <v>97772</v>
      </c>
      <c r="K77" s="3">
        <v>194243</v>
      </c>
      <c r="L77" s="4">
        <v>6.7889190344053593E-2</v>
      </c>
      <c r="M77" t="s">
        <v>17</v>
      </c>
    </row>
    <row r="78" spans="1:13" x14ac:dyDescent="0.3">
      <c r="A78" t="s">
        <v>97</v>
      </c>
      <c r="B78" t="s">
        <v>14</v>
      </c>
      <c r="C78" s="2">
        <v>45540</v>
      </c>
      <c r="D78" t="s">
        <v>35</v>
      </c>
      <c r="E78" t="s">
        <v>65</v>
      </c>
      <c r="F78" s="3">
        <v>16489</v>
      </c>
      <c r="G78" s="3">
        <v>395</v>
      </c>
      <c r="H78" s="3">
        <v>350</v>
      </c>
      <c r="I78" s="3">
        <v>2364</v>
      </c>
      <c r="J78" s="3">
        <v>43239</v>
      </c>
      <c r="K78" s="3">
        <v>73397</v>
      </c>
      <c r="L78" s="4">
        <v>0.234805237271278</v>
      </c>
      <c r="M78" t="s">
        <v>46</v>
      </c>
    </row>
    <row r="79" spans="1:13" x14ac:dyDescent="0.3">
      <c r="A79" t="s">
        <v>162</v>
      </c>
      <c r="B79" t="s">
        <v>23</v>
      </c>
      <c r="C79" s="2">
        <v>45543</v>
      </c>
      <c r="D79" t="s">
        <v>35</v>
      </c>
      <c r="E79" t="s">
        <v>16</v>
      </c>
      <c r="F79" s="3">
        <v>8090</v>
      </c>
      <c r="G79" s="3">
        <v>570</v>
      </c>
      <c r="H79" s="3">
        <v>399</v>
      </c>
      <c r="I79" s="3">
        <v>1862</v>
      </c>
      <c r="J79" s="3">
        <v>34088</v>
      </c>
      <c r="K79" s="3">
        <v>52115</v>
      </c>
      <c r="L79" s="4">
        <v>0.173827113115226</v>
      </c>
      <c r="M79" t="s">
        <v>17</v>
      </c>
    </row>
    <row r="80" spans="1:13" x14ac:dyDescent="0.3">
      <c r="A80" t="s">
        <v>54</v>
      </c>
      <c r="B80" t="s">
        <v>14</v>
      </c>
      <c r="C80" s="2">
        <v>45544</v>
      </c>
      <c r="D80" t="s">
        <v>28</v>
      </c>
      <c r="E80" t="s">
        <v>25</v>
      </c>
      <c r="F80" s="3">
        <v>6158</v>
      </c>
      <c r="G80" s="3">
        <v>277</v>
      </c>
      <c r="H80" s="3">
        <v>512</v>
      </c>
      <c r="I80" s="3">
        <v>2189</v>
      </c>
      <c r="J80" s="3">
        <v>76881</v>
      </c>
      <c r="K80" s="3">
        <v>124878</v>
      </c>
      <c r="L80" s="4">
        <v>5.5630295168084001E-2</v>
      </c>
      <c r="M80" t="s">
        <v>30</v>
      </c>
    </row>
    <row r="81" spans="1:13" x14ac:dyDescent="0.3">
      <c r="A81" t="s">
        <v>133</v>
      </c>
      <c r="B81" t="s">
        <v>41</v>
      </c>
      <c r="C81" s="2">
        <v>45545</v>
      </c>
      <c r="D81" t="s">
        <v>35</v>
      </c>
      <c r="E81" t="s">
        <v>38</v>
      </c>
      <c r="F81" s="3">
        <v>6637</v>
      </c>
      <c r="G81" s="3">
        <v>595</v>
      </c>
      <c r="H81" s="3">
        <v>161</v>
      </c>
      <c r="I81" s="3">
        <v>2653</v>
      </c>
      <c r="J81" s="3">
        <v>19334</v>
      </c>
      <c r="K81" s="3">
        <v>131155</v>
      </c>
      <c r="L81" s="4">
        <v>5.6368419046166802E-2</v>
      </c>
      <c r="M81" t="s">
        <v>26</v>
      </c>
    </row>
    <row r="82" spans="1:13" x14ac:dyDescent="0.3">
      <c r="A82" t="s">
        <v>230</v>
      </c>
      <c r="B82" t="s">
        <v>23</v>
      </c>
      <c r="C82" s="2">
        <v>45546</v>
      </c>
      <c r="D82" t="s">
        <v>15</v>
      </c>
      <c r="E82" t="s">
        <v>38</v>
      </c>
      <c r="F82" s="3">
        <v>3906</v>
      </c>
      <c r="G82" s="3">
        <v>1187</v>
      </c>
      <c r="H82" s="3">
        <v>589</v>
      </c>
      <c r="I82" s="3">
        <v>401</v>
      </c>
      <c r="J82" s="3">
        <v>52687</v>
      </c>
      <c r="K82" s="3">
        <v>196498</v>
      </c>
      <c r="L82" s="4">
        <v>2.8916324848090098E-2</v>
      </c>
      <c r="M82" t="s">
        <v>17</v>
      </c>
    </row>
    <row r="83" spans="1:13" x14ac:dyDescent="0.3">
      <c r="A83" t="s">
        <v>62</v>
      </c>
      <c r="B83" t="s">
        <v>41</v>
      </c>
      <c r="C83" s="2">
        <v>45552</v>
      </c>
      <c r="D83" t="s">
        <v>24</v>
      </c>
      <c r="E83" t="s">
        <v>42</v>
      </c>
      <c r="F83" s="3">
        <v>20017</v>
      </c>
      <c r="G83" s="3">
        <v>495</v>
      </c>
      <c r="H83" s="3">
        <v>178</v>
      </c>
      <c r="I83" s="3">
        <v>2683</v>
      </c>
      <c r="J83" s="3">
        <v>32244</v>
      </c>
      <c r="K83" s="3">
        <v>182633</v>
      </c>
      <c r="L83" s="4">
        <v>0.113287302951821</v>
      </c>
      <c r="M83" t="s">
        <v>17</v>
      </c>
    </row>
    <row r="84" spans="1:13" x14ac:dyDescent="0.3">
      <c r="A84" t="s">
        <v>321</v>
      </c>
      <c r="B84" t="s">
        <v>14</v>
      </c>
      <c r="C84" s="2">
        <v>45552</v>
      </c>
      <c r="D84" t="s">
        <v>28</v>
      </c>
      <c r="E84" t="s">
        <v>36</v>
      </c>
      <c r="F84" s="3">
        <v>20410</v>
      </c>
      <c r="G84" s="3">
        <v>1332</v>
      </c>
      <c r="H84" s="3">
        <v>472</v>
      </c>
      <c r="I84" s="3">
        <v>1202</v>
      </c>
      <c r="J84" s="3">
        <v>9418</v>
      </c>
      <c r="K84" s="3">
        <v>200806</v>
      </c>
      <c r="L84" s="4">
        <v>0.110624184536319</v>
      </c>
      <c r="M84" t="s">
        <v>17</v>
      </c>
    </row>
    <row r="85" spans="1:13" x14ac:dyDescent="0.3">
      <c r="A85" t="s">
        <v>167</v>
      </c>
      <c r="B85" t="s">
        <v>19</v>
      </c>
      <c r="C85" s="2">
        <v>45564</v>
      </c>
      <c r="D85" t="s">
        <v>35</v>
      </c>
      <c r="E85" t="s">
        <v>20</v>
      </c>
      <c r="F85" s="3">
        <v>10472</v>
      </c>
      <c r="G85" s="3">
        <v>401</v>
      </c>
      <c r="H85" s="3">
        <v>668</v>
      </c>
      <c r="I85" s="3">
        <v>383</v>
      </c>
      <c r="J85" s="3">
        <v>37571</v>
      </c>
      <c r="K85" s="3">
        <v>249203</v>
      </c>
      <c r="L85" s="4">
        <v>4.6311641513143903E-2</v>
      </c>
      <c r="M85" t="s">
        <v>26</v>
      </c>
    </row>
    <row r="86" spans="1:13" x14ac:dyDescent="0.3">
      <c r="A86" t="s">
        <v>159</v>
      </c>
      <c r="B86" t="s">
        <v>23</v>
      </c>
      <c r="C86" s="2">
        <v>45567</v>
      </c>
      <c r="D86" t="s">
        <v>28</v>
      </c>
      <c r="E86" t="s">
        <v>56</v>
      </c>
      <c r="F86" s="3">
        <v>9350</v>
      </c>
      <c r="G86" s="3">
        <v>1024</v>
      </c>
      <c r="H86" s="3">
        <v>550</v>
      </c>
      <c r="I86" s="3">
        <v>2123</v>
      </c>
      <c r="J86" s="3">
        <v>53916</v>
      </c>
      <c r="K86" s="3">
        <v>108785</v>
      </c>
      <c r="L86" s="4">
        <v>0.10041825619340899</v>
      </c>
      <c r="M86" t="s">
        <v>26</v>
      </c>
    </row>
    <row r="87" spans="1:13" x14ac:dyDescent="0.3">
      <c r="A87" t="s">
        <v>180</v>
      </c>
      <c r="B87" t="s">
        <v>19</v>
      </c>
      <c r="C87" s="2">
        <v>45567</v>
      </c>
      <c r="D87" t="s">
        <v>15</v>
      </c>
      <c r="E87" t="s">
        <v>25</v>
      </c>
      <c r="F87" s="3">
        <v>15716</v>
      </c>
      <c r="G87" s="3">
        <v>839</v>
      </c>
      <c r="H87" s="3">
        <v>639</v>
      </c>
      <c r="I87" s="3">
        <v>2839</v>
      </c>
      <c r="J87" s="3">
        <v>349</v>
      </c>
      <c r="K87" s="3">
        <v>150677</v>
      </c>
      <c r="L87" s="4">
        <v>0.114111642785561</v>
      </c>
      <c r="M87" t="s">
        <v>26</v>
      </c>
    </row>
    <row r="88" spans="1:13" x14ac:dyDescent="0.3">
      <c r="A88" t="s">
        <v>231</v>
      </c>
      <c r="B88" t="s">
        <v>14</v>
      </c>
      <c r="C88" s="2">
        <v>45567</v>
      </c>
      <c r="D88" t="s">
        <v>28</v>
      </c>
      <c r="E88" t="s">
        <v>36</v>
      </c>
      <c r="F88" s="3">
        <v>5086</v>
      </c>
      <c r="G88" s="3">
        <v>1336</v>
      </c>
      <c r="H88" s="3">
        <v>897</v>
      </c>
      <c r="I88" s="3">
        <v>1715</v>
      </c>
      <c r="J88" s="3">
        <v>60592</v>
      </c>
      <c r="K88" s="3">
        <v>57772</v>
      </c>
      <c r="L88" s="4">
        <v>0.12668766876687701</v>
      </c>
      <c r="M88" t="s">
        <v>26</v>
      </c>
    </row>
    <row r="89" spans="1:13" x14ac:dyDescent="0.3">
      <c r="A89" t="s">
        <v>319</v>
      </c>
      <c r="B89" t="s">
        <v>19</v>
      </c>
      <c r="C89" s="2">
        <v>45568</v>
      </c>
      <c r="D89" t="s">
        <v>15</v>
      </c>
      <c r="E89" t="s">
        <v>29</v>
      </c>
      <c r="F89" s="3">
        <v>22618</v>
      </c>
      <c r="G89" s="3">
        <v>641</v>
      </c>
      <c r="H89" s="3">
        <v>416</v>
      </c>
      <c r="I89" s="3">
        <v>1530</v>
      </c>
      <c r="J89" s="3">
        <v>18395</v>
      </c>
      <c r="K89" s="3">
        <v>215211</v>
      </c>
      <c r="L89" s="4">
        <v>0.110008317418719</v>
      </c>
      <c r="M89" t="s">
        <v>46</v>
      </c>
    </row>
    <row r="90" spans="1:13" x14ac:dyDescent="0.3">
      <c r="A90" t="s">
        <v>227</v>
      </c>
      <c r="B90" t="s">
        <v>41</v>
      </c>
      <c r="C90" s="2">
        <v>45569</v>
      </c>
      <c r="D90" t="s">
        <v>15</v>
      </c>
      <c r="E90" t="s">
        <v>36</v>
      </c>
      <c r="F90" s="3">
        <v>21729</v>
      </c>
      <c r="G90" s="3">
        <v>1209</v>
      </c>
      <c r="H90" s="3">
        <v>897</v>
      </c>
      <c r="I90" s="3">
        <v>1624</v>
      </c>
      <c r="J90" s="3">
        <v>38771</v>
      </c>
      <c r="K90" s="3">
        <v>113297</v>
      </c>
      <c r="L90" s="4">
        <v>0.21037626768581699</v>
      </c>
      <c r="M90" t="s">
        <v>30</v>
      </c>
    </row>
    <row r="91" spans="1:13" x14ac:dyDescent="0.3">
      <c r="A91" t="s">
        <v>304</v>
      </c>
      <c r="B91" t="s">
        <v>19</v>
      </c>
      <c r="C91" s="2">
        <v>45569</v>
      </c>
      <c r="D91" t="s">
        <v>28</v>
      </c>
      <c r="E91" t="s">
        <v>51</v>
      </c>
      <c r="F91" s="3">
        <v>15746</v>
      </c>
      <c r="G91" s="3">
        <v>258</v>
      </c>
      <c r="H91" s="3">
        <v>839</v>
      </c>
      <c r="I91" s="3">
        <v>2656</v>
      </c>
      <c r="J91" s="3">
        <v>66614</v>
      </c>
      <c r="K91" s="3">
        <v>213724</v>
      </c>
      <c r="L91" s="4">
        <v>7.8807246729426697E-2</v>
      </c>
      <c r="M91" t="s">
        <v>26</v>
      </c>
    </row>
    <row r="92" spans="1:13" x14ac:dyDescent="0.3">
      <c r="A92" t="s">
        <v>149</v>
      </c>
      <c r="B92" t="s">
        <v>14</v>
      </c>
      <c r="C92" s="2">
        <v>45570</v>
      </c>
      <c r="D92" t="s">
        <v>35</v>
      </c>
      <c r="E92" t="s">
        <v>20</v>
      </c>
      <c r="F92" s="3">
        <v>16388</v>
      </c>
      <c r="G92" s="3">
        <v>1208</v>
      </c>
      <c r="H92" s="3">
        <v>417</v>
      </c>
      <c r="I92" s="3">
        <v>2306</v>
      </c>
      <c r="J92" s="3">
        <v>16865</v>
      </c>
      <c r="K92" s="3">
        <v>236733</v>
      </c>
      <c r="L92" s="4">
        <v>7.6089940988370894E-2</v>
      </c>
      <c r="M92" t="s">
        <v>17</v>
      </c>
    </row>
    <row r="93" spans="1:13" x14ac:dyDescent="0.3">
      <c r="A93" t="s">
        <v>259</v>
      </c>
      <c r="B93" t="s">
        <v>14</v>
      </c>
      <c r="C93" s="2">
        <v>45573</v>
      </c>
      <c r="D93" t="s">
        <v>24</v>
      </c>
      <c r="E93" t="s">
        <v>65</v>
      </c>
      <c r="F93" s="3">
        <v>8738</v>
      </c>
      <c r="G93" s="3">
        <v>295</v>
      </c>
      <c r="H93" s="3">
        <v>529</v>
      </c>
      <c r="I93" s="3">
        <v>442</v>
      </c>
      <c r="J93" s="3">
        <v>25286</v>
      </c>
      <c r="K93" s="3">
        <v>147522</v>
      </c>
      <c r="L93" s="4">
        <v>6.4817450956467501E-2</v>
      </c>
      <c r="M93" t="s">
        <v>30</v>
      </c>
    </row>
    <row r="94" spans="1:13" x14ac:dyDescent="0.3">
      <c r="A94" t="s">
        <v>191</v>
      </c>
      <c r="B94" t="s">
        <v>14</v>
      </c>
      <c r="C94" s="2">
        <v>45574</v>
      </c>
      <c r="D94" t="s">
        <v>28</v>
      </c>
      <c r="E94" t="s">
        <v>42</v>
      </c>
      <c r="F94" s="3">
        <v>7240</v>
      </c>
      <c r="G94" s="3">
        <v>1384</v>
      </c>
      <c r="H94" s="3">
        <v>954</v>
      </c>
      <c r="I94" s="3">
        <v>2335</v>
      </c>
      <c r="J94" s="3">
        <v>6757</v>
      </c>
      <c r="K94" s="3">
        <v>150448</v>
      </c>
      <c r="L94" s="4">
        <v>6.3663192598107002E-2</v>
      </c>
      <c r="M94" t="s">
        <v>26</v>
      </c>
    </row>
    <row r="95" spans="1:13" x14ac:dyDescent="0.3">
      <c r="A95" t="s">
        <v>283</v>
      </c>
      <c r="B95" t="s">
        <v>41</v>
      </c>
      <c r="C95" s="2">
        <v>45576</v>
      </c>
      <c r="D95" t="s">
        <v>35</v>
      </c>
      <c r="E95" t="s">
        <v>42</v>
      </c>
      <c r="F95" s="3">
        <v>19447</v>
      </c>
      <c r="G95" s="3">
        <v>1014</v>
      </c>
      <c r="H95" s="3">
        <v>256</v>
      </c>
      <c r="I95" s="3">
        <v>2354</v>
      </c>
      <c r="J95" s="3">
        <v>5472</v>
      </c>
      <c r="K95" s="3">
        <v>104106</v>
      </c>
      <c r="L95" s="4">
        <v>0.19899909707413599</v>
      </c>
      <c r="M95" t="s">
        <v>17</v>
      </c>
    </row>
    <row r="96" spans="1:13" x14ac:dyDescent="0.3">
      <c r="A96" t="s">
        <v>310</v>
      </c>
      <c r="B96" t="s">
        <v>19</v>
      </c>
      <c r="C96" s="2">
        <v>45577</v>
      </c>
      <c r="D96" t="s">
        <v>15</v>
      </c>
      <c r="E96" t="s">
        <v>116</v>
      </c>
      <c r="F96" s="3">
        <v>6208</v>
      </c>
      <c r="G96" s="3">
        <v>725</v>
      </c>
      <c r="H96" s="3">
        <v>309</v>
      </c>
      <c r="I96" s="3">
        <v>848</v>
      </c>
      <c r="J96" s="3">
        <v>39319</v>
      </c>
      <c r="K96" s="3">
        <v>225763</v>
      </c>
      <c r="L96" s="4">
        <v>3.2077886987681797E-2</v>
      </c>
      <c r="M96" t="s">
        <v>17</v>
      </c>
    </row>
    <row r="97" spans="1:13" x14ac:dyDescent="0.3">
      <c r="A97" t="s">
        <v>120</v>
      </c>
      <c r="B97" t="s">
        <v>23</v>
      </c>
      <c r="C97" s="2">
        <v>45580</v>
      </c>
      <c r="D97" t="s">
        <v>35</v>
      </c>
      <c r="E97" t="s">
        <v>33</v>
      </c>
      <c r="F97" s="3">
        <v>17781</v>
      </c>
      <c r="G97" s="3">
        <v>993</v>
      </c>
      <c r="H97" s="3">
        <v>627</v>
      </c>
      <c r="I97" s="3">
        <v>2187</v>
      </c>
      <c r="J97" s="3">
        <v>9609</v>
      </c>
      <c r="K97" s="3">
        <v>66155</v>
      </c>
      <c r="L97" s="4">
        <v>0.29326581513113098</v>
      </c>
      <c r="M97" t="s">
        <v>30</v>
      </c>
    </row>
    <row r="98" spans="1:13" x14ac:dyDescent="0.3">
      <c r="A98" t="s">
        <v>308</v>
      </c>
      <c r="B98" t="s">
        <v>41</v>
      </c>
      <c r="C98" s="2">
        <v>45582</v>
      </c>
      <c r="D98" t="s">
        <v>28</v>
      </c>
      <c r="E98" t="s">
        <v>25</v>
      </c>
      <c r="F98" s="3">
        <v>18608</v>
      </c>
      <c r="G98" s="3">
        <v>1338</v>
      </c>
      <c r="H98" s="3">
        <v>365</v>
      </c>
      <c r="I98" s="3">
        <v>2289</v>
      </c>
      <c r="J98" s="3">
        <v>20785</v>
      </c>
      <c r="K98" s="3">
        <v>161999</v>
      </c>
      <c r="L98" s="4">
        <v>0.12537731714393299</v>
      </c>
      <c r="M98" t="s">
        <v>17</v>
      </c>
    </row>
    <row r="99" spans="1:13" x14ac:dyDescent="0.3">
      <c r="A99" t="s">
        <v>138</v>
      </c>
      <c r="B99" t="s">
        <v>14</v>
      </c>
      <c r="C99" s="2">
        <v>45583</v>
      </c>
      <c r="D99" t="s">
        <v>35</v>
      </c>
      <c r="E99" t="s">
        <v>20</v>
      </c>
      <c r="F99" s="3">
        <v>6892</v>
      </c>
      <c r="G99" s="3">
        <v>1184</v>
      </c>
      <c r="H99" s="3">
        <v>925</v>
      </c>
      <c r="I99" s="3">
        <v>1062</v>
      </c>
      <c r="J99" s="3">
        <v>75008</v>
      </c>
      <c r="K99" s="3">
        <v>116260</v>
      </c>
      <c r="L99" s="4">
        <v>7.7421297092723204E-2</v>
      </c>
      <c r="M99" t="s">
        <v>46</v>
      </c>
    </row>
    <row r="100" spans="1:13" x14ac:dyDescent="0.3">
      <c r="A100" t="s">
        <v>118</v>
      </c>
      <c r="B100" t="s">
        <v>14</v>
      </c>
      <c r="C100" s="2">
        <v>45584</v>
      </c>
      <c r="D100" t="s">
        <v>35</v>
      </c>
      <c r="E100" t="s">
        <v>29</v>
      </c>
      <c r="F100" s="3">
        <v>6673</v>
      </c>
      <c r="G100" s="3">
        <v>826</v>
      </c>
      <c r="H100" s="3">
        <v>321</v>
      </c>
      <c r="I100" s="3">
        <v>577</v>
      </c>
      <c r="J100" s="3">
        <v>19262</v>
      </c>
      <c r="K100" s="3">
        <v>132324</v>
      </c>
      <c r="L100" s="4">
        <v>5.9097367068710098E-2</v>
      </c>
      <c r="M100" t="s">
        <v>46</v>
      </c>
    </row>
    <row r="101" spans="1:13" x14ac:dyDescent="0.3">
      <c r="A101" t="s">
        <v>93</v>
      </c>
      <c r="B101" t="s">
        <v>19</v>
      </c>
      <c r="C101" s="2">
        <v>45586</v>
      </c>
      <c r="D101" t="s">
        <v>28</v>
      </c>
      <c r="E101" t="s">
        <v>51</v>
      </c>
      <c r="F101" s="3">
        <v>12015</v>
      </c>
      <c r="G101" s="3">
        <v>1196</v>
      </c>
      <c r="H101" s="3">
        <v>998</v>
      </c>
      <c r="I101" s="3">
        <v>1848</v>
      </c>
      <c r="J101" s="3">
        <v>44739</v>
      </c>
      <c r="K101" s="3">
        <v>161750</v>
      </c>
      <c r="L101" s="4">
        <v>8.7845440494590393E-2</v>
      </c>
      <c r="M101" t="s">
        <v>46</v>
      </c>
    </row>
    <row r="102" spans="1:13" x14ac:dyDescent="0.3">
      <c r="A102" t="s">
        <v>129</v>
      </c>
      <c r="B102" t="s">
        <v>19</v>
      </c>
      <c r="C102" s="2">
        <v>45586</v>
      </c>
      <c r="D102" t="s">
        <v>24</v>
      </c>
      <c r="E102" t="s">
        <v>20</v>
      </c>
      <c r="F102" s="3">
        <v>19715</v>
      </c>
      <c r="G102" s="3">
        <v>1014</v>
      </c>
      <c r="H102" s="3">
        <v>718</v>
      </c>
      <c r="I102" s="3">
        <v>1185</v>
      </c>
      <c r="J102" s="3">
        <v>37625</v>
      </c>
      <c r="K102" s="3">
        <v>191409</v>
      </c>
      <c r="L102" s="4">
        <v>0.11204802282024399</v>
      </c>
      <c r="M102" t="s">
        <v>17</v>
      </c>
    </row>
    <row r="103" spans="1:13" x14ac:dyDescent="0.3">
      <c r="A103" t="s">
        <v>157</v>
      </c>
      <c r="B103" t="s">
        <v>23</v>
      </c>
      <c r="C103" s="2">
        <v>45586</v>
      </c>
      <c r="D103" t="s">
        <v>28</v>
      </c>
      <c r="E103" t="s">
        <v>29</v>
      </c>
      <c r="F103" s="3">
        <v>8254</v>
      </c>
      <c r="G103" s="3">
        <v>1405</v>
      </c>
      <c r="H103" s="3">
        <v>165</v>
      </c>
      <c r="I103" s="3">
        <v>2504</v>
      </c>
      <c r="J103" s="3">
        <v>8081</v>
      </c>
      <c r="K103" s="3">
        <v>177710</v>
      </c>
      <c r="L103" s="4">
        <v>5.5281075910190797E-2</v>
      </c>
      <c r="M103" t="s">
        <v>17</v>
      </c>
    </row>
    <row r="104" spans="1:13" x14ac:dyDescent="0.3">
      <c r="A104" t="s">
        <v>168</v>
      </c>
      <c r="B104" t="s">
        <v>19</v>
      </c>
      <c r="C104" s="2">
        <v>45586</v>
      </c>
      <c r="D104" t="s">
        <v>15</v>
      </c>
      <c r="E104" t="s">
        <v>42</v>
      </c>
      <c r="F104" s="3">
        <v>20271</v>
      </c>
      <c r="G104" s="3">
        <v>512</v>
      </c>
      <c r="H104" s="3">
        <v>286</v>
      </c>
      <c r="I104" s="3">
        <v>1982</v>
      </c>
      <c r="J104" s="3">
        <v>43225</v>
      </c>
      <c r="K104" s="3">
        <v>168335</v>
      </c>
      <c r="L104" s="4">
        <v>0.125161137018445</v>
      </c>
      <c r="M104" t="s">
        <v>30</v>
      </c>
    </row>
    <row r="105" spans="1:13" x14ac:dyDescent="0.3">
      <c r="A105" t="s">
        <v>184</v>
      </c>
      <c r="B105" t="s">
        <v>14</v>
      </c>
      <c r="C105" s="2">
        <v>45586</v>
      </c>
      <c r="D105" t="s">
        <v>24</v>
      </c>
      <c r="E105" t="s">
        <v>42</v>
      </c>
      <c r="F105" s="3">
        <v>20777</v>
      </c>
      <c r="G105" s="3">
        <v>962</v>
      </c>
      <c r="H105" s="3">
        <v>308</v>
      </c>
      <c r="I105" s="3">
        <v>2777</v>
      </c>
      <c r="J105" s="3">
        <v>25529</v>
      </c>
      <c r="K105" s="3">
        <v>165354</v>
      </c>
      <c r="L105" s="4">
        <v>0.13333212380710499</v>
      </c>
      <c r="M105" t="s">
        <v>17</v>
      </c>
    </row>
    <row r="106" spans="1:13" x14ac:dyDescent="0.3">
      <c r="A106" t="s">
        <v>193</v>
      </c>
      <c r="B106" t="s">
        <v>41</v>
      </c>
      <c r="C106" s="2">
        <v>45587</v>
      </c>
      <c r="D106" t="s">
        <v>24</v>
      </c>
      <c r="E106" t="s">
        <v>36</v>
      </c>
      <c r="F106" s="3">
        <v>12478</v>
      </c>
      <c r="G106" s="3">
        <v>484</v>
      </c>
      <c r="H106" s="3">
        <v>332</v>
      </c>
      <c r="I106" s="3">
        <v>2734</v>
      </c>
      <c r="J106" s="3">
        <v>43338</v>
      </c>
      <c r="K106" s="3">
        <v>213895</v>
      </c>
      <c r="L106" s="4">
        <v>6.2151990462610197E-2</v>
      </c>
      <c r="M106" t="s">
        <v>30</v>
      </c>
    </row>
    <row r="107" spans="1:13" x14ac:dyDescent="0.3">
      <c r="A107" t="s">
        <v>234</v>
      </c>
      <c r="B107" t="s">
        <v>41</v>
      </c>
      <c r="C107" s="2">
        <v>45587</v>
      </c>
      <c r="D107" t="s">
        <v>24</v>
      </c>
      <c r="E107" t="s">
        <v>25</v>
      </c>
      <c r="F107" s="3">
        <v>7750</v>
      </c>
      <c r="G107" s="3">
        <v>1146</v>
      </c>
      <c r="H107" s="3">
        <v>415</v>
      </c>
      <c r="I107" s="3">
        <v>1411</v>
      </c>
      <c r="J107" s="3">
        <v>85339</v>
      </c>
      <c r="K107" s="3">
        <v>172439</v>
      </c>
      <c r="L107" s="4">
        <v>5.3995905798572198E-2</v>
      </c>
      <c r="M107" t="s">
        <v>26</v>
      </c>
    </row>
    <row r="108" spans="1:13" x14ac:dyDescent="0.3">
      <c r="A108" t="s">
        <v>274</v>
      </c>
      <c r="B108" t="s">
        <v>41</v>
      </c>
      <c r="C108" s="2">
        <v>45587</v>
      </c>
      <c r="D108" t="s">
        <v>35</v>
      </c>
      <c r="E108" t="s">
        <v>25</v>
      </c>
      <c r="F108" s="3">
        <v>7622</v>
      </c>
      <c r="G108" s="3">
        <v>529</v>
      </c>
      <c r="H108" s="3">
        <v>720</v>
      </c>
      <c r="I108" s="3">
        <v>1015</v>
      </c>
      <c r="J108" s="3">
        <v>71322</v>
      </c>
      <c r="K108" s="3">
        <v>86819</v>
      </c>
      <c r="L108" s="4">
        <v>0.1021780946567</v>
      </c>
      <c r="M108" t="s">
        <v>46</v>
      </c>
    </row>
    <row r="109" spans="1:13" x14ac:dyDescent="0.3">
      <c r="A109" t="s">
        <v>298</v>
      </c>
      <c r="B109" t="s">
        <v>23</v>
      </c>
      <c r="C109" s="2">
        <v>45592</v>
      </c>
      <c r="D109" t="s">
        <v>35</v>
      </c>
      <c r="E109" t="s">
        <v>16</v>
      </c>
      <c r="F109" s="3">
        <v>7560</v>
      </c>
      <c r="G109" s="3">
        <v>1139</v>
      </c>
      <c r="H109" s="3">
        <v>248</v>
      </c>
      <c r="I109" s="3">
        <v>1624</v>
      </c>
      <c r="J109" s="3">
        <v>72237</v>
      </c>
      <c r="K109" s="3">
        <v>177084</v>
      </c>
      <c r="L109" s="4">
        <v>5.0524045085947898E-2</v>
      </c>
      <c r="M109" t="s">
        <v>26</v>
      </c>
    </row>
    <row r="110" spans="1:13" x14ac:dyDescent="0.3">
      <c r="A110" t="s">
        <v>110</v>
      </c>
      <c r="B110" t="s">
        <v>41</v>
      </c>
      <c r="C110" s="2">
        <v>45593</v>
      </c>
      <c r="D110" t="s">
        <v>35</v>
      </c>
      <c r="E110" t="s">
        <v>29</v>
      </c>
      <c r="F110" s="3">
        <v>21198</v>
      </c>
      <c r="G110" s="3">
        <v>1484</v>
      </c>
      <c r="H110" s="3">
        <v>174</v>
      </c>
      <c r="I110" s="3">
        <v>1293</v>
      </c>
      <c r="J110" s="3">
        <v>16330</v>
      </c>
      <c r="K110" s="3">
        <v>111635</v>
      </c>
      <c r="L110" s="4">
        <v>0.204738657231155</v>
      </c>
      <c r="M110" t="s">
        <v>30</v>
      </c>
    </row>
    <row r="111" spans="1:13" x14ac:dyDescent="0.3">
      <c r="A111" t="s">
        <v>181</v>
      </c>
      <c r="B111" t="s">
        <v>19</v>
      </c>
      <c r="C111" s="2">
        <v>45593</v>
      </c>
      <c r="D111" t="s">
        <v>35</v>
      </c>
      <c r="E111" t="s">
        <v>56</v>
      </c>
      <c r="F111" s="3">
        <v>8981</v>
      </c>
      <c r="G111" s="3">
        <v>1138</v>
      </c>
      <c r="H111" s="3">
        <v>764</v>
      </c>
      <c r="I111" s="3">
        <v>2555</v>
      </c>
      <c r="J111" s="3">
        <v>92810</v>
      </c>
      <c r="K111" s="3">
        <v>88320</v>
      </c>
      <c r="L111" s="4">
        <v>0.123222373188406</v>
      </c>
      <c r="M111" t="s">
        <v>46</v>
      </c>
    </row>
    <row r="112" spans="1:13" x14ac:dyDescent="0.3">
      <c r="A112" t="s">
        <v>176</v>
      </c>
      <c r="B112" t="s">
        <v>14</v>
      </c>
      <c r="C112" s="2">
        <v>45594</v>
      </c>
      <c r="D112" t="s">
        <v>24</v>
      </c>
      <c r="E112" t="s">
        <v>51</v>
      </c>
      <c r="F112" s="3">
        <v>23969</v>
      </c>
      <c r="G112" s="3">
        <v>1433</v>
      </c>
      <c r="H112" s="3">
        <v>372</v>
      </c>
      <c r="I112" s="3">
        <v>1092</v>
      </c>
      <c r="J112" s="3">
        <v>32147</v>
      </c>
      <c r="K112" s="3">
        <v>145823</v>
      </c>
      <c r="L112" s="4">
        <v>0.17674852389540699</v>
      </c>
      <c r="M112" t="s">
        <v>26</v>
      </c>
    </row>
    <row r="113" spans="1:13" x14ac:dyDescent="0.3">
      <c r="A113" t="s">
        <v>154</v>
      </c>
      <c r="B113" t="s">
        <v>23</v>
      </c>
      <c r="C113" s="2">
        <v>45600</v>
      </c>
      <c r="D113" t="s">
        <v>15</v>
      </c>
      <c r="E113" t="s">
        <v>51</v>
      </c>
      <c r="F113" s="3">
        <v>14015</v>
      </c>
      <c r="G113" s="3">
        <v>978</v>
      </c>
      <c r="H113" s="3">
        <v>196</v>
      </c>
      <c r="I113" s="3">
        <v>2744</v>
      </c>
      <c r="J113" s="3">
        <v>20190</v>
      </c>
      <c r="K113" s="3">
        <v>186470</v>
      </c>
      <c r="L113" s="4">
        <v>8.1455462004611998E-2</v>
      </c>
      <c r="M113" t="s">
        <v>26</v>
      </c>
    </row>
    <row r="114" spans="1:13" x14ac:dyDescent="0.3">
      <c r="A114" t="s">
        <v>155</v>
      </c>
      <c r="B114" t="s">
        <v>41</v>
      </c>
      <c r="C114" s="2">
        <v>45600</v>
      </c>
      <c r="D114" t="s">
        <v>28</v>
      </c>
      <c r="E114" t="s">
        <v>33</v>
      </c>
      <c r="F114" s="3">
        <v>14234</v>
      </c>
      <c r="G114" s="3">
        <v>1013</v>
      </c>
      <c r="H114" s="3">
        <v>437</v>
      </c>
      <c r="I114" s="3">
        <v>338</v>
      </c>
      <c r="J114" s="3">
        <v>67754</v>
      </c>
      <c r="K114" s="3">
        <v>160030</v>
      </c>
      <c r="L114" s="4">
        <v>9.8006623758045405E-2</v>
      </c>
      <c r="M114" t="s">
        <v>26</v>
      </c>
    </row>
    <row r="115" spans="1:13" x14ac:dyDescent="0.3">
      <c r="A115" t="s">
        <v>306</v>
      </c>
      <c r="B115" t="s">
        <v>14</v>
      </c>
      <c r="C115" s="2">
        <v>45601</v>
      </c>
      <c r="D115" t="s">
        <v>24</v>
      </c>
      <c r="E115" t="s">
        <v>65</v>
      </c>
      <c r="F115" s="3">
        <v>8469</v>
      </c>
      <c r="G115" s="3">
        <v>935</v>
      </c>
      <c r="H115" s="3">
        <v>211</v>
      </c>
      <c r="I115" s="3">
        <v>2635</v>
      </c>
      <c r="J115" s="3">
        <v>21890</v>
      </c>
      <c r="K115" s="3">
        <v>184539</v>
      </c>
      <c r="L115" s="4">
        <v>5.2102807536618299E-2</v>
      </c>
      <c r="M115" t="s">
        <v>46</v>
      </c>
    </row>
    <row r="116" spans="1:13" x14ac:dyDescent="0.3">
      <c r="A116" t="s">
        <v>58</v>
      </c>
      <c r="B116" t="s">
        <v>41</v>
      </c>
      <c r="C116" s="2">
        <v>45602</v>
      </c>
      <c r="D116" t="s">
        <v>35</v>
      </c>
      <c r="E116" t="s">
        <v>51</v>
      </c>
      <c r="F116" s="3">
        <v>8938</v>
      </c>
      <c r="G116" s="3">
        <v>800</v>
      </c>
      <c r="H116" s="3">
        <v>842</v>
      </c>
      <c r="I116" s="3">
        <v>2072</v>
      </c>
      <c r="J116" s="3">
        <v>31736</v>
      </c>
      <c r="K116" s="3">
        <v>59975</v>
      </c>
      <c r="L116" s="4">
        <v>0.17640683618174199</v>
      </c>
      <c r="M116" t="s">
        <v>30</v>
      </c>
    </row>
    <row r="117" spans="1:13" x14ac:dyDescent="0.3">
      <c r="A117" t="s">
        <v>328</v>
      </c>
      <c r="B117" t="s">
        <v>23</v>
      </c>
      <c r="C117" s="2">
        <v>45602</v>
      </c>
      <c r="D117" t="s">
        <v>15</v>
      </c>
      <c r="E117" t="s">
        <v>36</v>
      </c>
      <c r="F117" s="3">
        <v>11865</v>
      </c>
      <c r="G117" s="3">
        <v>241</v>
      </c>
      <c r="H117" s="3">
        <v>319</v>
      </c>
      <c r="I117" s="3">
        <v>703</v>
      </c>
      <c r="J117" s="3">
        <v>69596</v>
      </c>
      <c r="K117" s="3">
        <v>177513</v>
      </c>
      <c r="L117" s="4">
        <v>6.9994873614890193E-2</v>
      </c>
      <c r="M117" t="s">
        <v>30</v>
      </c>
    </row>
    <row r="118" spans="1:13" x14ac:dyDescent="0.3">
      <c r="A118" t="s">
        <v>112</v>
      </c>
      <c r="B118" t="s">
        <v>41</v>
      </c>
      <c r="C118" s="2">
        <v>45603</v>
      </c>
      <c r="D118" t="s">
        <v>35</v>
      </c>
      <c r="E118" t="s">
        <v>33</v>
      </c>
      <c r="F118" s="3">
        <v>17254</v>
      </c>
      <c r="G118" s="3">
        <v>246</v>
      </c>
      <c r="H118" s="3">
        <v>952</v>
      </c>
      <c r="I118" s="3">
        <v>871</v>
      </c>
      <c r="J118" s="3">
        <v>14957</v>
      </c>
      <c r="K118" s="3">
        <v>75946</v>
      </c>
      <c r="L118" s="4">
        <v>0.242962104653306</v>
      </c>
      <c r="M118" t="s">
        <v>46</v>
      </c>
    </row>
    <row r="119" spans="1:13" x14ac:dyDescent="0.3">
      <c r="A119" t="s">
        <v>131</v>
      </c>
      <c r="B119" t="s">
        <v>41</v>
      </c>
      <c r="C119" s="2">
        <v>45603</v>
      </c>
      <c r="D119" t="s">
        <v>35</v>
      </c>
      <c r="E119" t="s">
        <v>42</v>
      </c>
      <c r="F119" s="3">
        <v>11550</v>
      </c>
      <c r="G119" s="3">
        <v>501</v>
      </c>
      <c r="H119" s="3">
        <v>646</v>
      </c>
      <c r="I119" s="3">
        <v>773</v>
      </c>
      <c r="J119" s="3">
        <v>17841</v>
      </c>
      <c r="K119" s="3">
        <v>237576</v>
      </c>
      <c r="L119" s="4">
        <v>5.3443950567397397E-2</v>
      </c>
      <c r="M119" t="s">
        <v>30</v>
      </c>
    </row>
    <row r="120" spans="1:13" x14ac:dyDescent="0.3">
      <c r="A120" t="s">
        <v>132</v>
      </c>
      <c r="B120" t="s">
        <v>41</v>
      </c>
      <c r="C120" s="2">
        <v>45604</v>
      </c>
      <c r="D120" t="s">
        <v>24</v>
      </c>
      <c r="E120" t="s">
        <v>29</v>
      </c>
      <c r="F120" s="3">
        <v>23499</v>
      </c>
      <c r="G120" s="3">
        <v>562</v>
      </c>
      <c r="H120" s="3">
        <v>964</v>
      </c>
      <c r="I120" s="3">
        <v>2557</v>
      </c>
      <c r="J120" s="3">
        <v>56890</v>
      </c>
      <c r="K120" s="3">
        <v>218686</v>
      </c>
      <c r="L120" s="4">
        <v>0.11443347996670999</v>
      </c>
      <c r="M120" t="s">
        <v>30</v>
      </c>
    </row>
    <row r="121" spans="1:13" x14ac:dyDescent="0.3">
      <c r="A121" t="s">
        <v>205</v>
      </c>
      <c r="B121" t="s">
        <v>14</v>
      </c>
      <c r="C121" s="2">
        <v>45608</v>
      </c>
      <c r="D121" t="s">
        <v>15</v>
      </c>
      <c r="E121" t="s">
        <v>20</v>
      </c>
      <c r="F121" s="3">
        <v>19022</v>
      </c>
      <c r="G121" s="3">
        <v>541</v>
      </c>
      <c r="H121" s="3">
        <v>575</v>
      </c>
      <c r="I121" s="3">
        <v>2063</v>
      </c>
      <c r="J121" s="3">
        <v>42743</v>
      </c>
      <c r="K121" s="3">
        <v>150169</v>
      </c>
      <c r="L121" s="4">
        <v>0.134102244804187</v>
      </c>
      <c r="M121" t="s">
        <v>17</v>
      </c>
    </row>
    <row r="122" spans="1:13" x14ac:dyDescent="0.3">
      <c r="A122" t="s">
        <v>260</v>
      </c>
      <c r="B122" t="s">
        <v>41</v>
      </c>
      <c r="C122" s="2">
        <v>45608</v>
      </c>
      <c r="D122" t="s">
        <v>28</v>
      </c>
      <c r="E122" t="s">
        <v>25</v>
      </c>
      <c r="F122" s="3">
        <v>17913</v>
      </c>
      <c r="G122" s="3">
        <v>1311</v>
      </c>
      <c r="H122" s="3">
        <v>859</v>
      </c>
      <c r="I122" s="3">
        <v>405</v>
      </c>
      <c r="J122" s="3">
        <v>59842</v>
      </c>
      <c r="K122" s="3">
        <v>62612</v>
      </c>
      <c r="L122" s="4">
        <v>0.32075321024723702</v>
      </c>
      <c r="M122" t="s">
        <v>26</v>
      </c>
    </row>
    <row r="123" spans="1:13" x14ac:dyDescent="0.3">
      <c r="A123" t="s">
        <v>151</v>
      </c>
      <c r="B123" t="s">
        <v>41</v>
      </c>
      <c r="C123" s="2">
        <v>45610</v>
      </c>
      <c r="D123" t="s">
        <v>15</v>
      </c>
      <c r="E123" t="s">
        <v>25</v>
      </c>
      <c r="F123" s="3">
        <v>6300</v>
      </c>
      <c r="G123" s="3">
        <v>1213</v>
      </c>
      <c r="H123" s="3">
        <v>720</v>
      </c>
      <c r="I123" s="3">
        <v>1037</v>
      </c>
      <c r="J123" s="3">
        <v>39569</v>
      </c>
      <c r="K123" s="3">
        <v>85272</v>
      </c>
      <c r="L123" s="4">
        <v>9.6549863964724605E-2</v>
      </c>
      <c r="M123" t="s">
        <v>30</v>
      </c>
    </row>
    <row r="124" spans="1:13" x14ac:dyDescent="0.3">
      <c r="A124" t="s">
        <v>329</v>
      </c>
      <c r="B124" t="s">
        <v>14</v>
      </c>
      <c r="C124" s="2">
        <v>45613</v>
      </c>
      <c r="D124" t="s">
        <v>35</v>
      </c>
      <c r="E124" t="s">
        <v>36</v>
      </c>
      <c r="F124" s="3">
        <v>4219</v>
      </c>
      <c r="G124" s="3">
        <v>240</v>
      </c>
      <c r="H124" s="3">
        <v>670</v>
      </c>
      <c r="I124" s="3">
        <v>815</v>
      </c>
      <c r="J124" s="3">
        <v>11978</v>
      </c>
      <c r="K124" s="3">
        <v>159735</v>
      </c>
      <c r="L124" s="4">
        <v>3.2109431245500399E-2</v>
      </c>
      <c r="M124" t="s">
        <v>30</v>
      </c>
    </row>
    <row r="125" spans="1:13" x14ac:dyDescent="0.3">
      <c r="A125" t="s">
        <v>45</v>
      </c>
      <c r="B125" t="s">
        <v>14</v>
      </c>
      <c r="C125" s="2">
        <v>45614</v>
      </c>
      <c r="D125" t="s">
        <v>35</v>
      </c>
      <c r="E125" t="s">
        <v>36</v>
      </c>
      <c r="F125" s="3">
        <v>21255</v>
      </c>
      <c r="G125" s="3">
        <v>1452</v>
      </c>
      <c r="H125" s="3">
        <v>625</v>
      </c>
      <c r="I125" s="3">
        <v>1624</v>
      </c>
      <c r="J125" s="3">
        <v>21282</v>
      </c>
      <c r="K125" s="3">
        <v>57778</v>
      </c>
      <c r="L125" s="4">
        <v>0.40382152376336999</v>
      </c>
      <c r="M125" t="s">
        <v>46</v>
      </c>
    </row>
    <row r="126" spans="1:13" x14ac:dyDescent="0.3">
      <c r="A126" t="s">
        <v>240</v>
      </c>
      <c r="B126" t="s">
        <v>14</v>
      </c>
      <c r="C126" s="2">
        <v>45617</v>
      </c>
      <c r="D126" t="s">
        <v>15</v>
      </c>
      <c r="E126" t="s">
        <v>38</v>
      </c>
      <c r="F126" s="3">
        <v>8229</v>
      </c>
      <c r="G126" s="3">
        <v>977</v>
      </c>
      <c r="H126" s="3">
        <v>152</v>
      </c>
      <c r="I126" s="3">
        <v>1633</v>
      </c>
      <c r="J126" s="3">
        <v>71447</v>
      </c>
      <c r="K126" s="3">
        <v>67723</v>
      </c>
      <c r="L126" s="4">
        <v>0.138180529509915</v>
      </c>
      <c r="M126" t="s">
        <v>46</v>
      </c>
    </row>
    <row r="127" spans="1:13" x14ac:dyDescent="0.3">
      <c r="A127" t="s">
        <v>148</v>
      </c>
      <c r="B127" t="s">
        <v>19</v>
      </c>
      <c r="C127" s="2">
        <v>45619</v>
      </c>
      <c r="D127" t="s">
        <v>24</v>
      </c>
      <c r="E127" t="s">
        <v>33</v>
      </c>
      <c r="F127" s="3">
        <v>9941</v>
      </c>
      <c r="G127" s="3">
        <v>1329</v>
      </c>
      <c r="H127" s="3">
        <v>238</v>
      </c>
      <c r="I127" s="3">
        <v>869</v>
      </c>
      <c r="J127" s="3">
        <v>40281</v>
      </c>
      <c r="K127" s="3">
        <v>172311</v>
      </c>
      <c r="L127" s="4">
        <v>6.6786217943137702E-2</v>
      </c>
      <c r="M127" t="s">
        <v>26</v>
      </c>
    </row>
    <row r="128" spans="1:13" x14ac:dyDescent="0.3">
      <c r="A128" t="s">
        <v>303</v>
      </c>
      <c r="B128" t="s">
        <v>41</v>
      </c>
      <c r="C128" s="2">
        <v>45621</v>
      </c>
      <c r="D128" t="s">
        <v>28</v>
      </c>
      <c r="E128" t="s">
        <v>42</v>
      </c>
      <c r="F128" s="3">
        <v>17385</v>
      </c>
      <c r="G128" s="3">
        <v>831</v>
      </c>
      <c r="H128" s="3">
        <v>568</v>
      </c>
      <c r="I128" s="3">
        <v>2227</v>
      </c>
      <c r="J128" s="3">
        <v>49351</v>
      </c>
      <c r="K128" s="3">
        <v>207450</v>
      </c>
      <c r="L128" s="4">
        <v>9.0547119787900698E-2</v>
      </c>
      <c r="M128" t="s">
        <v>26</v>
      </c>
    </row>
    <row r="129" spans="1:13" x14ac:dyDescent="0.3">
      <c r="A129" t="s">
        <v>315</v>
      </c>
      <c r="B129" t="s">
        <v>41</v>
      </c>
      <c r="C129" s="2">
        <v>45622</v>
      </c>
      <c r="D129" t="s">
        <v>28</v>
      </c>
      <c r="E129" t="s">
        <v>36</v>
      </c>
      <c r="F129" s="3">
        <v>14607</v>
      </c>
      <c r="G129" s="3">
        <v>1458</v>
      </c>
      <c r="H129" s="3">
        <v>478</v>
      </c>
      <c r="I129" s="3">
        <v>334</v>
      </c>
      <c r="J129" s="3">
        <v>49257</v>
      </c>
      <c r="K129" s="3">
        <v>214668</v>
      </c>
      <c r="L129" s="4">
        <v>7.7063185942944396E-2</v>
      </c>
      <c r="M129" t="s">
        <v>30</v>
      </c>
    </row>
    <row r="130" spans="1:13" x14ac:dyDescent="0.3">
      <c r="A130" t="s">
        <v>172</v>
      </c>
      <c r="B130" t="s">
        <v>14</v>
      </c>
      <c r="C130" s="2">
        <v>45624</v>
      </c>
      <c r="D130" t="s">
        <v>35</v>
      </c>
      <c r="E130" t="s">
        <v>42</v>
      </c>
      <c r="F130" s="3">
        <v>19055</v>
      </c>
      <c r="G130" s="3">
        <v>443</v>
      </c>
      <c r="H130" s="3">
        <v>976</v>
      </c>
      <c r="I130" s="3">
        <v>869</v>
      </c>
      <c r="J130" s="3">
        <v>75437</v>
      </c>
      <c r="K130" s="3">
        <v>161863</v>
      </c>
      <c r="L130" s="4">
        <v>0.12648968572187599</v>
      </c>
      <c r="M130" t="s">
        <v>26</v>
      </c>
    </row>
    <row r="131" spans="1:13" x14ac:dyDescent="0.3">
      <c r="A131" t="s">
        <v>204</v>
      </c>
      <c r="B131" t="s">
        <v>19</v>
      </c>
      <c r="C131" s="2">
        <v>45624</v>
      </c>
      <c r="D131" t="s">
        <v>35</v>
      </c>
      <c r="E131" t="s">
        <v>51</v>
      </c>
      <c r="F131" s="3">
        <v>2302</v>
      </c>
      <c r="G131" s="3">
        <v>347</v>
      </c>
      <c r="H131" s="3">
        <v>642</v>
      </c>
      <c r="I131" s="3">
        <v>2175</v>
      </c>
      <c r="J131" s="3">
        <v>56378</v>
      </c>
      <c r="K131" s="3">
        <v>198056</v>
      </c>
      <c r="L131" s="4">
        <v>1.6616512501514701E-2</v>
      </c>
      <c r="M131" t="s">
        <v>46</v>
      </c>
    </row>
    <row r="132" spans="1:13" x14ac:dyDescent="0.3">
      <c r="A132" t="s">
        <v>326</v>
      </c>
      <c r="B132" t="s">
        <v>23</v>
      </c>
      <c r="C132" s="2">
        <v>45624</v>
      </c>
      <c r="D132" t="s">
        <v>35</v>
      </c>
      <c r="E132" t="s">
        <v>36</v>
      </c>
      <c r="F132" s="3">
        <v>18644</v>
      </c>
      <c r="G132" s="3">
        <v>1369</v>
      </c>
      <c r="H132" s="3">
        <v>887</v>
      </c>
      <c r="I132" s="3">
        <v>1256</v>
      </c>
      <c r="J132" s="3">
        <v>43415</v>
      </c>
      <c r="K132" s="3">
        <v>88368</v>
      </c>
      <c r="L132" s="4">
        <v>0.23651095419156301</v>
      </c>
      <c r="M132" t="s">
        <v>26</v>
      </c>
    </row>
    <row r="133" spans="1:13" x14ac:dyDescent="0.3">
      <c r="A133" t="s">
        <v>71</v>
      </c>
      <c r="B133" t="s">
        <v>41</v>
      </c>
      <c r="C133" s="2">
        <v>45626</v>
      </c>
      <c r="D133" t="s">
        <v>28</v>
      </c>
      <c r="E133" t="s">
        <v>51</v>
      </c>
      <c r="F133" s="3">
        <v>14763</v>
      </c>
      <c r="G133" s="3">
        <v>864</v>
      </c>
      <c r="H133" s="3">
        <v>336</v>
      </c>
      <c r="I133" s="3">
        <v>1493</v>
      </c>
      <c r="J133" s="3">
        <v>33310</v>
      </c>
      <c r="K133" s="3">
        <v>165932</v>
      </c>
      <c r="L133" s="4">
        <v>9.6202058674637797E-2</v>
      </c>
      <c r="M133" t="s">
        <v>30</v>
      </c>
    </row>
    <row r="134" spans="1:13" x14ac:dyDescent="0.3">
      <c r="A134" t="s">
        <v>206</v>
      </c>
      <c r="B134" t="s">
        <v>14</v>
      </c>
      <c r="C134" s="2">
        <v>45629</v>
      </c>
      <c r="D134" t="s">
        <v>15</v>
      </c>
      <c r="E134" t="s">
        <v>36</v>
      </c>
      <c r="F134" s="3">
        <v>2055</v>
      </c>
      <c r="G134" s="3">
        <v>675</v>
      </c>
      <c r="H134" s="3">
        <v>257</v>
      </c>
      <c r="I134" s="3">
        <v>820</v>
      </c>
      <c r="J134" s="3">
        <v>33534</v>
      </c>
      <c r="K134" s="3">
        <v>48125</v>
      </c>
      <c r="L134" s="4">
        <v>6.20675324675325E-2</v>
      </c>
      <c r="M134" t="s">
        <v>17</v>
      </c>
    </row>
    <row r="135" spans="1:13" x14ac:dyDescent="0.3">
      <c r="A135" t="s">
        <v>210</v>
      </c>
      <c r="B135" t="s">
        <v>14</v>
      </c>
      <c r="C135" s="2">
        <v>45631</v>
      </c>
      <c r="D135" t="s">
        <v>24</v>
      </c>
      <c r="E135" t="s">
        <v>51</v>
      </c>
      <c r="F135" s="3">
        <v>4125</v>
      </c>
      <c r="G135" s="3">
        <v>1364</v>
      </c>
      <c r="H135" s="3">
        <v>319</v>
      </c>
      <c r="I135" s="3">
        <v>2848</v>
      </c>
      <c r="J135" s="3">
        <v>15379</v>
      </c>
      <c r="K135" s="3">
        <v>188159</v>
      </c>
      <c r="L135" s="4">
        <v>3.0867510988047301E-2</v>
      </c>
      <c r="M135" t="s">
        <v>46</v>
      </c>
    </row>
    <row r="136" spans="1:13" x14ac:dyDescent="0.3">
      <c r="A136" t="s">
        <v>104</v>
      </c>
      <c r="B136" t="s">
        <v>23</v>
      </c>
      <c r="C136" s="2">
        <v>45634</v>
      </c>
      <c r="D136" t="s">
        <v>28</v>
      </c>
      <c r="E136" t="s">
        <v>20</v>
      </c>
      <c r="F136" s="3">
        <v>10427</v>
      </c>
      <c r="G136" s="3">
        <v>1014</v>
      </c>
      <c r="H136" s="3">
        <v>166</v>
      </c>
      <c r="I136" s="3">
        <v>1649</v>
      </c>
      <c r="J136" s="3">
        <v>15145</v>
      </c>
      <c r="K136" s="3">
        <v>59816</v>
      </c>
      <c r="L136" s="4">
        <v>0.19404507155276199</v>
      </c>
      <c r="M136" t="s">
        <v>26</v>
      </c>
    </row>
    <row r="137" spans="1:13" x14ac:dyDescent="0.3">
      <c r="A137" t="s">
        <v>121</v>
      </c>
      <c r="B137" t="s">
        <v>19</v>
      </c>
      <c r="C137" s="2">
        <v>45635</v>
      </c>
      <c r="D137" t="s">
        <v>15</v>
      </c>
      <c r="E137" t="s">
        <v>20</v>
      </c>
      <c r="F137" s="3">
        <v>15051</v>
      </c>
      <c r="G137" s="3">
        <v>268</v>
      </c>
      <c r="H137" s="3">
        <v>251</v>
      </c>
      <c r="I137" s="3">
        <v>783</v>
      </c>
      <c r="J137" s="3">
        <v>34154</v>
      </c>
      <c r="K137" s="3">
        <v>119671</v>
      </c>
      <c r="L137" s="4">
        <v>0.13010670922779999</v>
      </c>
      <c r="M137" t="s">
        <v>30</v>
      </c>
    </row>
    <row r="138" spans="1:13" x14ac:dyDescent="0.3">
      <c r="A138" t="s">
        <v>130</v>
      </c>
      <c r="B138" t="s">
        <v>41</v>
      </c>
      <c r="C138" s="2">
        <v>45637</v>
      </c>
      <c r="D138" t="s">
        <v>35</v>
      </c>
      <c r="E138" t="s">
        <v>42</v>
      </c>
      <c r="F138" s="3">
        <v>22645</v>
      </c>
      <c r="G138" s="3">
        <v>545</v>
      </c>
      <c r="H138" s="3">
        <v>972</v>
      </c>
      <c r="I138" s="3">
        <v>321</v>
      </c>
      <c r="J138" s="3">
        <v>8396</v>
      </c>
      <c r="K138" s="3">
        <v>121537</v>
      </c>
      <c r="L138" s="4">
        <v>0.198803656499667</v>
      </c>
      <c r="M138" t="s">
        <v>46</v>
      </c>
    </row>
    <row r="139" spans="1:13" x14ac:dyDescent="0.3">
      <c r="A139" t="s">
        <v>67</v>
      </c>
      <c r="B139" t="s">
        <v>23</v>
      </c>
      <c r="C139" s="2">
        <v>45642</v>
      </c>
      <c r="D139" t="s">
        <v>15</v>
      </c>
      <c r="E139" t="s">
        <v>29</v>
      </c>
      <c r="F139" s="3">
        <v>2384</v>
      </c>
      <c r="G139" s="3">
        <v>1246</v>
      </c>
      <c r="H139" s="3">
        <v>160</v>
      </c>
      <c r="I139" s="3">
        <v>2004</v>
      </c>
      <c r="J139" s="3">
        <v>2701</v>
      </c>
      <c r="K139" s="3">
        <v>73142</v>
      </c>
      <c r="L139" s="4">
        <v>5.18170134806267E-2</v>
      </c>
      <c r="M139" t="s">
        <v>17</v>
      </c>
    </row>
    <row r="140" spans="1:13" x14ac:dyDescent="0.3">
      <c r="A140" t="s">
        <v>220</v>
      </c>
      <c r="B140" t="s">
        <v>41</v>
      </c>
      <c r="C140" s="2">
        <v>45643</v>
      </c>
      <c r="D140" t="s">
        <v>15</v>
      </c>
      <c r="E140" t="s">
        <v>38</v>
      </c>
      <c r="F140" s="3">
        <v>20030</v>
      </c>
      <c r="G140" s="3">
        <v>485</v>
      </c>
      <c r="H140" s="3">
        <v>888</v>
      </c>
      <c r="I140" s="3">
        <v>1643</v>
      </c>
      <c r="J140" s="3">
        <v>4322</v>
      </c>
      <c r="K140" s="3">
        <v>196995</v>
      </c>
      <c r="L140" s="4">
        <v>0.108647427599685</v>
      </c>
      <c r="M140" t="s">
        <v>26</v>
      </c>
    </row>
    <row r="141" spans="1:13" x14ac:dyDescent="0.3">
      <c r="A141" t="s">
        <v>92</v>
      </c>
      <c r="B141" t="s">
        <v>19</v>
      </c>
      <c r="C141" s="2">
        <v>45644</v>
      </c>
      <c r="D141" t="s">
        <v>24</v>
      </c>
      <c r="E141" t="s">
        <v>42</v>
      </c>
      <c r="F141" s="3">
        <v>14775</v>
      </c>
      <c r="G141" s="3">
        <v>1220</v>
      </c>
      <c r="H141" s="3">
        <v>640</v>
      </c>
      <c r="I141" s="3">
        <v>1547</v>
      </c>
      <c r="J141" s="3">
        <v>28527</v>
      </c>
      <c r="K141" s="3">
        <v>183660</v>
      </c>
      <c r="L141" s="4">
        <v>9.0574975498203203E-2</v>
      </c>
      <c r="M141" t="s">
        <v>46</v>
      </c>
    </row>
    <row r="142" spans="1:13" x14ac:dyDescent="0.3">
      <c r="A142" t="s">
        <v>192</v>
      </c>
      <c r="B142" t="s">
        <v>23</v>
      </c>
      <c r="C142" s="2">
        <v>45647</v>
      </c>
      <c r="D142" t="s">
        <v>15</v>
      </c>
      <c r="E142" t="s">
        <v>16</v>
      </c>
      <c r="F142" s="3">
        <v>12453</v>
      </c>
      <c r="G142" s="3">
        <v>376</v>
      </c>
      <c r="H142" s="3">
        <v>320</v>
      </c>
      <c r="I142" s="3">
        <v>2546</v>
      </c>
      <c r="J142" s="3">
        <v>22617</v>
      </c>
      <c r="K142" s="3">
        <v>90138</v>
      </c>
      <c r="L142" s="4">
        <v>0.14587632297144401</v>
      </c>
      <c r="M142" t="s">
        <v>26</v>
      </c>
    </row>
    <row r="143" spans="1:13" x14ac:dyDescent="0.3">
      <c r="A143" t="s">
        <v>224</v>
      </c>
      <c r="B143" t="s">
        <v>41</v>
      </c>
      <c r="C143" s="2">
        <v>45648</v>
      </c>
      <c r="D143" t="s">
        <v>24</v>
      </c>
      <c r="E143" t="s">
        <v>116</v>
      </c>
      <c r="F143" s="3">
        <v>7870</v>
      </c>
      <c r="G143" s="3">
        <v>968</v>
      </c>
      <c r="H143" s="3">
        <v>626</v>
      </c>
      <c r="I143" s="3">
        <v>465</v>
      </c>
      <c r="J143" s="3">
        <v>27184</v>
      </c>
      <c r="K143" s="3">
        <v>44114</v>
      </c>
      <c r="L143" s="4">
        <v>0.214535068232307</v>
      </c>
      <c r="M143" t="s">
        <v>46</v>
      </c>
    </row>
    <row r="144" spans="1:13" x14ac:dyDescent="0.3">
      <c r="A144" t="s">
        <v>272</v>
      </c>
      <c r="B144" t="s">
        <v>19</v>
      </c>
      <c r="C144" s="2">
        <v>45648</v>
      </c>
      <c r="D144" t="s">
        <v>24</v>
      </c>
      <c r="E144" t="s">
        <v>29</v>
      </c>
      <c r="F144" s="3">
        <v>20117</v>
      </c>
      <c r="G144" s="3">
        <v>1143</v>
      </c>
      <c r="H144" s="3">
        <v>713</v>
      </c>
      <c r="I144" s="3">
        <v>1739</v>
      </c>
      <c r="J144" s="3">
        <v>34444</v>
      </c>
      <c r="K144" s="3">
        <v>198670</v>
      </c>
      <c r="L144" s="4">
        <v>0.110600493280314</v>
      </c>
      <c r="M144" t="s">
        <v>46</v>
      </c>
    </row>
    <row r="145" spans="1:13" x14ac:dyDescent="0.3">
      <c r="A145" t="s">
        <v>13</v>
      </c>
      <c r="B145" t="s">
        <v>14</v>
      </c>
      <c r="C145" s="2">
        <v>45649</v>
      </c>
      <c r="D145" t="s">
        <v>15</v>
      </c>
      <c r="E145" t="s">
        <v>16</v>
      </c>
      <c r="F145" s="3">
        <v>24516</v>
      </c>
      <c r="G145" s="3">
        <v>976</v>
      </c>
      <c r="H145" s="3">
        <v>974</v>
      </c>
      <c r="I145" s="3">
        <v>2675</v>
      </c>
      <c r="J145" s="3">
        <v>23275</v>
      </c>
      <c r="K145" s="3">
        <v>202932</v>
      </c>
      <c r="L145" s="4">
        <v>0.13041807107799699</v>
      </c>
      <c r="M145" t="s">
        <v>17</v>
      </c>
    </row>
    <row r="146" spans="1:13" x14ac:dyDescent="0.3">
      <c r="A146" t="s">
        <v>251</v>
      </c>
      <c r="B146" t="s">
        <v>14</v>
      </c>
      <c r="C146" s="2">
        <v>45649</v>
      </c>
      <c r="D146" t="s">
        <v>28</v>
      </c>
      <c r="E146" t="s">
        <v>25</v>
      </c>
      <c r="F146" s="3">
        <v>18616</v>
      </c>
      <c r="G146" s="3">
        <v>1277</v>
      </c>
      <c r="H146" s="3">
        <v>734</v>
      </c>
      <c r="I146" s="3">
        <v>2249</v>
      </c>
      <c r="J146" s="3">
        <v>3399</v>
      </c>
      <c r="K146" s="3">
        <v>193515</v>
      </c>
      <c r="L146" s="4">
        <v>0.106591220318838</v>
      </c>
      <c r="M146" t="s">
        <v>30</v>
      </c>
    </row>
    <row r="147" spans="1:13" x14ac:dyDescent="0.3">
      <c r="A147" t="s">
        <v>334</v>
      </c>
      <c r="B147" t="s">
        <v>41</v>
      </c>
      <c r="C147" s="2">
        <v>45650</v>
      </c>
      <c r="D147" t="s">
        <v>15</v>
      </c>
      <c r="E147" t="s">
        <v>65</v>
      </c>
      <c r="F147" s="3">
        <v>10512</v>
      </c>
      <c r="G147" s="3">
        <v>1197</v>
      </c>
      <c r="H147" s="3">
        <v>544</v>
      </c>
      <c r="I147" s="3">
        <v>2012</v>
      </c>
      <c r="J147" s="3">
        <v>10245</v>
      </c>
      <c r="K147" s="3">
        <v>140102</v>
      </c>
      <c r="L147" s="4">
        <v>8.7457709383163704E-2</v>
      </c>
      <c r="M147" t="s">
        <v>17</v>
      </c>
    </row>
    <row r="148" spans="1:13" x14ac:dyDescent="0.3">
      <c r="A148" t="s">
        <v>244</v>
      </c>
      <c r="B148" t="s">
        <v>19</v>
      </c>
      <c r="C148" s="2">
        <v>45655</v>
      </c>
      <c r="D148" t="s">
        <v>35</v>
      </c>
      <c r="E148" t="s">
        <v>65</v>
      </c>
      <c r="F148" s="3">
        <v>8288</v>
      </c>
      <c r="G148" s="3">
        <v>1401</v>
      </c>
      <c r="H148" s="3">
        <v>819</v>
      </c>
      <c r="I148" s="3">
        <v>1235</v>
      </c>
      <c r="J148" s="3">
        <v>33446</v>
      </c>
      <c r="K148" s="3">
        <v>248786</v>
      </c>
      <c r="L148" s="4">
        <v>4.2237103373984099E-2</v>
      </c>
      <c r="M148" t="s">
        <v>17</v>
      </c>
    </row>
    <row r="149" spans="1:13" x14ac:dyDescent="0.3">
      <c r="A149" t="s">
        <v>208</v>
      </c>
      <c r="B149" t="s">
        <v>19</v>
      </c>
      <c r="C149" s="2">
        <v>45657</v>
      </c>
      <c r="D149" t="s">
        <v>15</v>
      </c>
      <c r="E149" t="s">
        <v>16</v>
      </c>
      <c r="F149" s="3">
        <v>10717</v>
      </c>
      <c r="G149" s="3">
        <v>760</v>
      </c>
      <c r="H149" s="3">
        <v>460</v>
      </c>
      <c r="I149" s="3">
        <v>1316</v>
      </c>
      <c r="J149" s="3">
        <v>18164</v>
      </c>
      <c r="K149" s="3">
        <v>240641</v>
      </c>
      <c r="L149" s="4">
        <v>4.96050132770392E-2</v>
      </c>
      <c r="M149" t="s">
        <v>46</v>
      </c>
    </row>
    <row r="150" spans="1:13" x14ac:dyDescent="0.3">
      <c r="A150" t="s">
        <v>190</v>
      </c>
      <c r="B150" t="s">
        <v>23</v>
      </c>
      <c r="C150" s="2">
        <v>45658</v>
      </c>
      <c r="D150" t="s">
        <v>28</v>
      </c>
      <c r="E150" t="s">
        <v>20</v>
      </c>
      <c r="F150" s="3">
        <v>24574</v>
      </c>
      <c r="G150" s="3">
        <v>909</v>
      </c>
      <c r="H150" s="3">
        <v>280</v>
      </c>
      <c r="I150" s="3">
        <v>2009</v>
      </c>
      <c r="J150" s="3">
        <v>6221</v>
      </c>
      <c r="K150" s="3">
        <v>236910</v>
      </c>
      <c r="L150" s="4">
        <v>0.108745937275759</v>
      </c>
      <c r="M150" t="s">
        <v>46</v>
      </c>
    </row>
    <row r="151" spans="1:13" x14ac:dyDescent="0.3">
      <c r="A151" t="s">
        <v>311</v>
      </c>
      <c r="B151" t="s">
        <v>19</v>
      </c>
      <c r="C151" s="2">
        <v>45658</v>
      </c>
      <c r="D151" t="s">
        <v>28</v>
      </c>
      <c r="E151" t="s">
        <v>36</v>
      </c>
      <c r="F151" s="3">
        <v>8283</v>
      </c>
      <c r="G151" s="3">
        <v>720</v>
      </c>
      <c r="H151" s="3">
        <v>888</v>
      </c>
      <c r="I151" s="3">
        <v>611</v>
      </c>
      <c r="J151" s="3">
        <v>52791</v>
      </c>
      <c r="K151" s="3">
        <v>235229</v>
      </c>
      <c r="L151" s="4">
        <v>4.2048386891072098E-2</v>
      </c>
      <c r="M151" t="s">
        <v>17</v>
      </c>
    </row>
    <row r="152" spans="1:13" x14ac:dyDescent="0.3">
      <c r="A152" t="s">
        <v>73</v>
      </c>
      <c r="B152" t="s">
        <v>19</v>
      </c>
      <c r="C152" s="2">
        <v>45663</v>
      </c>
      <c r="D152" t="s">
        <v>15</v>
      </c>
      <c r="E152" t="s">
        <v>25</v>
      </c>
      <c r="F152" s="3">
        <v>11860</v>
      </c>
      <c r="G152" s="3">
        <v>1448</v>
      </c>
      <c r="H152" s="3">
        <v>893</v>
      </c>
      <c r="I152" s="3">
        <v>490</v>
      </c>
      <c r="J152" s="3">
        <v>23518</v>
      </c>
      <c r="K152" s="3">
        <v>206205</v>
      </c>
      <c r="L152" s="4">
        <v>6.8868359157149395E-2</v>
      </c>
      <c r="M152" t="s">
        <v>17</v>
      </c>
    </row>
    <row r="153" spans="1:13" x14ac:dyDescent="0.3">
      <c r="A153" t="s">
        <v>165</v>
      </c>
      <c r="B153" t="s">
        <v>23</v>
      </c>
      <c r="C153" s="2">
        <v>45667</v>
      </c>
      <c r="D153" t="s">
        <v>35</v>
      </c>
      <c r="E153" t="s">
        <v>56</v>
      </c>
      <c r="F153" s="3">
        <v>14647</v>
      </c>
      <c r="G153" s="3">
        <v>1168</v>
      </c>
      <c r="H153" s="3">
        <v>484</v>
      </c>
      <c r="I153" s="3">
        <v>2650</v>
      </c>
      <c r="J153" s="3">
        <v>27217</v>
      </c>
      <c r="K153" s="3">
        <v>144061</v>
      </c>
      <c r="L153" s="4">
        <v>0.113139572819847</v>
      </c>
      <c r="M153" t="s">
        <v>30</v>
      </c>
    </row>
    <row r="154" spans="1:13" x14ac:dyDescent="0.3">
      <c r="A154" t="s">
        <v>222</v>
      </c>
      <c r="B154" t="s">
        <v>23</v>
      </c>
      <c r="C154" s="2">
        <v>45668</v>
      </c>
      <c r="D154" t="s">
        <v>15</v>
      </c>
      <c r="E154" t="s">
        <v>20</v>
      </c>
      <c r="F154" s="3">
        <v>21181</v>
      </c>
      <c r="G154" s="3">
        <v>1242</v>
      </c>
      <c r="H154" s="3">
        <v>963</v>
      </c>
      <c r="I154" s="3">
        <v>1689</v>
      </c>
      <c r="J154" s="3">
        <v>49329</v>
      </c>
      <c r="K154" s="3">
        <v>69165</v>
      </c>
      <c r="L154" s="4">
        <v>0.338118990819056</v>
      </c>
      <c r="M154" t="s">
        <v>17</v>
      </c>
    </row>
    <row r="155" spans="1:13" x14ac:dyDescent="0.3">
      <c r="A155" t="s">
        <v>282</v>
      </c>
      <c r="B155" t="s">
        <v>14</v>
      </c>
      <c r="C155" s="2">
        <v>45669</v>
      </c>
      <c r="D155" t="s">
        <v>15</v>
      </c>
      <c r="E155" t="s">
        <v>29</v>
      </c>
      <c r="F155" s="3">
        <v>4590</v>
      </c>
      <c r="G155" s="3">
        <v>713</v>
      </c>
      <c r="H155" s="3">
        <v>479</v>
      </c>
      <c r="I155" s="3">
        <v>2730</v>
      </c>
      <c r="J155" s="3">
        <v>41050</v>
      </c>
      <c r="K155" s="3">
        <v>204246</v>
      </c>
      <c r="L155" s="4">
        <v>2.8308999931455199E-2</v>
      </c>
      <c r="M155" t="s">
        <v>26</v>
      </c>
    </row>
    <row r="156" spans="1:13" x14ac:dyDescent="0.3">
      <c r="A156" t="s">
        <v>291</v>
      </c>
      <c r="B156" t="s">
        <v>23</v>
      </c>
      <c r="C156" s="2">
        <v>45671</v>
      </c>
      <c r="D156" t="s">
        <v>35</v>
      </c>
      <c r="E156" t="s">
        <v>51</v>
      </c>
      <c r="F156" s="3">
        <v>24350</v>
      </c>
      <c r="G156" s="3">
        <v>460</v>
      </c>
      <c r="H156" s="3">
        <v>666</v>
      </c>
      <c r="I156" s="3">
        <v>814</v>
      </c>
      <c r="J156" s="3">
        <v>21120</v>
      </c>
      <c r="K156" s="3">
        <v>76914</v>
      </c>
      <c r="L156" s="4">
        <v>0.33122708479600599</v>
      </c>
      <c r="M156" t="s">
        <v>17</v>
      </c>
    </row>
    <row r="157" spans="1:13" x14ac:dyDescent="0.3">
      <c r="A157" t="s">
        <v>238</v>
      </c>
      <c r="B157" t="s">
        <v>14</v>
      </c>
      <c r="C157" s="2">
        <v>45672</v>
      </c>
      <c r="D157" t="s">
        <v>24</v>
      </c>
      <c r="E157" t="s">
        <v>33</v>
      </c>
      <c r="F157" s="3">
        <v>20360</v>
      </c>
      <c r="G157" s="3">
        <v>254</v>
      </c>
      <c r="H157" s="3">
        <v>726</v>
      </c>
      <c r="I157" s="3">
        <v>1995</v>
      </c>
      <c r="J157" s="3">
        <v>14280</v>
      </c>
      <c r="K157" s="3">
        <v>43726</v>
      </c>
      <c r="L157" s="4">
        <v>0.48803915290673699</v>
      </c>
      <c r="M157" t="s">
        <v>30</v>
      </c>
    </row>
    <row r="158" spans="1:13" x14ac:dyDescent="0.3">
      <c r="A158" t="s">
        <v>307</v>
      </c>
      <c r="B158" t="s">
        <v>14</v>
      </c>
      <c r="C158" s="2">
        <v>45672</v>
      </c>
      <c r="D158" t="s">
        <v>24</v>
      </c>
      <c r="E158" t="s">
        <v>20</v>
      </c>
      <c r="F158" s="3">
        <v>11333</v>
      </c>
      <c r="G158" s="3">
        <v>920</v>
      </c>
      <c r="H158" s="3">
        <v>294</v>
      </c>
      <c r="I158" s="3">
        <v>606</v>
      </c>
      <c r="J158" s="3">
        <v>59490</v>
      </c>
      <c r="K158" s="3">
        <v>202082</v>
      </c>
      <c r="L158" s="4">
        <v>6.2088657079799298E-2</v>
      </c>
      <c r="M158" t="s">
        <v>26</v>
      </c>
    </row>
    <row r="159" spans="1:13" x14ac:dyDescent="0.3">
      <c r="A159" t="s">
        <v>278</v>
      </c>
      <c r="B159" t="s">
        <v>41</v>
      </c>
      <c r="C159" s="2">
        <v>45675</v>
      </c>
      <c r="D159" t="s">
        <v>24</v>
      </c>
      <c r="E159" t="s">
        <v>56</v>
      </c>
      <c r="F159" s="3">
        <v>12589</v>
      </c>
      <c r="G159" s="3">
        <v>346</v>
      </c>
      <c r="H159" s="3">
        <v>459</v>
      </c>
      <c r="I159" s="3">
        <v>1407</v>
      </c>
      <c r="J159" s="3">
        <v>29254</v>
      </c>
      <c r="K159" s="3">
        <v>198059</v>
      </c>
      <c r="L159" s="4">
        <v>6.7626313371268204E-2</v>
      </c>
      <c r="M159" t="s">
        <v>26</v>
      </c>
    </row>
    <row r="160" spans="1:13" x14ac:dyDescent="0.3">
      <c r="A160" t="s">
        <v>299</v>
      </c>
      <c r="B160" t="s">
        <v>41</v>
      </c>
      <c r="C160" s="2">
        <v>45675</v>
      </c>
      <c r="D160" t="s">
        <v>24</v>
      </c>
      <c r="E160" t="s">
        <v>56</v>
      </c>
      <c r="F160" s="3">
        <v>22673</v>
      </c>
      <c r="G160" s="3">
        <v>1053</v>
      </c>
      <c r="H160" s="3">
        <v>169</v>
      </c>
      <c r="I160" s="3">
        <v>1566</v>
      </c>
      <c r="J160" s="3">
        <v>9417</v>
      </c>
      <c r="K160" s="3">
        <v>221187</v>
      </c>
      <c r="L160" s="4">
        <v>0.108030761301523</v>
      </c>
      <c r="M160" t="s">
        <v>30</v>
      </c>
    </row>
    <row r="161" spans="1:13" x14ac:dyDescent="0.3">
      <c r="A161" t="s">
        <v>59</v>
      </c>
      <c r="B161" t="s">
        <v>19</v>
      </c>
      <c r="C161" s="2">
        <v>45680</v>
      </c>
      <c r="D161" t="s">
        <v>28</v>
      </c>
      <c r="E161" t="s">
        <v>42</v>
      </c>
      <c r="F161" s="3">
        <v>23168</v>
      </c>
      <c r="G161" s="3">
        <v>1265</v>
      </c>
      <c r="H161" s="3">
        <v>441</v>
      </c>
      <c r="I161" s="3">
        <v>1612</v>
      </c>
      <c r="J161" s="3">
        <v>66615</v>
      </c>
      <c r="K161" s="3">
        <v>197795</v>
      </c>
      <c r="L161" s="4">
        <v>0.125756465026922</v>
      </c>
      <c r="M161" t="s">
        <v>30</v>
      </c>
    </row>
    <row r="162" spans="1:13" x14ac:dyDescent="0.3">
      <c r="A162" t="s">
        <v>123</v>
      </c>
      <c r="B162" t="s">
        <v>14</v>
      </c>
      <c r="C162" s="2">
        <v>45684</v>
      </c>
      <c r="D162" t="s">
        <v>35</v>
      </c>
      <c r="E162" t="s">
        <v>42</v>
      </c>
      <c r="F162" s="3">
        <v>8949</v>
      </c>
      <c r="G162" s="3">
        <v>1477</v>
      </c>
      <c r="H162" s="3">
        <v>424</v>
      </c>
      <c r="I162" s="3">
        <v>1030</v>
      </c>
      <c r="J162" s="3">
        <v>58052</v>
      </c>
      <c r="K162" s="3">
        <v>123310</v>
      </c>
      <c r="L162" s="4">
        <v>8.7989619657773105E-2</v>
      </c>
      <c r="M162" t="s">
        <v>17</v>
      </c>
    </row>
    <row r="163" spans="1:13" x14ac:dyDescent="0.3">
      <c r="A163" t="s">
        <v>164</v>
      </c>
      <c r="B163" t="s">
        <v>41</v>
      </c>
      <c r="C163" s="2">
        <v>45684</v>
      </c>
      <c r="D163" t="s">
        <v>15</v>
      </c>
      <c r="E163" t="s">
        <v>51</v>
      </c>
      <c r="F163" s="3">
        <v>24415</v>
      </c>
      <c r="G163" s="3">
        <v>860</v>
      </c>
      <c r="H163" s="3">
        <v>931</v>
      </c>
      <c r="I163" s="3">
        <v>320</v>
      </c>
      <c r="J163" s="3">
        <v>65049</v>
      </c>
      <c r="K163" s="3">
        <v>62911</v>
      </c>
      <c r="L163" s="4">
        <v>0.41655672298961999</v>
      </c>
      <c r="M163" t="s">
        <v>17</v>
      </c>
    </row>
    <row r="164" spans="1:13" x14ac:dyDescent="0.3">
      <c r="A164" t="s">
        <v>96</v>
      </c>
      <c r="B164" t="s">
        <v>23</v>
      </c>
      <c r="C164" s="2">
        <v>45685</v>
      </c>
      <c r="D164" t="s">
        <v>24</v>
      </c>
      <c r="E164" t="s">
        <v>38</v>
      </c>
      <c r="F164" s="3">
        <v>9239</v>
      </c>
      <c r="G164" s="3">
        <v>1477</v>
      </c>
      <c r="H164" s="3">
        <v>631</v>
      </c>
      <c r="I164" s="3">
        <v>1556</v>
      </c>
      <c r="J164" s="3">
        <v>11580</v>
      </c>
      <c r="K164" s="3">
        <v>84738</v>
      </c>
      <c r="L164" s="4">
        <v>0.13390686586891401</v>
      </c>
      <c r="M164" t="s">
        <v>26</v>
      </c>
    </row>
    <row r="165" spans="1:13" x14ac:dyDescent="0.3">
      <c r="A165" t="s">
        <v>256</v>
      </c>
      <c r="B165" t="s">
        <v>19</v>
      </c>
      <c r="C165" s="2">
        <v>45685</v>
      </c>
      <c r="D165" t="s">
        <v>35</v>
      </c>
      <c r="E165" t="s">
        <v>36</v>
      </c>
      <c r="F165" s="3">
        <v>9943</v>
      </c>
      <c r="G165" s="3">
        <v>1274</v>
      </c>
      <c r="H165" s="3">
        <v>336</v>
      </c>
      <c r="I165" s="3">
        <v>389</v>
      </c>
      <c r="J165" s="3">
        <v>6145</v>
      </c>
      <c r="K165" s="3">
        <v>231305</v>
      </c>
      <c r="L165" s="4">
        <v>4.9947039623008602E-2</v>
      </c>
      <c r="M165" t="s">
        <v>17</v>
      </c>
    </row>
    <row r="166" spans="1:13" x14ac:dyDescent="0.3">
      <c r="A166" t="s">
        <v>301</v>
      </c>
      <c r="B166" t="s">
        <v>23</v>
      </c>
      <c r="C166" s="2">
        <v>45687</v>
      </c>
      <c r="D166" t="s">
        <v>24</v>
      </c>
      <c r="E166" t="s">
        <v>56</v>
      </c>
      <c r="F166" s="3">
        <v>12954</v>
      </c>
      <c r="G166" s="3">
        <v>913</v>
      </c>
      <c r="H166" s="3">
        <v>722</v>
      </c>
      <c r="I166" s="3">
        <v>1049</v>
      </c>
      <c r="J166" s="3">
        <v>475</v>
      </c>
      <c r="K166" s="3">
        <v>97716</v>
      </c>
      <c r="L166" s="4">
        <v>0.14930001228048601</v>
      </c>
      <c r="M166" t="s">
        <v>17</v>
      </c>
    </row>
    <row r="167" spans="1:13" x14ac:dyDescent="0.3">
      <c r="A167" t="s">
        <v>43</v>
      </c>
      <c r="B167" t="s">
        <v>14</v>
      </c>
      <c r="C167" s="2">
        <v>45690</v>
      </c>
      <c r="D167" t="s">
        <v>35</v>
      </c>
      <c r="E167" t="s">
        <v>29</v>
      </c>
      <c r="F167" s="3">
        <v>12136</v>
      </c>
      <c r="G167" s="3">
        <v>1117</v>
      </c>
      <c r="H167" s="3">
        <v>834</v>
      </c>
      <c r="I167" s="3">
        <v>892</v>
      </c>
      <c r="J167" s="3">
        <v>24675</v>
      </c>
      <c r="K167" s="3">
        <v>183273</v>
      </c>
      <c r="L167" s="4">
        <v>7.6863476889667298E-2</v>
      </c>
      <c r="M167" t="s">
        <v>26</v>
      </c>
    </row>
    <row r="168" spans="1:13" x14ac:dyDescent="0.3">
      <c r="A168" t="s">
        <v>143</v>
      </c>
      <c r="B168" t="s">
        <v>41</v>
      </c>
      <c r="C168" s="2">
        <v>45692</v>
      </c>
      <c r="D168" t="s">
        <v>35</v>
      </c>
      <c r="E168" t="s">
        <v>38</v>
      </c>
      <c r="F168" s="3">
        <v>23833</v>
      </c>
      <c r="G168" s="3">
        <v>555</v>
      </c>
      <c r="H168" s="3">
        <v>523</v>
      </c>
      <c r="I168" s="3">
        <v>1330</v>
      </c>
      <c r="J168" s="3">
        <v>69141</v>
      </c>
      <c r="K168" s="3">
        <v>73997</v>
      </c>
      <c r="L168" s="4">
        <v>0.33664878305877299</v>
      </c>
      <c r="M168" t="s">
        <v>30</v>
      </c>
    </row>
    <row r="169" spans="1:13" x14ac:dyDescent="0.3">
      <c r="A169" t="s">
        <v>170</v>
      </c>
      <c r="B169" t="s">
        <v>23</v>
      </c>
      <c r="C169" s="2">
        <v>45694</v>
      </c>
      <c r="D169" t="s">
        <v>15</v>
      </c>
      <c r="E169" t="s">
        <v>16</v>
      </c>
      <c r="F169" s="3">
        <v>2666</v>
      </c>
      <c r="G169" s="3">
        <v>1136</v>
      </c>
      <c r="H169" s="3">
        <v>989</v>
      </c>
      <c r="I169" s="3">
        <v>1710</v>
      </c>
      <c r="J169" s="3">
        <v>36467</v>
      </c>
      <c r="K169" s="3">
        <v>83753</v>
      </c>
      <c r="L169" s="4">
        <v>5.7203921053574198E-2</v>
      </c>
      <c r="M169" t="s">
        <v>26</v>
      </c>
    </row>
    <row r="170" spans="1:13" x14ac:dyDescent="0.3">
      <c r="A170" t="s">
        <v>156</v>
      </c>
      <c r="B170" t="s">
        <v>19</v>
      </c>
      <c r="C170" s="2">
        <v>45695</v>
      </c>
      <c r="D170" t="s">
        <v>35</v>
      </c>
      <c r="E170" t="s">
        <v>116</v>
      </c>
      <c r="F170" s="3">
        <v>20290</v>
      </c>
      <c r="G170" s="3">
        <v>619</v>
      </c>
      <c r="H170" s="3">
        <v>927</v>
      </c>
      <c r="I170" s="3">
        <v>1186</v>
      </c>
      <c r="J170" s="3">
        <v>8924</v>
      </c>
      <c r="K170" s="3">
        <v>96503</v>
      </c>
      <c r="L170" s="4">
        <v>0.22627275835984401</v>
      </c>
      <c r="M170" t="s">
        <v>46</v>
      </c>
    </row>
    <row r="171" spans="1:13" x14ac:dyDescent="0.3">
      <c r="A171" t="s">
        <v>296</v>
      </c>
      <c r="B171" t="s">
        <v>19</v>
      </c>
      <c r="C171" s="2">
        <v>45698</v>
      </c>
      <c r="D171" t="s">
        <v>35</v>
      </c>
      <c r="E171" t="s">
        <v>20</v>
      </c>
      <c r="F171" s="3">
        <v>16309</v>
      </c>
      <c r="G171" s="3">
        <v>1449</v>
      </c>
      <c r="H171" s="3">
        <v>838</v>
      </c>
      <c r="I171" s="3">
        <v>2434</v>
      </c>
      <c r="J171" s="3">
        <v>2940</v>
      </c>
      <c r="K171" s="3">
        <v>217953</v>
      </c>
      <c r="L171" s="4">
        <v>8.5321147219813404E-2</v>
      </c>
      <c r="M171" t="s">
        <v>30</v>
      </c>
    </row>
    <row r="172" spans="1:13" x14ac:dyDescent="0.3">
      <c r="A172" t="s">
        <v>333</v>
      </c>
      <c r="B172" t="s">
        <v>19</v>
      </c>
      <c r="C172" s="2">
        <v>45699</v>
      </c>
      <c r="D172" t="s">
        <v>35</v>
      </c>
      <c r="E172" t="s">
        <v>116</v>
      </c>
      <c r="F172" s="3">
        <v>3619</v>
      </c>
      <c r="G172" s="3">
        <v>1376</v>
      </c>
      <c r="H172" s="3">
        <v>410</v>
      </c>
      <c r="I172" s="3">
        <v>2499</v>
      </c>
      <c r="J172" s="3">
        <v>58146</v>
      </c>
      <c r="K172" s="3">
        <v>52149</v>
      </c>
      <c r="L172" s="4">
        <v>0.103645323975532</v>
      </c>
      <c r="M172" t="s">
        <v>17</v>
      </c>
    </row>
    <row r="173" spans="1:13" x14ac:dyDescent="0.3">
      <c r="A173" t="s">
        <v>297</v>
      </c>
      <c r="B173" t="s">
        <v>14</v>
      </c>
      <c r="C173" s="2">
        <v>45700</v>
      </c>
      <c r="D173" t="s">
        <v>28</v>
      </c>
      <c r="E173" t="s">
        <v>20</v>
      </c>
      <c r="F173" s="3">
        <v>15234</v>
      </c>
      <c r="G173" s="3">
        <v>1276</v>
      </c>
      <c r="H173" s="3">
        <v>670</v>
      </c>
      <c r="I173" s="3">
        <v>1860</v>
      </c>
      <c r="J173" s="3">
        <v>60397</v>
      </c>
      <c r="K173" s="3">
        <v>86413</v>
      </c>
      <c r="L173" s="4">
        <v>0.19881267864788901</v>
      </c>
      <c r="M173" t="s">
        <v>46</v>
      </c>
    </row>
    <row r="174" spans="1:13" x14ac:dyDescent="0.3">
      <c r="A174" t="s">
        <v>203</v>
      </c>
      <c r="B174" t="s">
        <v>23</v>
      </c>
      <c r="C174" s="2">
        <v>45704</v>
      </c>
      <c r="D174" t="s">
        <v>24</v>
      </c>
      <c r="E174" t="s">
        <v>51</v>
      </c>
      <c r="F174" s="3">
        <v>24195</v>
      </c>
      <c r="G174" s="3">
        <v>888</v>
      </c>
      <c r="H174" s="3">
        <v>165</v>
      </c>
      <c r="I174" s="3">
        <v>1559</v>
      </c>
      <c r="J174" s="3">
        <v>11596</v>
      </c>
      <c r="K174" s="3">
        <v>249988</v>
      </c>
      <c r="L174" s="4">
        <v>0.100996847848697</v>
      </c>
      <c r="M174" t="s">
        <v>26</v>
      </c>
    </row>
    <row r="175" spans="1:13" x14ac:dyDescent="0.3">
      <c r="A175" t="s">
        <v>74</v>
      </c>
      <c r="B175" t="s">
        <v>23</v>
      </c>
      <c r="C175" s="2">
        <v>45705</v>
      </c>
      <c r="D175" t="s">
        <v>24</v>
      </c>
      <c r="E175" t="s">
        <v>20</v>
      </c>
      <c r="F175" s="3">
        <v>7989</v>
      </c>
      <c r="G175" s="3">
        <v>1206</v>
      </c>
      <c r="H175" s="3">
        <v>376</v>
      </c>
      <c r="I175" s="3">
        <v>2769</v>
      </c>
      <c r="J175" s="3">
        <v>27550</v>
      </c>
      <c r="K175" s="3">
        <v>221749</v>
      </c>
      <c r="L175" s="4">
        <v>4.3161412227338103E-2</v>
      </c>
      <c r="M175" t="s">
        <v>26</v>
      </c>
    </row>
    <row r="176" spans="1:13" x14ac:dyDescent="0.3">
      <c r="A176" t="s">
        <v>247</v>
      </c>
      <c r="B176" t="s">
        <v>23</v>
      </c>
      <c r="C176" s="2">
        <v>45707</v>
      </c>
      <c r="D176" t="s">
        <v>28</v>
      </c>
      <c r="E176" t="s">
        <v>42</v>
      </c>
      <c r="F176" s="3">
        <v>8168</v>
      </c>
      <c r="G176" s="3">
        <v>512</v>
      </c>
      <c r="H176" s="3">
        <v>442</v>
      </c>
      <c r="I176" s="3">
        <v>2343</v>
      </c>
      <c r="J176" s="3">
        <v>2753</v>
      </c>
      <c r="K176" s="3">
        <v>143896</v>
      </c>
      <c r="L176" s="4">
        <v>6.33930060599322E-2</v>
      </c>
      <c r="M176" t="s">
        <v>46</v>
      </c>
    </row>
    <row r="177" spans="1:13" x14ac:dyDescent="0.3">
      <c r="A177" t="s">
        <v>302</v>
      </c>
      <c r="B177" t="s">
        <v>14</v>
      </c>
      <c r="C177" s="2">
        <v>45708</v>
      </c>
      <c r="D177" t="s">
        <v>35</v>
      </c>
      <c r="E177" t="s">
        <v>42</v>
      </c>
      <c r="F177" s="3">
        <v>15703</v>
      </c>
      <c r="G177" s="3">
        <v>1381</v>
      </c>
      <c r="H177" s="3">
        <v>639</v>
      </c>
      <c r="I177" s="3">
        <v>984</v>
      </c>
      <c r="J177" s="3">
        <v>10967</v>
      </c>
      <c r="K177" s="3">
        <v>133747</v>
      </c>
      <c r="L177" s="4">
        <v>0.132511383432899</v>
      </c>
      <c r="M177" t="s">
        <v>46</v>
      </c>
    </row>
    <row r="178" spans="1:13" x14ac:dyDescent="0.3">
      <c r="A178" t="s">
        <v>83</v>
      </c>
      <c r="B178" t="s">
        <v>19</v>
      </c>
      <c r="C178" s="2">
        <v>45712</v>
      </c>
      <c r="D178" t="s">
        <v>24</v>
      </c>
      <c r="E178" t="s">
        <v>42</v>
      </c>
      <c r="F178" s="3">
        <v>24984</v>
      </c>
      <c r="G178" s="3">
        <v>753</v>
      </c>
      <c r="H178" s="3">
        <v>461</v>
      </c>
      <c r="I178" s="3">
        <v>2710</v>
      </c>
      <c r="J178" s="3">
        <v>20792</v>
      </c>
      <c r="K178" s="3">
        <v>141520</v>
      </c>
      <c r="L178" s="4">
        <v>0.18511871113623499</v>
      </c>
      <c r="M178" t="s">
        <v>26</v>
      </c>
    </row>
    <row r="179" spans="1:13" x14ac:dyDescent="0.3">
      <c r="A179" t="s">
        <v>89</v>
      </c>
      <c r="B179" t="s">
        <v>14</v>
      </c>
      <c r="C179" s="2">
        <v>45712</v>
      </c>
      <c r="D179" t="s">
        <v>15</v>
      </c>
      <c r="E179" t="s">
        <v>51</v>
      </c>
      <c r="F179" s="3">
        <v>23949</v>
      </c>
      <c r="G179" s="3">
        <v>356</v>
      </c>
      <c r="H179" s="3">
        <v>616</v>
      </c>
      <c r="I179" s="3">
        <v>1847</v>
      </c>
      <c r="J179" s="3">
        <v>3144</v>
      </c>
      <c r="K179" s="3">
        <v>192999</v>
      </c>
      <c r="L179" s="4">
        <v>0.129125021373168</v>
      </c>
      <c r="M179" t="s">
        <v>30</v>
      </c>
    </row>
    <row r="180" spans="1:13" x14ac:dyDescent="0.3">
      <c r="A180" t="s">
        <v>66</v>
      </c>
      <c r="B180" t="s">
        <v>19</v>
      </c>
      <c r="C180" s="2">
        <v>45713</v>
      </c>
      <c r="D180" t="s">
        <v>35</v>
      </c>
      <c r="E180" t="s">
        <v>56</v>
      </c>
      <c r="F180" s="3">
        <v>10702</v>
      </c>
      <c r="G180" s="3">
        <v>621</v>
      </c>
      <c r="H180" s="3">
        <v>445</v>
      </c>
      <c r="I180" s="3">
        <v>2918</v>
      </c>
      <c r="J180" s="3">
        <v>54808</v>
      </c>
      <c r="K180" s="3">
        <v>220225</v>
      </c>
      <c r="L180" s="4">
        <v>5.3436258372119398E-2</v>
      </c>
      <c r="M180" t="s">
        <v>17</v>
      </c>
    </row>
    <row r="181" spans="1:13" x14ac:dyDescent="0.3">
      <c r="A181" t="s">
        <v>57</v>
      </c>
      <c r="B181" t="s">
        <v>23</v>
      </c>
      <c r="C181" s="2">
        <v>45715</v>
      </c>
      <c r="D181" t="s">
        <v>15</v>
      </c>
      <c r="E181" t="s">
        <v>36</v>
      </c>
      <c r="F181" s="3">
        <v>8970</v>
      </c>
      <c r="G181" s="3">
        <v>331</v>
      </c>
      <c r="H181" s="3">
        <v>968</v>
      </c>
      <c r="I181" s="3">
        <v>2296</v>
      </c>
      <c r="J181" s="3">
        <v>24613</v>
      </c>
      <c r="K181" s="3">
        <v>198562</v>
      </c>
      <c r="L181" s="4">
        <v>5.1716844109144802E-2</v>
      </c>
      <c r="M181" t="s">
        <v>30</v>
      </c>
    </row>
    <row r="182" spans="1:13" x14ac:dyDescent="0.3">
      <c r="A182" t="s">
        <v>201</v>
      </c>
      <c r="B182" t="s">
        <v>19</v>
      </c>
      <c r="C182" s="2">
        <v>45715</v>
      </c>
      <c r="D182" t="s">
        <v>15</v>
      </c>
      <c r="E182" t="s">
        <v>20</v>
      </c>
      <c r="F182" s="3">
        <v>16178</v>
      </c>
      <c r="G182" s="3">
        <v>1048</v>
      </c>
      <c r="H182" s="3">
        <v>871</v>
      </c>
      <c r="I182" s="3">
        <v>2553</v>
      </c>
      <c r="J182" s="3">
        <v>39025</v>
      </c>
      <c r="K182" s="3">
        <v>59508</v>
      </c>
      <c r="L182" s="4">
        <v>0.30411037171472699</v>
      </c>
      <c r="M182" t="s">
        <v>17</v>
      </c>
    </row>
    <row r="183" spans="1:13" x14ac:dyDescent="0.3">
      <c r="A183" t="s">
        <v>80</v>
      </c>
      <c r="B183" t="s">
        <v>19</v>
      </c>
      <c r="C183" s="2">
        <v>45718</v>
      </c>
      <c r="D183" t="s">
        <v>28</v>
      </c>
      <c r="E183" t="s">
        <v>56</v>
      </c>
      <c r="F183" s="3">
        <v>22562</v>
      </c>
      <c r="G183" s="3">
        <v>778</v>
      </c>
      <c r="H183" s="3">
        <v>907</v>
      </c>
      <c r="I183" s="3">
        <v>1354</v>
      </c>
      <c r="J183" s="3">
        <v>34475</v>
      </c>
      <c r="K183" s="3">
        <v>141459</v>
      </c>
      <c r="L183" s="4">
        <v>0.171406555963212</v>
      </c>
      <c r="M183" t="s">
        <v>30</v>
      </c>
    </row>
    <row r="184" spans="1:13" x14ac:dyDescent="0.3">
      <c r="A184" t="s">
        <v>108</v>
      </c>
      <c r="B184" t="s">
        <v>41</v>
      </c>
      <c r="C184" s="2">
        <v>45719</v>
      </c>
      <c r="D184" t="s">
        <v>35</v>
      </c>
      <c r="E184" t="s">
        <v>51</v>
      </c>
      <c r="F184" s="3">
        <v>24928</v>
      </c>
      <c r="G184" s="3">
        <v>214</v>
      </c>
      <c r="H184" s="3">
        <v>765</v>
      </c>
      <c r="I184" s="3">
        <v>1556</v>
      </c>
      <c r="J184" s="3">
        <v>5239</v>
      </c>
      <c r="K184" s="3">
        <v>194571</v>
      </c>
      <c r="L184" s="4">
        <v>0.13314933880177399</v>
      </c>
      <c r="M184" t="s">
        <v>46</v>
      </c>
    </row>
    <row r="185" spans="1:13" x14ac:dyDescent="0.3">
      <c r="A185" t="s">
        <v>249</v>
      </c>
      <c r="B185" t="s">
        <v>14</v>
      </c>
      <c r="C185" s="2">
        <v>45719</v>
      </c>
      <c r="D185" t="s">
        <v>28</v>
      </c>
      <c r="E185" t="s">
        <v>16</v>
      </c>
      <c r="F185" s="3">
        <v>9561</v>
      </c>
      <c r="G185" s="3">
        <v>642</v>
      </c>
      <c r="H185" s="3">
        <v>581</v>
      </c>
      <c r="I185" s="3">
        <v>2572</v>
      </c>
      <c r="J185" s="3">
        <v>38552</v>
      </c>
      <c r="K185" s="3">
        <v>133680</v>
      </c>
      <c r="L185" s="4">
        <v>8.0670257330939604E-2</v>
      </c>
      <c r="M185" t="s">
        <v>17</v>
      </c>
    </row>
    <row r="186" spans="1:13" x14ac:dyDescent="0.3">
      <c r="A186" t="s">
        <v>63</v>
      </c>
      <c r="B186" t="s">
        <v>41</v>
      </c>
      <c r="C186" s="2">
        <v>45720</v>
      </c>
      <c r="D186" t="s">
        <v>24</v>
      </c>
      <c r="E186" t="s">
        <v>33</v>
      </c>
      <c r="F186" s="3">
        <v>12344</v>
      </c>
      <c r="G186" s="3">
        <v>815</v>
      </c>
      <c r="H186" s="3">
        <v>298</v>
      </c>
      <c r="I186" s="3">
        <v>2439</v>
      </c>
      <c r="J186" s="3">
        <v>6259</v>
      </c>
      <c r="K186" s="3">
        <v>237133</v>
      </c>
      <c r="L186" s="4">
        <v>5.6748744375519203E-2</v>
      </c>
      <c r="M186" t="s">
        <v>30</v>
      </c>
    </row>
    <row r="187" spans="1:13" x14ac:dyDescent="0.3">
      <c r="A187" t="s">
        <v>113</v>
      </c>
      <c r="B187" t="s">
        <v>19</v>
      </c>
      <c r="C187" s="2">
        <v>45720</v>
      </c>
      <c r="D187" t="s">
        <v>35</v>
      </c>
      <c r="E187" t="s">
        <v>42</v>
      </c>
      <c r="F187" s="3">
        <v>13470</v>
      </c>
      <c r="G187" s="3">
        <v>523</v>
      </c>
      <c r="H187" s="3">
        <v>280</v>
      </c>
      <c r="I187" s="3">
        <v>2682</v>
      </c>
      <c r="J187" s="3">
        <v>8538</v>
      </c>
      <c r="K187" s="3">
        <v>95204</v>
      </c>
      <c r="L187" s="4">
        <v>0.14992017142136899</v>
      </c>
      <c r="M187" t="s">
        <v>17</v>
      </c>
    </row>
    <row r="188" spans="1:13" x14ac:dyDescent="0.3">
      <c r="A188" t="s">
        <v>169</v>
      </c>
      <c r="B188" t="s">
        <v>23</v>
      </c>
      <c r="C188" s="2">
        <v>45720</v>
      </c>
      <c r="D188" t="s">
        <v>28</v>
      </c>
      <c r="E188" t="s">
        <v>20</v>
      </c>
      <c r="F188" s="3">
        <v>5266</v>
      </c>
      <c r="G188" s="3">
        <v>316</v>
      </c>
      <c r="H188" s="3">
        <v>837</v>
      </c>
      <c r="I188" s="3">
        <v>2276</v>
      </c>
      <c r="J188" s="3">
        <v>20967</v>
      </c>
      <c r="K188" s="3">
        <v>41969</v>
      </c>
      <c r="L188" s="4">
        <v>0.15294622221163201</v>
      </c>
      <c r="M188" t="s">
        <v>46</v>
      </c>
    </row>
    <row r="189" spans="1:13" x14ac:dyDescent="0.3">
      <c r="A189" t="s">
        <v>78</v>
      </c>
      <c r="B189" t="s">
        <v>14</v>
      </c>
      <c r="C189" s="2">
        <v>45721</v>
      </c>
      <c r="D189" t="s">
        <v>35</v>
      </c>
      <c r="E189" t="s">
        <v>51</v>
      </c>
      <c r="F189" s="3">
        <v>12916</v>
      </c>
      <c r="G189" s="3">
        <v>1262</v>
      </c>
      <c r="H189" s="3">
        <v>772</v>
      </c>
      <c r="I189" s="3">
        <v>856</v>
      </c>
      <c r="J189" s="3">
        <v>11496</v>
      </c>
      <c r="K189" s="3">
        <v>75046</v>
      </c>
      <c r="L189" s="4">
        <v>0.199211150494363</v>
      </c>
      <c r="M189" t="s">
        <v>26</v>
      </c>
    </row>
    <row r="190" spans="1:13" x14ac:dyDescent="0.3">
      <c r="A190" t="s">
        <v>280</v>
      </c>
      <c r="B190" t="s">
        <v>19</v>
      </c>
      <c r="C190" s="2">
        <v>45722</v>
      </c>
      <c r="D190" t="s">
        <v>24</v>
      </c>
      <c r="E190" t="s">
        <v>42</v>
      </c>
      <c r="F190" s="3">
        <v>22119</v>
      </c>
      <c r="G190" s="3">
        <v>899</v>
      </c>
      <c r="H190" s="3">
        <v>642</v>
      </c>
      <c r="I190" s="3">
        <v>410</v>
      </c>
      <c r="J190" s="3">
        <v>49490</v>
      </c>
      <c r="K190" s="3">
        <v>229420</v>
      </c>
      <c r="L190" s="4">
        <v>0.10312963124400699</v>
      </c>
      <c r="M190" t="s">
        <v>30</v>
      </c>
    </row>
    <row r="191" spans="1:13" x14ac:dyDescent="0.3">
      <c r="A191" t="s">
        <v>105</v>
      </c>
      <c r="B191" t="s">
        <v>19</v>
      </c>
      <c r="C191" s="2">
        <v>45724</v>
      </c>
      <c r="D191" t="s">
        <v>24</v>
      </c>
      <c r="E191" t="s">
        <v>38</v>
      </c>
      <c r="F191" s="3">
        <v>10580</v>
      </c>
      <c r="G191" s="3">
        <v>427</v>
      </c>
      <c r="H191" s="3">
        <v>790</v>
      </c>
      <c r="I191" s="3">
        <v>2814</v>
      </c>
      <c r="J191" s="3">
        <v>24916</v>
      </c>
      <c r="K191" s="3">
        <v>213312</v>
      </c>
      <c r="L191" s="4">
        <v>5.5303967896789701E-2</v>
      </c>
      <c r="M191" t="s">
        <v>46</v>
      </c>
    </row>
    <row r="192" spans="1:13" x14ac:dyDescent="0.3">
      <c r="A192" t="s">
        <v>270</v>
      </c>
      <c r="B192" t="s">
        <v>19</v>
      </c>
      <c r="C192" s="2">
        <v>45724</v>
      </c>
      <c r="D192" t="s">
        <v>15</v>
      </c>
      <c r="E192" t="s">
        <v>16</v>
      </c>
      <c r="F192" s="3">
        <v>5812</v>
      </c>
      <c r="G192" s="3">
        <v>934</v>
      </c>
      <c r="H192" s="3">
        <v>302</v>
      </c>
      <c r="I192" s="3">
        <v>2356</v>
      </c>
      <c r="J192" s="3">
        <v>37437</v>
      </c>
      <c r="K192" s="3">
        <v>93551</v>
      </c>
      <c r="L192" s="4">
        <v>7.5338585370546607E-2</v>
      </c>
      <c r="M192" t="s">
        <v>17</v>
      </c>
    </row>
    <row r="193" spans="1:13" x14ac:dyDescent="0.3">
      <c r="A193" t="s">
        <v>40</v>
      </c>
      <c r="B193" t="s">
        <v>41</v>
      </c>
      <c r="C193" s="2">
        <v>45727</v>
      </c>
      <c r="D193" t="s">
        <v>28</v>
      </c>
      <c r="E193" t="s">
        <v>42</v>
      </c>
      <c r="F193" s="3">
        <v>20222</v>
      </c>
      <c r="G193" s="3">
        <v>712</v>
      </c>
      <c r="H193" s="3">
        <v>604</v>
      </c>
      <c r="I193" s="3">
        <v>1272</v>
      </c>
      <c r="J193" s="3">
        <v>71598</v>
      </c>
      <c r="K193" s="3">
        <v>216422</v>
      </c>
      <c r="L193" s="4">
        <v>9.9518533235992607E-2</v>
      </c>
      <c r="M193" t="s">
        <v>26</v>
      </c>
    </row>
    <row r="194" spans="1:13" x14ac:dyDescent="0.3">
      <c r="A194" t="s">
        <v>84</v>
      </c>
      <c r="B194" t="s">
        <v>14</v>
      </c>
      <c r="C194" s="2">
        <v>45727</v>
      </c>
      <c r="D194" t="s">
        <v>35</v>
      </c>
      <c r="E194" t="s">
        <v>16</v>
      </c>
      <c r="F194" s="3">
        <v>7997</v>
      </c>
      <c r="G194" s="3">
        <v>1238</v>
      </c>
      <c r="H194" s="3">
        <v>438</v>
      </c>
      <c r="I194" s="3">
        <v>1874</v>
      </c>
      <c r="J194" s="3">
        <v>36272</v>
      </c>
      <c r="K194" s="3">
        <v>165818</v>
      </c>
      <c r="L194" s="4">
        <v>5.8335042034037297E-2</v>
      </c>
      <c r="M194" t="s">
        <v>46</v>
      </c>
    </row>
    <row r="195" spans="1:13" x14ac:dyDescent="0.3">
      <c r="A195" t="s">
        <v>90</v>
      </c>
      <c r="B195" t="s">
        <v>19</v>
      </c>
      <c r="C195" s="2">
        <v>45729</v>
      </c>
      <c r="D195" t="s">
        <v>35</v>
      </c>
      <c r="E195" t="s">
        <v>25</v>
      </c>
      <c r="F195" s="3">
        <v>6544</v>
      </c>
      <c r="G195" s="3">
        <v>749</v>
      </c>
      <c r="H195" s="3">
        <v>888</v>
      </c>
      <c r="I195" s="3">
        <v>594</v>
      </c>
      <c r="J195" s="3">
        <v>18171</v>
      </c>
      <c r="K195" s="3">
        <v>126475</v>
      </c>
      <c r="L195" s="4">
        <v>6.4684720300454607E-2</v>
      </c>
      <c r="M195" t="s">
        <v>26</v>
      </c>
    </row>
    <row r="196" spans="1:13" x14ac:dyDescent="0.3">
      <c r="A196" t="s">
        <v>153</v>
      </c>
      <c r="B196" t="s">
        <v>19</v>
      </c>
      <c r="C196" s="2">
        <v>45734</v>
      </c>
      <c r="D196" t="s">
        <v>15</v>
      </c>
      <c r="E196" t="s">
        <v>38</v>
      </c>
      <c r="F196" s="3">
        <v>5818</v>
      </c>
      <c r="G196" s="3">
        <v>1252</v>
      </c>
      <c r="H196" s="3">
        <v>687</v>
      </c>
      <c r="I196" s="3">
        <v>2300</v>
      </c>
      <c r="J196" s="3">
        <v>25081</v>
      </c>
      <c r="K196" s="3">
        <v>101212</v>
      </c>
      <c r="L196" s="4">
        <v>7.6641109749832001E-2</v>
      </c>
      <c r="M196" t="s">
        <v>46</v>
      </c>
    </row>
    <row r="197" spans="1:13" x14ac:dyDescent="0.3">
      <c r="A197" t="s">
        <v>246</v>
      </c>
      <c r="B197" t="s">
        <v>41</v>
      </c>
      <c r="C197" s="2">
        <v>45735</v>
      </c>
      <c r="D197" t="s">
        <v>35</v>
      </c>
      <c r="E197" t="s">
        <v>29</v>
      </c>
      <c r="F197" s="3">
        <v>13475</v>
      </c>
      <c r="G197" s="3">
        <v>1032</v>
      </c>
      <c r="H197" s="3">
        <v>295</v>
      </c>
      <c r="I197" s="3">
        <v>541</v>
      </c>
      <c r="J197" s="3">
        <v>43666</v>
      </c>
      <c r="K197" s="3">
        <v>202396</v>
      </c>
      <c r="L197" s="4">
        <v>7.3133856400324104E-2</v>
      </c>
      <c r="M197" t="s">
        <v>46</v>
      </c>
    </row>
    <row r="198" spans="1:13" x14ac:dyDescent="0.3">
      <c r="A198" t="s">
        <v>318</v>
      </c>
      <c r="B198" t="s">
        <v>19</v>
      </c>
      <c r="C198" s="2">
        <v>45738</v>
      </c>
      <c r="D198" t="s">
        <v>28</v>
      </c>
      <c r="E198" t="s">
        <v>51</v>
      </c>
      <c r="F198" s="3">
        <v>3917</v>
      </c>
      <c r="G198" s="3">
        <v>865</v>
      </c>
      <c r="H198" s="3">
        <v>759</v>
      </c>
      <c r="I198" s="3">
        <v>2282</v>
      </c>
      <c r="J198" s="3">
        <v>56125</v>
      </c>
      <c r="K198" s="3">
        <v>154014</v>
      </c>
      <c r="L198" s="4">
        <v>3.5977248821535697E-2</v>
      </c>
      <c r="M198" t="s">
        <v>17</v>
      </c>
    </row>
    <row r="199" spans="1:13" x14ac:dyDescent="0.3">
      <c r="A199" t="s">
        <v>141</v>
      </c>
      <c r="B199" t="s">
        <v>19</v>
      </c>
      <c r="C199" s="2">
        <v>45739</v>
      </c>
      <c r="D199" t="s">
        <v>15</v>
      </c>
      <c r="E199" t="s">
        <v>25</v>
      </c>
      <c r="F199" s="3">
        <v>24711</v>
      </c>
      <c r="G199" s="3">
        <v>882</v>
      </c>
      <c r="H199" s="3">
        <v>876</v>
      </c>
      <c r="I199" s="3">
        <v>2728</v>
      </c>
      <c r="J199" s="3">
        <v>32015</v>
      </c>
      <c r="K199" s="3">
        <v>180272</v>
      </c>
      <c r="L199" s="4">
        <v>0.14682812638679299</v>
      </c>
      <c r="M199" t="s">
        <v>30</v>
      </c>
    </row>
    <row r="200" spans="1:13" x14ac:dyDescent="0.3">
      <c r="A200" t="s">
        <v>258</v>
      </c>
      <c r="B200" t="s">
        <v>14</v>
      </c>
      <c r="C200" s="2">
        <v>45739</v>
      </c>
      <c r="D200" t="s">
        <v>35</v>
      </c>
      <c r="E200" t="s">
        <v>36</v>
      </c>
      <c r="F200" s="3">
        <v>17728</v>
      </c>
      <c r="G200" s="3">
        <v>1487</v>
      </c>
      <c r="H200" s="3">
        <v>210</v>
      </c>
      <c r="I200" s="3">
        <v>2469</v>
      </c>
      <c r="J200" s="3">
        <v>30565</v>
      </c>
      <c r="K200" s="3">
        <v>117576</v>
      </c>
      <c r="L200" s="4">
        <v>0.165212288222086</v>
      </c>
      <c r="M200" t="s">
        <v>17</v>
      </c>
    </row>
    <row r="201" spans="1:13" x14ac:dyDescent="0.3">
      <c r="A201" t="s">
        <v>226</v>
      </c>
      <c r="B201" t="s">
        <v>14</v>
      </c>
      <c r="C201" s="2">
        <v>45740</v>
      </c>
      <c r="D201" t="s">
        <v>15</v>
      </c>
      <c r="E201" t="s">
        <v>33</v>
      </c>
      <c r="F201" s="3">
        <v>10172</v>
      </c>
      <c r="G201" s="3">
        <v>1398</v>
      </c>
      <c r="H201" s="3">
        <v>394</v>
      </c>
      <c r="I201" s="3">
        <v>2358</v>
      </c>
      <c r="J201" s="3">
        <v>59610</v>
      </c>
      <c r="K201" s="3">
        <v>76321</v>
      </c>
      <c r="L201" s="4">
        <v>0.15675895231980699</v>
      </c>
      <c r="M201" t="s">
        <v>30</v>
      </c>
    </row>
    <row r="202" spans="1:13" x14ac:dyDescent="0.3">
      <c r="A202" t="s">
        <v>179</v>
      </c>
      <c r="B202" t="s">
        <v>23</v>
      </c>
      <c r="C202" s="2">
        <v>45741</v>
      </c>
      <c r="D202" t="s">
        <v>35</v>
      </c>
      <c r="E202" t="s">
        <v>25</v>
      </c>
      <c r="F202" s="3">
        <v>5900</v>
      </c>
      <c r="G202" s="3">
        <v>546</v>
      </c>
      <c r="H202" s="3">
        <v>592</v>
      </c>
      <c r="I202" s="3">
        <v>1594</v>
      </c>
      <c r="J202" s="3">
        <v>38627</v>
      </c>
      <c r="K202" s="3">
        <v>164398</v>
      </c>
      <c r="L202" s="4">
        <v>4.2810739790021798E-2</v>
      </c>
      <c r="M202" t="s">
        <v>46</v>
      </c>
    </row>
    <row r="203" spans="1:13" x14ac:dyDescent="0.3">
      <c r="A203" t="s">
        <v>309</v>
      </c>
      <c r="B203" t="s">
        <v>19</v>
      </c>
      <c r="C203" s="2">
        <v>45743</v>
      </c>
      <c r="D203" t="s">
        <v>24</v>
      </c>
      <c r="E203" t="s">
        <v>56</v>
      </c>
      <c r="F203" s="3">
        <v>14819</v>
      </c>
      <c r="G203" s="3">
        <v>1432</v>
      </c>
      <c r="H203" s="3">
        <v>152</v>
      </c>
      <c r="I203" s="3">
        <v>961</v>
      </c>
      <c r="J203" s="3">
        <v>39154</v>
      </c>
      <c r="K203" s="3">
        <v>154793</v>
      </c>
      <c r="L203" s="4">
        <v>0.105967324103803</v>
      </c>
      <c r="M203" t="s">
        <v>30</v>
      </c>
    </row>
    <row r="204" spans="1:13" x14ac:dyDescent="0.3">
      <c r="A204" t="s">
        <v>101</v>
      </c>
      <c r="B204" t="s">
        <v>14</v>
      </c>
      <c r="C204" s="2">
        <v>45744</v>
      </c>
      <c r="D204" t="s">
        <v>24</v>
      </c>
      <c r="E204" t="s">
        <v>16</v>
      </c>
      <c r="F204" s="3">
        <v>6363</v>
      </c>
      <c r="G204" s="3">
        <v>1341</v>
      </c>
      <c r="H204" s="3">
        <v>222</v>
      </c>
      <c r="I204" s="3">
        <v>2712</v>
      </c>
      <c r="J204" s="3">
        <v>19987</v>
      </c>
      <c r="K204" s="3">
        <v>160585</v>
      </c>
      <c r="L204" s="4">
        <v>4.9357038328610998E-2</v>
      </c>
      <c r="M204" t="s">
        <v>26</v>
      </c>
    </row>
    <row r="205" spans="1:13" x14ac:dyDescent="0.3">
      <c r="A205" t="s">
        <v>163</v>
      </c>
      <c r="B205" t="s">
        <v>19</v>
      </c>
      <c r="C205" s="2">
        <v>45744</v>
      </c>
      <c r="D205" t="s">
        <v>15</v>
      </c>
      <c r="E205" t="s">
        <v>38</v>
      </c>
      <c r="F205" s="3">
        <v>13637</v>
      </c>
      <c r="G205" s="3">
        <v>1135</v>
      </c>
      <c r="H205" s="3">
        <v>540</v>
      </c>
      <c r="I205" s="3">
        <v>1288</v>
      </c>
      <c r="J205" s="3">
        <v>45183</v>
      </c>
      <c r="K205" s="3">
        <v>79062</v>
      </c>
      <c r="L205" s="4">
        <v>0.193670790012901</v>
      </c>
      <c r="M205" t="s">
        <v>46</v>
      </c>
    </row>
    <row r="206" spans="1:13" x14ac:dyDescent="0.3">
      <c r="A206" t="s">
        <v>103</v>
      </c>
      <c r="B206" t="s">
        <v>19</v>
      </c>
      <c r="C206" s="2">
        <v>45745</v>
      </c>
      <c r="D206" t="s">
        <v>28</v>
      </c>
      <c r="E206" t="s">
        <v>38</v>
      </c>
      <c r="F206" s="3">
        <v>19461</v>
      </c>
      <c r="G206" s="3">
        <v>1382</v>
      </c>
      <c r="H206" s="3">
        <v>445</v>
      </c>
      <c r="I206" s="3">
        <v>1307</v>
      </c>
      <c r="J206" s="3">
        <v>84691</v>
      </c>
      <c r="K206" s="3">
        <v>151453</v>
      </c>
      <c r="L206" s="4">
        <v>0.14055845707909401</v>
      </c>
      <c r="M206" t="s">
        <v>30</v>
      </c>
    </row>
    <row r="207" spans="1:13" x14ac:dyDescent="0.3">
      <c r="A207" t="s">
        <v>175</v>
      </c>
      <c r="B207" t="s">
        <v>23</v>
      </c>
      <c r="C207" s="2">
        <v>45745</v>
      </c>
      <c r="D207" t="s">
        <v>35</v>
      </c>
      <c r="E207" t="s">
        <v>25</v>
      </c>
      <c r="F207" s="3">
        <v>23508</v>
      </c>
      <c r="G207" s="3">
        <v>585</v>
      </c>
      <c r="H207" s="3">
        <v>743</v>
      </c>
      <c r="I207" s="3">
        <v>2155</v>
      </c>
      <c r="J207" s="3">
        <v>3704</v>
      </c>
      <c r="K207" s="3">
        <v>194268</v>
      </c>
      <c r="L207" s="4">
        <v>0.12784400930673101</v>
      </c>
      <c r="M207" t="s">
        <v>30</v>
      </c>
    </row>
    <row r="208" spans="1:13" x14ac:dyDescent="0.3">
      <c r="A208" t="s">
        <v>199</v>
      </c>
      <c r="B208" t="s">
        <v>23</v>
      </c>
      <c r="C208" s="2">
        <v>45748</v>
      </c>
      <c r="D208" t="s">
        <v>15</v>
      </c>
      <c r="E208" t="s">
        <v>36</v>
      </c>
      <c r="F208" s="3">
        <v>6432</v>
      </c>
      <c r="G208" s="3">
        <v>1272</v>
      </c>
      <c r="H208" s="3">
        <v>498</v>
      </c>
      <c r="I208" s="3">
        <v>677</v>
      </c>
      <c r="J208" s="3">
        <v>47305</v>
      </c>
      <c r="K208" s="3">
        <v>119134</v>
      </c>
      <c r="L208" s="4">
        <v>6.8846844729464299E-2</v>
      </c>
      <c r="M208" t="s">
        <v>17</v>
      </c>
    </row>
    <row r="209" spans="1:13" x14ac:dyDescent="0.3">
      <c r="A209" t="s">
        <v>106</v>
      </c>
      <c r="B209" t="s">
        <v>41</v>
      </c>
      <c r="C209" s="2">
        <v>45749</v>
      </c>
      <c r="D209" t="s">
        <v>24</v>
      </c>
      <c r="E209" t="s">
        <v>42</v>
      </c>
      <c r="F209" s="3">
        <v>6858</v>
      </c>
      <c r="G209" s="3">
        <v>415</v>
      </c>
      <c r="H209" s="3">
        <v>366</v>
      </c>
      <c r="I209" s="3">
        <v>2761</v>
      </c>
      <c r="J209" s="3">
        <v>2988</v>
      </c>
      <c r="K209" s="3">
        <v>177348</v>
      </c>
      <c r="L209" s="4">
        <v>4.3073505198818099E-2</v>
      </c>
      <c r="M209" t="s">
        <v>17</v>
      </c>
    </row>
    <row r="210" spans="1:13" x14ac:dyDescent="0.3">
      <c r="A210" t="s">
        <v>292</v>
      </c>
      <c r="B210" t="s">
        <v>23</v>
      </c>
      <c r="C210" s="2">
        <v>45750</v>
      </c>
      <c r="D210" t="s">
        <v>15</v>
      </c>
      <c r="E210" t="s">
        <v>116</v>
      </c>
      <c r="F210" s="3">
        <v>10837</v>
      </c>
      <c r="G210" s="3">
        <v>1004</v>
      </c>
      <c r="H210" s="3">
        <v>922</v>
      </c>
      <c r="I210" s="3">
        <v>1108</v>
      </c>
      <c r="J210" s="3">
        <v>36807</v>
      </c>
      <c r="K210" s="3">
        <v>150350</v>
      </c>
      <c r="L210" s="4">
        <v>8.4888593282341204E-2</v>
      </c>
      <c r="M210" t="s">
        <v>26</v>
      </c>
    </row>
    <row r="211" spans="1:13" x14ac:dyDescent="0.3">
      <c r="A211" t="s">
        <v>61</v>
      </c>
      <c r="B211" t="s">
        <v>41</v>
      </c>
      <c r="C211" s="2">
        <v>45752</v>
      </c>
      <c r="D211" t="s">
        <v>28</v>
      </c>
      <c r="E211" t="s">
        <v>38</v>
      </c>
      <c r="F211" s="3">
        <v>22384</v>
      </c>
      <c r="G211" s="3">
        <v>601</v>
      </c>
      <c r="H211" s="3">
        <v>943</v>
      </c>
      <c r="I211" s="3">
        <v>515</v>
      </c>
      <c r="J211" s="3">
        <v>41309</v>
      </c>
      <c r="K211" s="3">
        <v>249373</v>
      </c>
      <c r="L211" s="4">
        <v>9.5952649244304702E-2</v>
      </c>
      <c r="M211" t="s">
        <v>17</v>
      </c>
    </row>
    <row r="212" spans="1:13" x14ac:dyDescent="0.3">
      <c r="A212" t="s">
        <v>161</v>
      </c>
      <c r="B212" t="s">
        <v>14</v>
      </c>
      <c r="C212" s="2">
        <v>45753</v>
      </c>
      <c r="D212" t="s">
        <v>24</v>
      </c>
      <c r="E212" t="s">
        <v>56</v>
      </c>
      <c r="F212" s="3">
        <v>8238</v>
      </c>
      <c r="G212" s="3">
        <v>766</v>
      </c>
      <c r="H212" s="3">
        <v>235</v>
      </c>
      <c r="I212" s="3">
        <v>1273</v>
      </c>
      <c r="J212" s="3">
        <v>4706</v>
      </c>
      <c r="K212" s="3">
        <v>119141</v>
      </c>
      <c r="L212" s="4">
        <v>7.7546772311798601E-2</v>
      </c>
      <c r="M212" t="s">
        <v>30</v>
      </c>
    </row>
    <row r="213" spans="1:13" x14ac:dyDescent="0.3">
      <c r="A213" t="s">
        <v>294</v>
      </c>
      <c r="B213" t="s">
        <v>14</v>
      </c>
      <c r="C213" s="2">
        <v>45753</v>
      </c>
      <c r="D213" t="s">
        <v>35</v>
      </c>
      <c r="E213" t="s">
        <v>51</v>
      </c>
      <c r="F213" s="3">
        <v>15917</v>
      </c>
      <c r="G213" s="3">
        <v>1479</v>
      </c>
      <c r="H213" s="3">
        <v>196</v>
      </c>
      <c r="I213" s="3">
        <v>313</v>
      </c>
      <c r="J213" s="3">
        <v>48524</v>
      </c>
      <c r="K213" s="3">
        <v>249684</v>
      </c>
      <c r="L213" s="4">
        <v>7.0457057720959296E-2</v>
      </c>
      <c r="M213" t="s">
        <v>30</v>
      </c>
    </row>
    <row r="214" spans="1:13" x14ac:dyDescent="0.3">
      <c r="A214" t="s">
        <v>314</v>
      </c>
      <c r="B214" t="s">
        <v>23</v>
      </c>
      <c r="C214" s="2">
        <v>45753</v>
      </c>
      <c r="D214" t="s">
        <v>15</v>
      </c>
      <c r="E214" t="s">
        <v>65</v>
      </c>
      <c r="F214" s="3">
        <v>14941</v>
      </c>
      <c r="G214" s="3">
        <v>1424</v>
      </c>
      <c r="H214" s="3">
        <v>238</v>
      </c>
      <c r="I214" s="3">
        <v>1054</v>
      </c>
      <c r="J214" s="3">
        <v>20516</v>
      </c>
      <c r="K214" s="3">
        <v>216048</v>
      </c>
      <c r="L214" s="4">
        <v>7.6848663260016298E-2</v>
      </c>
      <c r="M214" t="s">
        <v>46</v>
      </c>
    </row>
    <row r="215" spans="1:13" x14ac:dyDescent="0.3">
      <c r="A215" t="s">
        <v>237</v>
      </c>
      <c r="B215" t="s">
        <v>14</v>
      </c>
      <c r="C215" s="2">
        <v>45754</v>
      </c>
      <c r="D215" t="s">
        <v>35</v>
      </c>
      <c r="E215" t="s">
        <v>56</v>
      </c>
      <c r="F215" s="3">
        <v>3062</v>
      </c>
      <c r="G215" s="3">
        <v>1124</v>
      </c>
      <c r="H215" s="3">
        <v>538</v>
      </c>
      <c r="I215" s="3">
        <v>2935</v>
      </c>
      <c r="J215" s="3">
        <v>69749</v>
      </c>
      <c r="K215" s="3">
        <v>91924</v>
      </c>
      <c r="L215" s="4">
        <v>5.1390278926069399E-2</v>
      </c>
      <c r="M215" t="s">
        <v>30</v>
      </c>
    </row>
    <row r="216" spans="1:13" x14ac:dyDescent="0.3">
      <c r="A216" t="s">
        <v>200</v>
      </c>
      <c r="B216" t="s">
        <v>19</v>
      </c>
      <c r="C216" s="2">
        <v>45755</v>
      </c>
      <c r="D216" t="s">
        <v>28</v>
      </c>
      <c r="E216" t="s">
        <v>16</v>
      </c>
      <c r="F216" s="3">
        <v>15568</v>
      </c>
      <c r="G216" s="3">
        <v>1166</v>
      </c>
      <c r="H216" s="3">
        <v>546</v>
      </c>
      <c r="I216" s="3">
        <v>826</v>
      </c>
      <c r="J216" s="3">
        <v>21836</v>
      </c>
      <c r="K216" s="3">
        <v>87055</v>
      </c>
      <c r="L216" s="4">
        <v>0.19849520418126501</v>
      </c>
      <c r="M216" t="s">
        <v>17</v>
      </c>
    </row>
    <row r="217" spans="1:13" x14ac:dyDescent="0.3">
      <c r="A217" t="s">
        <v>305</v>
      </c>
      <c r="B217" t="s">
        <v>19</v>
      </c>
      <c r="C217" s="2">
        <v>45760</v>
      </c>
      <c r="D217" t="s">
        <v>35</v>
      </c>
      <c r="E217" t="s">
        <v>65</v>
      </c>
      <c r="F217" s="3">
        <v>24700</v>
      </c>
      <c r="G217" s="3">
        <v>327</v>
      </c>
      <c r="H217" s="3">
        <v>999</v>
      </c>
      <c r="I217" s="3">
        <v>994</v>
      </c>
      <c r="J217" s="3">
        <v>59400</v>
      </c>
      <c r="K217" s="3">
        <v>243502</v>
      </c>
      <c r="L217" s="4">
        <v>0.106882078997298</v>
      </c>
      <c r="M217" t="s">
        <v>26</v>
      </c>
    </row>
    <row r="218" spans="1:13" x14ac:dyDescent="0.3">
      <c r="A218" t="s">
        <v>94</v>
      </c>
      <c r="B218" t="s">
        <v>23</v>
      </c>
      <c r="C218" s="2">
        <v>45762</v>
      </c>
      <c r="D218" t="s">
        <v>35</v>
      </c>
      <c r="E218" t="s">
        <v>25</v>
      </c>
      <c r="F218" s="3">
        <v>5419</v>
      </c>
      <c r="G218" s="3">
        <v>1150</v>
      </c>
      <c r="H218" s="3">
        <v>656</v>
      </c>
      <c r="I218" s="3">
        <v>1990</v>
      </c>
      <c r="J218" s="3">
        <v>410</v>
      </c>
      <c r="K218" s="3">
        <v>158154</v>
      </c>
      <c r="L218" s="4">
        <v>4.56833213197263E-2</v>
      </c>
      <c r="M218" t="s">
        <v>26</v>
      </c>
    </row>
    <row r="219" spans="1:13" x14ac:dyDescent="0.3">
      <c r="A219" t="s">
        <v>185</v>
      </c>
      <c r="B219" t="s">
        <v>14</v>
      </c>
      <c r="C219" s="2">
        <v>45762</v>
      </c>
      <c r="D219" t="s">
        <v>28</v>
      </c>
      <c r="E219" t="s">
        <v>42</v>
      </c>
      <c r="F219" s="3">
        <v>20977</v>
      </c>
      <c r="G219" s="3">
        <v>1402</v>
      </c>
      <c r="H219" s="3">
        <v>301</v>
      </c>
      <c r="I219" s="3">
        <v>1284</v>
      </c>
      <c r="J219" s="3">
        <v>24620</v>
      </c>
      <c r="K219" s="3">
        <v>128009</v>
      </c>
      <c r="L219" s="4">
        <v>0.177175042379833</v>
      </c>
      <c r="M219" t="s">
        <v>17</v>
      </c>
    </row>
    <row r="220" spans="1:13" x14ac:dyDescent="0.3">
      <c r="A220" t="s">
        <v>325</v>
      </c>
      <c r="B220" t="s">
        <v>23</v>
      </c>
      <c r="C220" s="2">
        <v>45764</v>
      </c>
      <c r="D220" t="s">
        <v>24</v>
      </c>
      <c r="E220" t="s">
        <v>38</v>
      </c>
      <c r="F220" s="3">
        <v>2009</v>
      </c>
      <c r="G220" s="3">
        <v>1037</v>
      </c>
      <c r="H220" s="3">
        <v>344</v>
      </c>
      <c r="I220" s="3">
        <v>2277</v>
      </c>
      <c r="J220" s="3">
        <v>85743</v>
      </c>
      <c r="K220" s="3">
        <v>58743</v>
      </c>
      <c r="L220" s="4">
        <v>5.7709003625963901E-2</v>
      </c>
      <c r="M220" t="s">
        <v>30</v>
      </c>
    </row>
    <row r="221" spans="1:13" x14ac:dyDescent="0.3">
      <c r="A221" t="s">
        <v>72</v>
      </c>
      <c r="B221" t="s">
        <v>23</v>
      </c>
      <c r="C221" s="2">
        <v>45766</v>
      </c>
      <c r="D221" t="s">
        <v>35</v>
      </c>
      <c r="E221" t="s">
        <v>65</v>
      </c>
      <c r="F221" s="3">
        <v>20384</v>
      </c>
      <c r="G221" s="3">
        <v>344</v>
      </c>
      <c r="H221" s="3">
        <v>956</v>
      </c>
      <c r="I221" s="3">
        <v>655</v>
      </c>
      <c r="J221" s="3">
        <v>67621</v>
      </c>
      <c r="K221" s="3">
        <v>175720</v>
      </c>
      <c r="L221" s="4">
        <v>0.12340086501252</v>
      </c>
      <c r="M221" t="s">
        <v>26</v>
      </c>
    </row>
    <row r="222" spans="1:13" x14ac:dyDescent="0.3">
      <c r="A222" t="s">
        <v>122</v>
      </c>
      <c r="B222" t="s">
        <v>14</v>
      </c>
      <c r="C222" s="2">
        <v>45766</v>
      </c>
      <c r="D222" t="s">
        <v>15</v>
      </c>
      <c r="E222" t="s">
        <v>36</v>
      </c>
      <c r="F222" s="3">
        <v>8881</v>
      </c>
      <c r="G222" s="3">
        <v>210</v>
      </c>
      <c r="H222" s="3">
        <v>673</v>
      </c>
      <c r="I222" s="3">
        <v>1565</v>
      </c>
      <c r="J222" s="3">
        <v>24847</v>
      </c>
      <c r="K222" s="3">
        <v>156891</v>
      </c>
      <c r="L222" s="4">
        <v>6.2234290048505003E-2</v>
      </c>
      <c r="M222" t="s">
        <v>26</v>
      </c>
    </row>
    <row r="223" spans="1:13" x14ac:dyDescent="0.3">
      <c r="A223" t="s">
        <v>207</v>
      </c>
      <c r="B223" t="s">
        <v>41</v>
      </c>
      <c r="C223" s="2">
        <v>45775</v>
      </c>
      <c r="D223" t="s">
        <v>35</v>
      </c>
      <c r="E223" t="s">
        <v>56</v>
      </c>
      <c r="F223" s="3">
        <v>15013</v>
      </c>
      <c r="G223" s="3">
        <v>1286</v>
      </c>
      <c r="H223" s="3">
        <v>599</v>
      </c>
      <c r="I223" s="3">
        <v>2001</v>
      </c>
      <c r="J223" s="3">
        <v>67839</v>
      </c>
      <c r="K223" s="3">
        <v>76059</v>
      </c>
      <c r="L223" s="4">
        <v>0.22216963147030599</v>
      </c>
      <c r="M223" t="s">
        <v>17</v>
      </c>
    </row>
    <row r="224" spans="1:13" x14ac:dyDescent="0.3">
      <c r="A224" t="s">
        <v>289</v>
      </c>
      <c r="B224" t="s">
        <v>23</v>
      </c>
      <c r="C224" s="2">
        <v>45775</v>
      </c>
      <c r="D224" t="s">
        <v>35</v>
      </c>
      <c r="E224" t="s">
        <v>51</v>
      </c>
      <c r="F224" s="3">
        <v>10659</v>
      </c>
      <c r="G224" s="3">
        <v>1342</v>
      </c>
      <c r="H224" s="3">
        <v>408</v>
      </c>
      <c r="I224" s="3">
        <v>709</v>
      </c>
      <c r="J224" s="3">
        <v>16309</v>
      </c>
      <c r="K224" s="3">
        <v>168803</v>
      </c>
      <c r="L224" s="4">
        <v>7.3511726687321893E-2</v>
      </c>
      <c r="M224" t="s">
        <v>26</v>
      </c>
    </row>
    <row r="225" spans="1:13" x14ac:dyDescent="0.3">
      <c r="A225" t="s">
        <v>269</v>
      </c>
      <c r="B225" t="s">
        <v>19</v>
      </c>
      <c r="C225" s="2">
        <v>45776</v>
      </c>
      <c r="D225" t="s">
        <v>35</v>
      </c>
      <c r="E225" t="s">
        <v>38</v>
      </c>
      <c r="F225" s="3">
        <v>16277</v>
      </c>
      <c r="G225" s="3">
        <v>1109</v>
      </c>
      <c r="H225" s="3">
        <v>375</v>
      </c>
      <c r="I225" s="3">
        <v>2225</v>
      </c>
      <c r="J225" s="3">
        <v>1044</v>
      </c>
      <c r="K225" s="3">
        <v>121889</v>
      </c>
      <c r="L225" s="4">
        <v>0.145714543560124</v>
      </c>
      <c r="M225" t="s">
        <v>30</v>
      </c>
    </row>
    <row r="226" spans="1:13" x14ac:dyDescent="0.3">
      <c r="A226" t="s">
        <v>250</v>
      </c>
      <c r="B226" t="s">
        <v>23</v>
      </c>
      <c r="C226" s="2">
        <v>45778</v>
      </c>
      <c r="D226" t="s">
        <v>24</v>
      </c>
      <c r="E226" t="s">
        <v>42</v>
      </c>
      <c r="F226" s="3">
        <v>10258</v>
      </c>
      <c r="G226" s="3">
        <v>527</v>
      </c>
      <c r="H226" s="3">
        <v>854</v>
      </c>
      <c r="I226" s="3">
        <v>2068</v>
      </c>
      <c r="J226" s="3">
        <v>45632</v>
      </c>
      <c r="K226" s="3">
        <v>136546</v>
      </c>
      <c r="L226" s="4">
        <v>8.5238674146441498E-2</v>
      </c>
      <c r="M226" t="s">
        <v>46</v>
      </c>
    </row>
    <row r="227" spans="1:13" x14ac:dyDescent="0.3">
      <c r="A227" t="s">
        <v>82</v>
      </c>
      <c r="B227" t="s">
        <v>19</v>
      </c>
      <c r="C227" s="2">
        <v>45779</v>
      </c>
      <c r="D227" t="s">
        <v>24</v>
      </c>
      <c r="E227" t="s">
        <v>51</v>
      </c>
      <c r="F227" s="3">
        <v>17444</v>
      </c>
      <c r="G227" s="3">
        <v>1402</v>
      </c>
      <c r="H227" s="3">
        <v>218</v>
      </c>
      <c r="I227" s="3">
        <v>725</v>
      </c>
      <c r="J227" s="3">
        <v>8710</v>
      </c>
      <c r="K227" s="3">
        <v>85893</v>
      </c>
      <c r="L227" s="4">
        <v>0.221950566402384</v>
      </c>
      <c r="M227" t="s">
        <v>46</v>
      </c>
    </row>
    <row r="228" spans="1:13" x14ac:dyDescent="0.3">
      <c r="A228" t="s">
        <v>50</v>
      </c>
      <c r="B228" t="s">
        <v>19</v>
      </c>
      <c r="C228" s="2">
        <v>45782</v>
      </c>
      <c r="D228" t="s">
        <v>24</v>
      </c>
      <c r="E228" t="s">
        <v>51</v>
      </c>
      <c r="F228" s="3">
        <v>10415</v>
      </c>
      <c r="G228" s="3">
        <v>1388</v>
      </c>
      <c r="H228" s="3">
        <v>725</v>
      </c>
      <c r="I228" s="3">
        <v>2462</v>
      </c>
      <c r="J228" s="3">
        <v>53082</v>
      </c>
      <c r="K228" s="3">
        <v>168267</v>
      </c>
      <c r="L228" s="4">
        <v>7.4453101321114601E-2</v>
      </c>
      <c r="M228" t="s">
        <v>46</v>
      </c>
    </row>
    <row r="229" spans="1:13" x14ac:dyDescent="0.3">
      <c r="A229" t="s">
        <v>332</v>
      </c>
      <c r="B229" t="s">
        <v>41</v>
      </c>
      <c r="C229" s="2">
        <v>45783</v>
      </c>
      <c r="D229" t="s">
        <v>35</v>
      </c>
      <c r="E229" t="s">
        <v>16</v>
      </c>
      <c r="F229" s="3">
        <v>7287</v>
      </c>
      <c r="G229" s="3">
        <v>1240</v>
      </c>
      <c r="H229" s="3">
        <v>686</v>
      </c>
      <c r="I229" s="3">
        <v>1255</v>
      </c>
      <c r="J229" s="3">
        <v>15403</v>
      </c>
      <c r="K229" s="3">
        <v>147971</v>
      </c>
      <c r="L229" s="4">
        <v>6.2262200025680697E-2</v>
      </c>
      <c r="M229" t="s">
        <v>17</v>
      </c>
    </row>
    <row r="230" spans="1:13" x14ac:dyDescent="0.3">
      <c r="A230" t="s">
        <v>320</v>
      </c>
      <c r="B230" t="s">
        <v>41</v>
      </c>
      <c r="C230" s="2">
        <v>45786</v>
      </c>
      <c r="D230" t="s">
        <v>35</v>
      </c>
      <c r="E230" t="s">
        <v>38</v>
      </c>
      <c r="F230" s="3">
        <v>8988</v>
      </c>
      <c r="G230" s="3">
        <v>228</v>
      </c>
      <c r="H230" s="3">
        <v>766</v>
      </c>
      <c r="I230" s="3">
        <v>652</v>
      </c>
      <c r="J230" s="3">
        <v>63789</v>
      </c>
      <c r="K230" s="3">
        <v>219785</v>
      </c>
      <c r="L230" s="4">
        <v>4.5417112177810103E-2</v>
      </c>
      <c r="M230" t="s">
        <v>26</v>
      </c>
    </row>
    <row r="231" spans="1:13" x14ac:dyDescent="0.3">
      <c r="A231" t="s">
        <v>22</v>
      </c>
      <c r="B231" t="s">
        <v>23</v>
      </c>
      <c r="C231" s="2">
        <v>45789</v>
      </c>
      <c r="D231" t="s">
        <v>24</v>
      </c>
      <c r="E231" t="s">
        <v>25</v>
      </c>
      <c r="F231" s="3">
        <v>19308</v>
      </c>
      <c r="G231" s="3">
        <v>1318</v>
      </c>
      <c r="H231" s="3">
        <v>795</v>
      </c>
      <c r="I231" s="3">
        <v>1499</v>
      </c>
      <c r="J231" s="3">
        <v>52307</v>
      </c>
      <c r="K231" s="3">
        <v>193087</v>
      </c>
      <c r="L231" s="4">
        <v>0.110939628250478</v>
      </c>
      <c r="M231" t="s">
        <v>26</v>
      </c>
    </row>
    <row r="232" spans="1:13" x14ac:dyDescent="0.3">
      <c r="A232" t="s">
        <v>330</v>
      </c>
      <c r="B232" t="s">
        <v>23</v>
      </c>
      <c r="C232" s="2">
        <v>45791</v>
      </c>
      <c r="D232" t="s">
        <v>15</v>
      </c>
      <c r="E232" t="s">
        <v>51</v>
      </c>
      <c r="F232" s="3">
        <v>9041</v>
      </c>
      <c r="G232" s="3">
        <v>1133</v>
      </c>
      <c r="H232" s="3">
        <v>612</v>
      </c>
      <c r="I232" s="3">
        <v>1687</v>
      </c>
      <c r="J232" s="3">
        <v>28102</v>
      </c>
      <c r="K232" s="3">
        <v>195683</v>
      </c>
      <c r="L232" s="4">
        <v>5.5119760020032403E-2</v>
      </c>
      <c r="M232" t="s">
        <v>30</v>
      </c>
    </row>
    <row r="233" spans="1:13" x14ac:dyDescent="0.3">
      <c r="A233" t="s">
        <v>18</v>
      </c>
      <c r="B233" t="s">
        <v>19</v>
      </c>
      <c r="C233" s="2">
        <v>45903</v>
      </c>
      <c r="D233" t="s">
        <v>15</v>
      </c>
      <c r="E233" t="s">
        <v>20</v>
      </c>
      <c r="F233" s="3">
        <v>4779</v>
      </c>
      <c r="G233" s="3">
        <v>1110</v>
      </c>
      <c r="H233" s="3">
        <v>436</v>
      </c>
      <c r="I233" s="3">
        <v>1574</v>
      </c>
      <c r="J233" s="3">
        <v>77167</v>
      </c>
      <c r="K233" s="3">
        <v>71585</v>
      </c>
      <c r="L233" s="4">
        <v>8.8356499266606103E-2</v>
      </c>
      <c r="M233" t="s">
        <v>21</v>
      </c>
    </row>
    <row r="234" spans="1:13" x14ac:dyDescent="0.3">
      <c r="A234" t="s">
        <v>31</v>
      </c>
      <c r="B234" t="s">
        <v>14</v>
      </c>
      <c r="C234" s="2">
        <v>45904</v>
      </c>
      <c r="D234" t="s">
        <v>28</v>
      </c>
      <c r="E234" t="s">
        <v>16</v>
      </c>
      <c r="F234" s="3">
        <v>21708</v>
      </c>
      <c r="G234" s="3">
        <v>435</v>
      </c>
      <c r="H234" s="3">
        <v>317</v>
      </c>
      <c r="I234" s="3">
        <v>1213</v>
      </c>
      <c r="J234" s="3">
        <v>70701</v>
      </c>
      <c r="K234" s="3">
        <v>83585</v>
      </c>
      <c r="L234" s="4">
        <v>0.26870850032900601</v>
      </c>
      <c r="M234" t="s">
        <v>21</v>
      </c>
    </row>
    <row r="235" spans="1:13" x14ac:dyDescent="0.3">
      <c r="A235" t="s">
        <v>32</v>
      </c>
      <c r="B235" t="s">
        <v>19</v>
      </c>
      <c r="C235" s="2">
        <v>45905</v>
      </c>
      <c r="D235" t="s">
        <v>15</v>
      </c>
      <c r="E235" t="s">
        <v>33</v>
      </c>
      <c r="F235" s="3">
        <v>14677</v>
      </c>
      <c r="G235" s="3">
        <v>533</v>
      </c>
      <c r="H235" s="3">
        <v>759</v>
      </c>
      <c r="I235" s="3">
        <v>753</v>
      </c>
      <c r="J235" s="3">
        <v>23275</v>
      </c>
      <c r="K235" s="3">
        <v>66958</v>
      </c>
      <c r="L235" s="4">
        <v>0.23849278652289499</v>
      </c>
      <c r="M235" t="s">
        <v>21</v>
      </c>
    </row>
    <row r="236" spans="1:13" x14ac:dyDescent="0.3">
      <c r="A236" t="s">
        <v>47</v>
      </c>
      <c r="B236" t="s">
        <v>14</v>
      </c>
      <c r="C236" s="2">
        <v>45906</v>
      </c>
      <c r="D236" t="s">
        <v>24</v>
      </c>
      <c r="E236" t="s">
        <v>38</v>
      </c>
      <c r="F236" s="3">
        <v>7124</v>
      </c>
      <c r="G236" s="3">
        <v>469</v>
      </c>
      <c r="H236" s="3">
        <v>851</v>
      </c>
      <c r="I236" s="3">
        <v>2571</v>
      </c>
      <c r="J236" s="3">
        <v>33802</v>
      </c>
      <c r="K236" s="3">
        <v>216313</v>
      </c>
      <c r="L236" s="4">
        <v>3.9036026498638597E-2</v>
      </c>
      <c r="M236" t="s">
        <v>21</v>
      </c>
    </row>
    <row r="237" spans="1:13" x14ac:dyDescent="0.3">
      <c r="A237" t="s">
        <v>48</v>
      </c>
      <c r="B237" t="s">
        <v>19</v>
      </c>
      <c r="C237" s="2">
        <v>45907</v>
      </c>
      <c r="D237" t="s">
        <v>24</v>
      </c>
      <c r="E237" t="s">
        <v>25</v>
      </c>
      <c r="F237" s="3">
        <v>3015</v>
      </c>
      <c r="G237" s="3">
        <v>997</v>
      </c>
      <c r="H237" s="3">
        <v>783</v>
      </c>
      <c r="I237" s="3">
        <v>617</v>
      </c>
      <c r="J237" s="3">
        <v>77167</v>
      </c>
      <c r="K237" s="3">
        <v>82229</v>
      </c>
      <c r="L237" s="4">
        <v>5.83127607048608E-2</v>
      </c>
      <c r="M237" t="s">
        <v>21</v>
      </c>
    </row>
    <row r="238" spans="1:13" x14ac:dyDescent="0.3">
      <c r="A238" t="s">
        <v>261</v>
      </c>
      <c r="B238" t="s">
        <v>19</v>
      </c>
      <c r="C238" s="2">
        <v>45907</v>
      </c>
      <c r="D238" t="s">
        <v>24</v>
      </c>
      <c r="E238" t="s">
        <v>116</v>
      </c>
      <c r="F238" s="3">
        <v>4472</v>
      </c>
      <c r="G238" s="3">
        <v>1301</v>
      </c>
      <c r="H238" s="3">
        <v>956</v>
      </c>
      <c r="I238" s="3">
        <v>1186</v>
      </c>
      <c r="J238" s="3">
        <v>3363</v>
      </c>
      <c r="K238" s="3">
        <v>46471</v>
      </c>
      <c r="L238" s="4">
        <v>0.14479998278496301</v>
      </c>
      <c r="M238" t="s">
        <v>21</v>
      </c>
    </row>
    <row r="239" spans="1:13" x14ac:dyDescent="0.3">
      <c r="A239" t="s">
        <v>55</v>
      </c>
      <c r="B239" t="s">
        <v>41</v>
      </c>
      <c r="C239" s="2">
        <v>45908</v>
      </c>
      <c r="D239" t="s">
        <v>35</v>
      </c>
      <c r="E239" t="s">
        <v>56</v>
      </c>
      <c r="F239" s="3">
        <v>22309</v>
      </c>
      <c r="G239" s="3">
        <v>773</v>
      </c>
      <c r="H239" s="3">
        <v>854</v>
      </c>
      <c r="I239" s="3">
        <v>2387</v>
      </c>
      <c r="J239" s="3">
        <v>72396</v>
      </c>
      <c r="K239" s="3">
        <v>97056</v>
      </c>
      <c r="L239" s="4">
        <v>0.24662050774810401</v>
      </c>
      <c r="M239" t="s">
        <v>21</v>
      </c>
    </row>
    <row r="240" spans="1:13" x14ac:dyDescent="0.3">
      <c r="A240" t="s">
        <v>263</v>
      </c>
      <c r="B240" t="s">
        <v>41</v>
      </c>
      <c r="C240" s="2">
        <v>45908</v>
      </c>
      <c r="D240" t="s">
        <v>24</v>
      </c>
      <c r="E240" t="s">
        <v>38</v>
      </c>
      <c r="F240" s="3">
        <v>23785</v>
      </c>
      <c r="G240" s="3">
        <v>1013</v>
      </c>
      <c r="H240" s="3">
        <v>468</v>
      </c>
      <c r="I240" s="3">
        <v>1628</v>
      </c>
      <c r="J240" s="3">
        <v>8272</v>
      </c>
      <c r="K240" s="3">
        <v>71348</v>
      </c>
      <c r="L240" s="4">
        <v>0.35412345125301298</v>
      </c>
      <c r="M240" t="s">
        <v>21</v>
      </c>
    </row>
    <row r="241" spans="1:13" x14ac:dyDescent="0.3">
      <c r="A241" t="s">
        <v>60</v>
      </c>
      <c r="B241" t="s">
        <v>19</v>
      </c>
      <c r="C241" s="2">
        <v>45909</v>
      </c>
      <c r="D241" t="s">
        <v>28</v>
      </c>
      <c r="E241" t="s">
        <v>38</v>
      </c>
      <c r="F241" s="3">
        <v>15772</v>
      </c>
      <c r="G241" s="3">
        <v>288</v>
      </c>
      <c r="H241" s="3">
        <v>520</v>
      </c>
      <c r="I241" s="3">
        <v>1585</v>
      </c>
      <c r="J241" s="3">
        <v>59182</v>
      </c>
      <c r="K241" s="3">
        <v>194351</v>
      </c>
      <c r="L241" s="4">
        <v>8.5309568769906002E-2</v>
      </c>
      <c r="M241" t="s">
        <v>21</v>
      </c>
    </row>
    <row r="242" spans="1:13" x14ac:dyDescent="0.3">
      <c r="A242" t="s">
        <v>268</v>
      </c>
      <c r="B242" t="s">
        <v>41</v>
      </c>
      <c r="C242" s="2">
        <v>45909</v>
      </c>
      <c r="D242" t="s">
        <v>15</v>
      </c>
      <c r="E242" t="s">
        <v>36</v>
      </c>
      <c r="F242" s="3">
        <v>19260</v>
      </c>
      <c r="G242" s="3">
        <v>668</v>
      </c>
      <c r="H242" s="3">
        <v>994</v>
      </c>
      <c r="I242" s="3">
        <v>934</v>
      </c>
      <c r="J242" s="3">
        <v>20509</v>
      </c>
      <c r="K242" s="3">
        <v>61636</v>
      </c>
      <c r="L242" s="4">
        <v>0.33944448049840997</v>
      </c>
      <c r="M242" t="s">
        <v>21</v>
      </c>
    </row>
    <row r="243" spans="1:13" x14ac:dyDescent="0.3">
      <c r="A243" t="s">
        <v>64</v>
      </c>
      <c r="B243" t="s">
        <v>19</v>
      </c>
      <c r="C243" s="2">
        <v>45910</v>
      </c>
      <c r="D243" t="s">
        <v>35</v>
      </c>
      <c r="E243" t="s">
        <v>65</v>
      </c>
      <c r="F243" s="3">
        <v>9266</v>
      </c>
      <c r="G243" s="3">
        <v>999</v>
      </c>
      <c r="H243" s="3">
        <v>928</v>
      </c>
      <c r="I243" s="3">
        <v>2700</v>
      </c>
      <c r="J243" s="3">
        <v>12264</v>
      </c>
      <c r="K243" s="3">
        <v>128397</v>
      </c>
      <c r="L243" s="4">
        <v>8.7174933993784898E-2</v>
      </c>
      <c r="M243" t="s">
        <v>21</v>
      </c>
    </row>
    <row r="244" spans="1:13" x14ac:dyDescent="0.3">
      <c r="A244" t="s">
        <v>276</v>
      </c>
      <c r="B244" t="s">
        <v>14</v>
      </c>
      <c r="C244" s="2">
        <v>45910</v>
      </c>
      <c r="D244" t="s">
        <v>15</v>
      </c>
      <c r="E244" t="s">
        <v>20</v>
      </c>
      <c r="F244" s="3">
        <v>13613</v>
      </c>
      <c r="G244" s="3">
        <v>350</v>
      </c>
      <c r="H244" s="3">
        <v>809</v>
      </c>
      <c r="I244" s="3">
        <v>2013</v>
      </c>
      <c r="J244" s="3">
        <v>20471</v>
      </c>
      <c r="K244" s="3">
        <v>198038</v>
      </c>
      <c r="L244" s="4">
        <v>7.4591745018632805E-2</v>
      </c>
      <c r="M244" t="s">
        <v>21</v>
      </c>
    </row>
    <row r="245" spans="1:13" x14ac:dyDescent="0.3">
      <c r="A245" t="s">
        <v>69</v>
      </c>
      <c r="B245" t="s">
        <v>19</v>
      </c>
      <c r="C245" s="2">
        <v>45911</v>
      </c>
      <c r="D245" t="s">
        <v>35</v>
      </c>
      <c r="E245" t="s">
        <v>42</v>
      </c>
      <c r="F245" s="3">
        <v>10175</v>
      </c>
      <c r="G245" s="3">
        <v>342</v>
      </c>
      <c r="H245" s="3">
        <v>825</v>
      </c>
      <c r="I245" s="3">
        <v>2904</v>
      </c>
      <c r="J245" s="3">
        <v>15954</v>
      </c>
      <c r="K245" s="3">
        <v>104324</v>
      </c>
      <c r="L245" s="4">
        <v>0.10871899083624099</v>
      </c>
      <c r="M245" t="s">
        <v>21</v>
      </c>
    </row>
    <row r="246" spans="1:13" x14ac:dyDescent="0.3">
      <c r="A246" t="s">
        <v>277</v>
      </c>
      <c r="B246" t="s">
        <v>19</v>
      </c>
      <c r="C246" s="2">
        <v>45911</v>
      </c>
      <c r="D246" t="s">
        <v>28</v>
      </c>
      <c r="E246" t="s">
        <v>36</v>
      </c>
      <c r="F246" s="3">
        <v>21901</v>
      </c>
      <c r="G246" s="3">
        <v>1308</v>
      </c>
      <c r="H246" s="3">
        <v>724</v>
      </c>
      <c r="I246" s="3">
        <v>2183</v>
      </c>
      <c r="J246" s="3">
        <v>15996</v>
      </c>
      <c r="K246" s="3">
        <v>230961</v>
      </c>
      <c r="L246" s="4">
        <v>0.103623555492053</v>
      </c>
      <c r="M246" t="s">
        <v>21</v>
      </c>
    </row>
    <row r="247" spans="1:13" x14ac:dyDescent="0.3">
      <c r="A247" t="s">
        <v>70</v>
      </c>
      <c r="B247" t="s">
        <v>41</v>
      </c>
      <c r="C247" s="2">
        <v>45912</v>
      </c>
      <c r="D247" t="s">
        <v>24</v>
      </c>
      <c r="E247" t="s">
        <v>25</v>
      </c>
      <c r="F247" s="3">
        <v>17158</v>
      </c>
      <c r="G247" s="3">
        <v>1192</v>
      </c>
      <c r="H247" s="3">
        <v>262</v>
      </c>
      <c r="I247" s="3">
        <v>2016</v>
      </c>
      <c r="J247" s="3">
        <v>28771</v>
      </c>
      <c r="K247" s="3">
        <v>216037</v>
      </c>
      <c r="L247" s="4">
        <v>8.6151909163708101E-2</v>
      </c>
      <c r="M247" t="s">
        <v>21</v>
      </c>
    </row>
    <row r="248" spans="1:13" x14ac:dyDescent="0.3">
      <c r="A248" t="s">
        <v>279</v>
      </c>
      <c r="B248" t="s">
        <v>14</v>
      </c>
      <c r="C248" s="2">
        <v>45912</v>
      </c>
      <c r="D248" t="s">
        <v>28</v>
      </c>
      <c r="E248" t="s">
        <v>36</v>
      </c>
      <c r="F248" s="3">
        <v>15918</v>
      </c>
      <c r="G248" s="3">
        <v>1114</v>
      </c>
      <c r="H248" s="3">
        <v>392</v>
      </c>
      <c r="I248" s="3">
        <v>1641</v>
      </c>
      <c r="J248" s="3">
        <v>28044</v>
      </c>
      <c r="K248" s="3">
        <v>118714</v>
      </c>
      <c r="L248" s="4">
        <v>0.14677291642097801</v>
      </c>
      <c r="M248" t="s">
        <v>21</v>
      </c>
    </row>
    <row r="249" spans="1:13" x14ac:dyDescent="0.3">
      <c r="A249" t="s">
        <v>75</v>
      </c>
      <c r="B249" t="s">
        <v>23</v>
      </c>
      <c r="C249" s="2">
        <v>45913</v>
      </c>
      <c r="D249" t="s">
        <v>35</v>
      </c>
      <c r="E249" t="s">
        <v>36</v>
      </c>
      <c r="F249" s="3">
        <v>17106</v>
      </c>
      <c r="G249" s="3">
        <v>702</v>
      </c>
      <c r="H249" s="3">
        <v>459</v>
      </c>
      <c r="I249" s="3">
        <v>999</v>
      </c>
      <c r="J249" s="3">
        <v>59627</v>
      </c>
      <c r="K249" s="3">
        <v>136059</v>
      </c>
      <c r="L249" s="4">
        <v>0.13425793222058099</v>
      </c>
      <c r="M249" t="s">
        <v>21</v>
      </c>
    </row>
    <row r="250" spans="1:13" x14ac:dyDescent="0.3">
      <c r="A250" t="s">
        <v>281</v>
      </c>
      <c r="B250" t="s">
        <v>23</v>
      </c>
      <c r="C250" s="2">
        <v>45913</v>
      </c>
      <c r="D250" t="s">
        <v>28</v>
      </c>
      <c r="E250" t="s">
        <v>56</v>
      </c>
      <c r="F250" s="3">
        <v>15046</v>
      </c>
      <c r="G250" s="3">
        <v>281</v>
      </c>
      <c r="H250" s="3">
        <v>515</v>
      </c>
      <c r="I250" s="3">
        <v>550</v>
      </c>
      <c r="J250" s="3">
        <v>22583</v>
      </c>
      <c r="K250" s="3">
        <v>64596</v>
      </c>
      <c r="L250" s="4">
        <v>0.24524738373893101</v>
      </c>
      <c r="M250" t="s">
        <v>21</v>
      </c>
    </row>
    <row r="251" spans="1:13" x14ac:dyDescent="0.3">
      <c r="A251" t="s">
        <v>76</v>
      </c>
      <c r="B251" t="s">
        <v>14</v>
      </c>
      <c r="C251" s="2">
        <v>45914</v>
      </c>
      <c r="D251" t="s">
        <v>35</v>
      </c>
      <c r="E251" t="s">
        <v>38</v>
      </c>
      <c r="F251" s="3">
        <v>19844</v>
      </c>
      <c r="G251" s="3">
        <v>1020</v>
      </c>
      <c r="H251" s="3">
        <v>247</v>
      </c>
      <c r="I251" s="3">
        <v>2354</v>
      </c>
      <c r="J251" s="3">
        <v>37792</v>
      </c>
      <c r="K251" s="3">
        <v>138317</v>
      </c>
      <c r="L251" s="4">
        <v>0.152627659651381</v>
      </c>
      <c r="M251" t="s">
        <v>21</v>
      </c>
    </row>
    <row r="252" spans="1:13" x14ac:dyDescent="0.3">
      <c r="A252" t="s">
        <v>285</v>
      </c>
      <c r="B252" t="s">
        <v>23</v>
      </c>
      <c r="C252" s="2">
        <v>45914</v>
      </c>
      <c r="D252" t="s">
        <v>35</v>
      </c>
      <c r="E252" t="s">
        <v>51</v>
      </c>
      <c r="F252" s="3">
        <v>12787</v>
      </c>
      <c r="G252" s="3">
        <v>945</v>
      </c>
      <c r="H252" s="3">
        <v>974</v>
      </c>
      <c r="I252" s="3">
        <v>1407</v>
      </c>
      <c r="J252" s="3">
        <v>4037</v>
      </c>
      <c r="K252" s="3">
        <v>99182</v>
      </c>
      <c r="L252" s="4">
        <v>0.148272872093727</v>
      </c>
      <c r="M252" t="s">
        <v>21</v>
      </c>
    </row>
    <row r="253" spans="1:13" x14ac:dyDescent="0.3">
      <c r="A253" t="s">
        <v>77</v>
      </c>
      <c r="B253" t="s">
        <v>14</v>
      </c>
      <c r="C253" s="2">
        <v>45915</v>
      </c>
      <c r="D253" t="s">
        <v>24</v>
      </c>
      <c r="E253" t="s">
        <v>20</v>
      </c>
      <c r="F253" s="3">
        <v>5636</v>
      </c>
      <c r="G253" s="3">
        <v>303</v>
      </c>
      <c r="H253" s="3">
        <v>204</v>
      </c>
      <c r="I253" s="3">
        <v>2480</v>
      </c>
      <c r="J253" s="3">
        <v>7377</v>
      </c>
      <c r="K253" s="3">
        <v>241207</v>
      </c>
      <c r="L253" s="4">
        <v>2.5467751765081401E-2</v>
      </c>
      <c r="M253" t="s">
        <v>21</v>
      </c>
    </row>
    <row r="254" spans="1:13" x14ac:dyDescent="0.3">
      <c r="A254" t="s">
        <v>288</v>
      </c>
      <c r="B254" t="s">
        <v>41</v>
      </c>
      <c r="C254" s="2">
        <v>45915</v>
      </c>
      <c r="D254" t="s">
        <v>15</v>
      </c>
      <c r="E254" t="s">
        <v>36</v>
      </c>
      <c r="F254" s="3">
        <v>18389</v>
      </c>
      <c r="G254" s="3">
        <v>670</v>
      </c>
      <c r="H254" s="3">
        <v>655</v>
      </c>
      <c r="I254" s="3">
        <v>321</v>
      </c>
      <c r="J254" s="3">
        <v>21869</v>
      </c>
      <c r="K254" s="3">
        <v>96088</v>
      </c>
      <c r="L254" s="4">
        <v>0.20516609774373501</v>
      </c>
      <c r="M254" t="s">
        <v>21</v>
      </c>
    </row>
    <row r="255" spans="1:13" x14ac:dyDescent="0.3">
      <c r="A255" t="s">
        <v>79</v>
      </c>
      <c r="B255" t="s">
        <v>41</v>
      </c>
      <c r="C255" s="2">
        <v>45916</v>
      </c>
      <c r="D255" t="s">
        <v>24</v>
      </c>
      <c r="E255" t="s">
        <v>65</v>
      </c>
      <c r="F255" s="3">
        <v>6809</v>
      </c>
      <c r="G255" s="3">
        <v>397</v>
      </c>
      <c r="H255" s="3">
        <v>813</v>
      </c>
      <c r="I255" s="3">
        <v>1125</v>
      </c>
      <c r="J255" s="3">
        <v>12206</v>
      </c>
      <c r="K255" s="3">
        <v>218136</v>
      </c>
      <c r="L255" s="4">
        <v>3.6761469908680802E-2</v>
      </c>
      <c r="M255" t="s">
        <v>21</v>
      </c>
    </row>
    <row r="256" spans="1:13" x14ac:dyDescent="0.3">
      <c r="A256" t="s">
        <v>290</v>
      </c>
      <c r="B256" t="s">
        <v>19</v>
      </c>
      <c r="C256" s="2">
        <v>45916</v>
      </c>
      <c r="D256" t="s">
        <v>15</v>
      </c>
      <c r="E256" t="s">
        <v>65</v>
      </c>
      <c r="F256" s="3">
        <v>16043</v>
      </c>
      <c r="G256" s="3">
        <v>595</v>
      </c>
      <c r="H256" s="3">
        <v>923</v>
      </c>
      <c r="I256" s="3">
        <v>1194</v>
      </c>
      <c r="J256" s="3">
        <v>52613</v>
      </c>
      <c r="K256" s="3">
        <v>179978</v>
      </c>
      <c r="L256" s="4">
        <v>9.7573036704486096E-2</v>
      </c>
      <c r="M256" t="s">
        <v>21</v>
      </c>
    </row>
    <row r="257" spans="1:13" x14ac:dyDescent="0.3">
      <c r="A257" t="s">
        <v>81</v>
      </c>
      <c r="B257" t="s">
        <v>19</v>
      </c>
      <c r="C257" s="2">
        <v>45917</v>
      </c>
      <c r="D257" t="s">
        <v>24</v>
      </c>
      <c r="E257" t="s">
        <v>36</v>
      </c>
      <c r="F257" s="3">
        <v>15456</v>
      </c>
      <c r="G257" s="3">
        <v>590</v>
      </c>
      <c r="H257" s="3">
        <v>555</v>
      </c>
      <c r="I257" s="3">
        <v>2882</v>
      </c>
      <c r="J257" s="3">
        <v>49816</v>
      </c>
      <c r="K257" s="3">
        <v>240422</v>
      </c>
      <c r="L257" s="4">
        <v>6.9049421433978603E-2</v>
      </c>
      <c r="M257" t="s">
        <v>21</v>
      </c>
    </row>
    <row r="258" spans="1:13" x14ac:dyDescent="0.3">
      <c r="A258" t="s">
        <v>293</v>
      </c>
      <c r="B258" t="s">
        <v>14</v>
      </c>
      <c r="C258" s="2">
        <v>45917</v>
      </c>
      <c r="D258" t="s">
        <v>35</v>
      </c>
      <c r="E258" t="s">
        <v>36</v>
      </c>
      <c r="F258" s="3">
        <v>2117</v>
      </c>
      <c r="G258" s="3">
        <v>1133</v>
      </c>
      <c r="H258" s="3">
        <v>203</v>
      </c>
      <c r="I258" s="3">
        <v>1173</v>
      </c>
      <c r="J258" s="3">
        <v>40125</v>
      </c>
      <c r="K258" s="3">
        <v>85379</v>
      </c>
      <c r="L258" s="4">
        <v>4.0443200318579502E-2</v>
      </c>
      <c r="M258" t="s">
        <v>21</v>
      </c>
    </row>
    <row r="259" spans="1:13" x14ac:dyDescent="0.3">
      <c r="A259" t="s">
        <v>85</v>
      </c>
      <c r="B259" t="s">
        <v>41</v>
      </c>
      <c r="C259" s="2">
        <v>45918</v>
      </c>
      <c r="D259" t="s">
        <v>35</v>
      </c>
      <c r="E259" t="s">
        <v>51</v>
      </c>
      <c r="F259" s="3">
        <v>4048</v>
      </c>
      <c r="G259" s="3">
        <v>677</v>
      </c>
      <c r="H259" s="3">
        <v>911</v>
      </c>
      <c r="I259" s="3">
        <v>2429</v>
      </c>
      <c r="J259" s="3">
        <v>27361</v>
      </c>
      <c r="K259" s="3">
        <v>101272</v>
      </c>
      <c r="L259" s="4">
        <v>5.5652105221581503E-2</v>
      </c>
      <c r="M259" t="s">
        <v>21</v>
      </c>
    </row>
    <row r="260" spans="1:13" x14ac:dyDescent="0.3">
      <c r="A260" t="s">
        <v>233</v>
      </c>
      <c r="B260" t="s">
        <v>41</v>
      </c>
      <c r="C260" s="2">
        <v>45918</v>
      </c>
      <c r="D260" t="s">
        <v>24</v>
      </c>
      <c r="E260" t="s">
        <v>65</v>
      </c>
      <c r="F260" s="3">
        <v>10152</v>
      </c>
      <c r="G260" s="3">
        <v>1445</v>
      </c>
      <c r="H260" s="3">
        <v>526</v>
      </c>
      <c r="I260" s="3">
        <v>513</v>
      </c>
      <c r="J260" s="3">
        <v>18959</v>
      </c>
      <c r="K260" s="3">
        <v>43712</v>
      </c>
      <c r="L260" s="4">
        <v>0.27733803074670599</v>
      </c>
      <c r="M260" t="s">
        <v>21</v>
      </c>
    </row>
    <row r="261" spans="1:13" x14ac:dyDescent="0.3">
      <c r="A261" t="s">
        <v>317</v>
      </c>
      <c r="B261" t="s">
        <v>41</v>
      </c>
      <c r="C261" s="2">
        <v>45918</v>
      </c>
      <c r="D261" t="s">
        <v>28</v>
      </c>
      <c r="E261" t="s">
        <v>36</v>
      </c>
      <c r="F261" s="3">
        <v>3828</v>
      </c>
      <c r="G261" s="3">
        <v>203</v>
      </c>
      <c r="H261" s="3">
        <v>506</v>
      </c>
      <c r="I261" s="3">
        <v>2440</v>
      </c>
      <c r="J261" s="3">
        <v>63650</v>
      </c>
      <c r="K261" s="3">
        <v>126365</v>
      </c>
      <c r="L261" s="4">
        <v>3.5903929094290403E-2</v>
      </c>
      <c r="M261" t="s">
        <v>21</v>
      </c>
    </row>
    <row r="262" spans="1:13" x14ac:dyDescent="0.3">
      <c r="A262" t="s">
        <v>88</v>
      </c>
      <c r="B262" t="s">
        <v>41</v>
      </c>
      <c r="C262" s="2">
        <v>45919</v>
      </c>
      <c r="D262" t="s">
        <v>15</v>
      </c>
      <c r="E262" t="s">
        <v>38</v>
      </c>
      <c r="F262" s="3">
        <v>19100</v>
      </c>
      <c r="G262" s="3">
        <v>619</v>
      </c>
      <c r="H262" s="3">
        <v>297</v>
      </c>
      <c r="I262" s="3">
        <v>2312</v>
      </c>
      <c r="J262" s="3">
        <v>9730</v>
      </c>
      <c r="K262" s="3">
        <v>184832</v>
      </c>
      <c r="L262" s="4">
        <v>0.108292936288089</v>
      </c>
      <c r="M262" t="s">
        <v>21</v>
      </c>
    </row>
    <row r="263" spans="1:13" x14ac:dyDescent="0.3">
      <c r="A263" t="s">
        <v>235</v>
      </c>
      <c r="B263" t="s">
        <v>19</v>
      </c>
      <c r="C263" s="2">
        <v>45919</v>
      </c>
      <c r="D263" t="s">
        <v>35</v>
      </c>
      <c r="E263" t="s">
        <v>29</v>
      </c>
      <c r="F263" s="3">
        <v>14772</v>
      </c>
      <c r="G263" s="3">
        <v>1030</v>
      </c>
      <c r="H263" s="3">
        <v>508</v>
      </c>
      <c r="I263" s="3">
        <v>1876</v>
      </c>
      <c r="J263" s="3">
        <v>8882</v>
      </c>
      <c r="K263" s="3">
        <v>155142</v>
      </c>
      <c r="L263" s="4">
        <v>0.10512949426976601</v>
      </c>
      <c r="M263" t="s">
        <v>21</v>
      </c>
    </row>
    <row r="264" spans="1:13" x14ac:dyDescent="0.3">
      <c r="A264" t="s">
        <v>323</v>
      </c>
      <c r="B264" t="s">
        <v>14</v>
      </c>
      <c r="C264" s="2">
        <v>45919</v>
      </c>
      <c r="D264" t="s">
        <v>24</v>
      </c>
      <c r="E264" t="s">
        <v>38</v>
      </c>
      <c r="F264" s="3">
        <v>22128</v>
      </c>
      <c r="G264" s="3">
        <v>1004</v>
      </c>
      <c r="H264" s="3">
        <v>690</v>
      </c>
      <c r="I264" s="3">
        <v>2048</v>
      </c>
      <c r="J264" s="3">
        <v>19443</v>
      </c>
      <c r="K264" s="3">
        <v>103646</v>
      </c>
      <c r="L264" s="4">
        <v>0.22984003241803799</v>
      </c>
      <c r="M264" t="s">
        <v>21</v>
      </c>
    </row>
    <row r="265" spans="1:13" x14ac:dyDescent="0.3">
      <c r="A265" t="s">
        <v>98</v>
      </c>
      <c r="B265" t="s">
        <v>14</v>
      </c>
      <c r="C265" s="2">
        <v>45920</v>
      </c>
      <c r="D265" t="s">
        <v>15</v>
      </c>
      <c r="E265" t="s">
        <v>51</v>
      </c>
      <c r="F265" s="3">
        <v>18633</v>
      </c>
      <c r="G265" s="3">
        <v>797</v>
      </c>
      <c r="H265" s="3">
        <v>303</v>
      </c>
      <c r="I265" s="3">
        <v>659</v>
      </c>
      <c r="J265" s="3">
        <v>7</v>
      </c>
      <c r="K265" s="3">
        <v>122189</v>
      </c>
      <c r="L265" s="4">
        <v>0.161495715653619</v>
      </c>
      <c r="M265" t="s">
        <v>21</v>
      </c>
    </row>
    <row r="266" spans="1:13" x14ac:dyDescent="0.3">
      <c r="A266" t="s">
        <v>236</v>
      </c>
      <c r="B266" t="s">
        <v>23</v>
      </c>
      <c r="C266" s="2">
        <v>45920</v>
      </c>
      <c r="D266" t="s">
        <v>15</v>
      </c>
      <c r="E266" t="s">
        <v>38</v>
      </c>
      <c r="F266" s="3">
        <v>12267</v>
      </c>
      <c r="G266" s="3">
        <v>1487</v>
      </c>
      <c r="H266" s="3">
        <v>489</v>
      </c>
      <c r="I266" s="3">
        <v>2748</v>
      </c>
      <c r="J266" s="3">
        <v>34685</v>
      </c>
      <c r="K266" s="3">
        <v>131736</v>
      </c>
      <c r="L266" s="4">
        <v>0.108117750652821</v>
      </c>
      <c r="M266" t="s">
        <v>21</v>
      </c>
    </row>
    <row r="267" spans="1:13" x14ac:dyDescent="0.3">
      <c r="A267" t="s">
        <v>327</v>
      </c>
      <c r="B267" t="s">
        <v>19</v>
      </c>
      <c r="C267" s="2">
        <v>45920</v>
      </c>
      <c r="D267" t="s">
        <v>15</v>
      </c>
      <c r="E267" t="s">
        <v>33</v>
      </c>
      <c r="F267" s="3">
        <v>24422</v>
      </c>
      <c r="G267" s="3">
        <v>327</v>
      </c>
      <c r="H267" s="3">
        <v>481</v>
      </c>
      <c r="I267" s="3">
        <v>2371</v>
      </c>
      <c r="J267" s="3">
        <v>35340</v>
      </c>
      <c r="K267" s="3">
        <v>245244</v>
      </c>
      <c r="L267" s="4">
        <v>0.10287713460879799</v>
      </c>
      <c r="M267" t="s">
        <v>21</v>
      </c>
    </row>
    <row r="268" spans="1:13" x14ac:dyDescent="0.3">
      <c r="A268" t="s">
        <v>109</v>
      </c>
      <c r="B268" t="s">
        <v>23</v>
      </c>
      <c r="C268" s="2">
        <v>45921</v>
      </c>
      <c r="D268" t="s">
        <v>28</v>
      </c>
      <c r="E268" t="s">
        <v>16</v>
      </c>
      <c r="F268" s="3">
        <v>23103</v>
      </c>
      <c r="G268" s="3">
        <v>1380</v>
      </c>
      <c r="H268" s="3">
        <v>191</v>
      </c>
      <c r="I268" s="3">
        <v>1547</v>
      </c>
      <c r="J268" s="3">
        <v>77798</v>
      </c>
      <c r="K268" s="3">
        <v>148856</v>
      </c>
      <c r="L268" s="4">
        <v>0.16575751061428501</v>
      </c>
      <c r="M268" t="s">
        <v>21</v>
      </c>
    </row>
    <row r="269" spans="1:13" x14ac:dyDescent="0.3">
      <c r="A269" t="s">
        <v>239</v>
      </c>
      <c r="B269" t="s">
        <v>19</v>
      </c>
      <c r="C269" s="2">
        <v>45921</v>
      </c>
      <c r="D269" t="s">
        <v>15</v>
      </c>
      <c r="E269" t="s">
        <v>116</v>
      </c>
      <c r="F269" s="3">
        <v>19680</v>
      </c>
      <c r="G269" s="3">
        <v>999</v>
      </c>
      <c r="H269" s="3">
        <v>838</v>
      </c>
      <c r="I269" s="3">
        <v>891</v>
      </c>
      <c r="J269" s="3">
        <v>29576</v>
      </c>
      <c r="K269" s="3">
        <v>129152</v>
      </c>
      <c r="L269" s="4">
        <v>0.16660214321110001</v>
      </c>
      <c r="M269" t="s">
        <v>21</v>
      </c>
    </row>
    <row r="270" spans="1:13" x14ac:dyDescent="0.3">
      <c r="A270" t="s">
        <v>115</v>
      </c>
      <c r="B270" t="s">
        <v>14</v>
      </c>
      <c r="C270" s="2">
        <v>45922</v>
      </c>
      <c r="D270" t="s">
        <v>28</v>
      </c>
      <c r="E270" t="s">
        <v>116</v>
      </c>
      <c r="F270" s="3">
        <v>8996</v>
      </c>
      <c r="G270" s="3">
        <v>329</v>
      </c>
      <c r="H270" s="3">
        <v>378</v>
      </c>
      <c r="I270" s="3">
        <v>2384</v>
      </c>
      <c r="J270" s="3">
        <v>39404</v>
      </c>
      <c r="K270" s="3">
        <v>242724</v>
      </c>
      <c r="L270" s="4">
        <v>3.9975445361810101E-2</v>
      </c>
      <c r="M270" t="s">
        <v>21</v>
      </c>
    </row>
    <row r="271" spans="1:13" x14ac:dyDescent="0.3">
      <c r="A271" t="s">
        <v>241</v>
      </c>
      <c r="B271" t="s">
        <v>23</v>
      </c>
      <c r="C271" s="2">
        <v>45922</v>
      </c>
      <c r="D271" t="s">
        <v>35</v>
      </c>
      <c r="E271" t="s">
        <v>33</v>
      </c>
      <c r="F271" s="3">
        <v>18509</v>
      </c>
      <c r="G271" s="3">
        <v>361</v>
      </c>
      <c r="H271" s="3">
        <v>578</v>
      </c>
      <c r="I271" s="3">
        <v>1409</v>
      </c>
      <c r="J271" s="3">
        <v>10569</v>
      </c>
      <c r="K271" s="3">
        <v>166969</v>
      </c>
      <c r="L271" s="4">
        <v>0.1164767112458</v>
      </c>
      <c r="M271" t="s">
        <v>21</v>
      </c>
    </row>
    <row r="272" spans="1:13" x14ac:dyDescent="0.3">
      <c r="A272" t="s">
        <v>126</v>
      </c>
      <c r="B272" t="s">
        <v>19</v>
      </c>
      <c r="C272" s="2">
        <v>45923</v>
      </c>
      <c r="D272" t="s">
        <v>15</v>
      </c>
      <c r="E272" t="s">
        <v>116</v>
      </c>
      <c r="F272" s="3">
        <v>10017</v>
      </c>
      <c r="G272" s="3">
        <v>1357</v>
      </c>
      <c r="H272" s="3">
        <v>966</v>
      </c>
      <c r="I272" s="3">
        <v>2871</v>
      </c>
      <c r="J272" s="3">
        <v>14800</v>
      </c>
      <c r="K272" s="3">
        <v>171691</v>
      </c>
      <c r="L272" s="4">
        <v>7.1873307278774098E-2</v>
      </c>
      <c r="M272" t="s">
        <v>21</v>
      </c>
    </row>
    <row r="273" spans="1:13" x14ac:dyDescent="0.3">
      <c r="A273" t="s">
        <v>242</v>
      </c>
      <c r="B273" t="s">
        <v>19</v>
      </c>
      <c r="C273" s="2">
        <v>45923</v>
      </c>
      <c r="D273" t="s">
        <v>24</v>
      </c>
      <c r="E273" t="s">
        <v>51</v>
      </c>
      <c r="F273" s="3">
        <v>17147</v>
      </c>
      <c r="G273" s="3">
        <v>286</v>
      </c>
      <c r="H273" s="3">
        <v>291</v>
      </c>
      <c r="I273" s="3">
        <v>2439</v>
      </c>
      <c r="J273" s="3">
        <v>45631</v>
      </c>
      <c r="K273" s="3">
        <v>140494</v>
      </c>
      <c r="L273" s="4">
        <v>0.12615485358805401</v>
      </c>
      <c r="M273" t="s">
        <v>21</v>
      </c>
    </row>
    <row r="274" spans="1:13" x14ac:dyDescent="0.3">
      <c r="A274" t="s">
        <v>128</v>
      </c>
      <c r="B274" t="s">
        <v>19</v>
      </c>
      <c r="C274" s="2">
        <v>45924</v>
      </c>
      <c r="D274" t="s">
        <v>24</v>
      </c>
      <c r="E274" t="s">
        <v>36</v>
      </c>
      <c r="F274" s="3">
        <v>12209</v>
      </c>
      <c r="G274" s="3">
        <v>222</v>
      </c>
      <c r="H274" s="3">
        <v>479</v>
      </c>
      <c r="I274" s="3">
        <v>2748</v>
      </c>
      <c r="J274" s="3">
        <v>24615</v>
      </c>
      <c r="K274" s="3">
        <v>74707</v>
      </c>
      <c r="L274" s="4">
        <v>0.17280843829895501</v>
      </c>
      <c r="M274" t="s">
        <v>21</v>
      </c>
    </row>
    <row r="275" spans="1:13" x14ac:dyDescent="0.3">
      <c r="A275" t="s">
        <v>248</v>
      </c>
      <c r="B275" t="s">
        <v>14</v>
      </c>
      <c r="C275" s="2">
        <v>45924</v>
      </c>
      <c r="D275" t="s">
        <v>15</v>
      </c>
      <c r="E275" t="s">
        <v>65</v>
      </c>
      <c r="F275" s="3">
        <v>11795</v>
      </c>
      <c r="G275" s="3">
        <v>958</v>
      </c>
      <c r="H275" s="3">
        <v>814</v>
      </c>
      <c r="I275" s="3">
        <v>301</v>
      </c>
      <c r="J275" s="3">
        <v>12564</v>
      </c>
      <c r="K275" s="3">
        <v>179999</v>
      </c>
      <c r="L275" s="4">
        <v>7.5372640959116402E-2</v>
      </c>
      <c r="M275" t="s">
        <v>21</v>
      </c>
    </row>
    <row r="276" spans="1:13" x14ac:dyDescent="0.3">
      <c r="A276" t="s">
        <v>335</v>
      </c>
      <c r="B276" t="s">
        <v>14</v>
      </c>
      <c r="C276" s="2">
        <v>45924</v>
      </c>
      <c r="D276" t="s">
        <v>24</v>
      </c>
      <c r="E276" t="s">
        <v>42</v>
      </c>
      <c r="F276" s="3">
        <v>3342</v>
      </c>
      <c r="G276" s="3">
        <v>787</v>
      </c>
      <c r="H276" s="3">
        <v>375</v>
      </c>
      <c r="I276" s="3">
        <v>907</v>
      </c>
      <c r="J276" s="3">
        <v>85823</v>
      </c>
      <c r="K276" s="3">
        <v>99189</v>
      </c>
      <c r="L276" s="4">
        <v>4.5408260996683103E-2</v>
      </c>
      <c r="M276" t="s">
        <v>21</v>
      </c>
    </row>
    <row r="277" spans="1:13" x14ac:dyDescent="0.3">
      <c r="A277" t="s">
        <v>137</v>
      </c>
      <c r="B277" t="s">
        <v>23</v>
      </c>
      <c r="C277" s="2">
        <v>45925</v>
      </c>
      <c r="D277" t="s">
        <v>15</v>
      </c>
      <c r="E277" t="s">
        <v>33</v>
      </c>
      <c r="F277" s="3">
        <v>20564</v>
      </c>
      <c r="G277" s="3">
        <v>1433</v>
      </c>
      <c r="H277" s="3">
        <v>488</v>
      </c>
      <c r="I277" s="3">
        <v>1015</v>
      </c>
      <c r="J277" s="3">
        <v>24333</v>
      </c>
      <c r="K277" s="3">
        <v>172130</v>
      </c>
      <c r="L277" s="4">
        <v>0.13062801371056801</v>
      </c>
      <c r="M277" t="s">
        <v>21</v>
      </c>
    </row>
    <row r="278" spans="1:13" x14ac:dyDescent="0.3">
      <c r="A278" t="s">
        <v>252</v>
      </c>
      <c r="B278" t="s">
        <v>14</v>
      </c>
      <c r="C278" s="2">
        <v>45925</v>
      </c>
      <c r="D278" t="s">
        <v>28</v>
      </c>
      <c r="E278" t="s">
        <v>56</v>
      </c>
      <c r="F278" s="3">
        <v>8371</v>
      </c>
      <c r="G278" s="3">
        <v>960</v>
      </c>
      <c r="H278" s="3">
        <v>548</v>
      </c>
      <c r="I278" s="3">
        <v>2936</v>
      </c>
      <c r="J278" s="3">
        <v>82543</v>
      </c>
      <c r="K278" s="3">
        <v>119973</v>
      </c>
      <c r="L278" s="4">
        <v>8.2343527293641097E-2</v>
      </c>
      <c r="M278" t="s">
        <v>21</v>
      </c>
    </row>
    <row r="279" spans="1:13" x14ac:dyDescent="0.3">
      <c r="A279" t="s">
        <v>336</v>
      </c>
      <c r="B279" t="s">
        <v>23</v>
      </c>
      <c r="C279" s="2">
        <v>45925</v>
      </c>
      <c r="D279" t="s">
        <v>35</v>
      </c>
      <c r="E279" t="s">
        <v>56</v>
      </c>
      <c r="F279" s="3">
        <v>12568</v>
      </c>
      <c r="G279" s="3">
        <v>541</v>
      </c>
      <c r="H279" s="3">
        <v>273</v>
      </c>
      <c r="I279" s="3">
        <v>2767</v>
      </c>
      <c r="J279" s="3">
        <v>22331</v>
      </c>
      <c r="K279" s="3">
        <v>192747</v>
      </c>
      <c r="L279" s="4">
        <v>6.94277991356545E-2</v>
      </c>
      <c r="M279" t="s">
        <v>21</v>
      </c>
    </row>
    <row r="280" spans="1:13" x14ac:dyDescent="0.3">
      <c r="A280" t="s">
        <v>139</v>
      </c>
      <c r="B280" t="s">
        <v>41</v>
      </c>
      <c r="C280" s="2">
        <v>45926</v>
      </c>
      <c r="D280" t="s">
        <v>35</v>
      </c>
      <c r="E280" t="s">
        <v>33</v>
      </c>
      <c r="F280" s="3">
        <v>9043</v>
      </c>
      <c r="G280" s="3">
        <v>1192</v>
      </c>
      <c r="H280" s="3">
        <v>810</v>
      </c>
      <c r="I280" s="3">
        <v>1550</v>
      </c>
      <c r="J280" s="3">
        <v>5221</v>
      </c>
      <c r="K280" s="3">
        <v>199476</v>
      </c>
      <c r="L280" s="4">
        <v>5.53700695823056E-2</v>
      </c>
      <c r="M280" t="s">
        <v>21</v>
      </c>
    </row>
    <row r="281" spans="1:13" x14ac:dyDescent="0.3">
      <c r="A281" t="s">
        <v>254</v>
      </c>
      <c r="B281" t="s">
        <v>19</v>
      </c>
      <c r="C281" s="2">
        <v>45926</v>
      </c>
      <c r="D281" t="s">
        <v>35</v>
      </c>
      <c r="E281" t="s">
        <v>16</v>
      </c>
      <c r="F281" s="3">
        <v>16369</v>
      </c>
      <c r="G281" s="3">
        <v>1452</v>
      </c>
      <c r="H281" s="3">
        <v>493</v>
      </c>
      <c r="I281" s="3">
        <v>1217</v>
      </c>
      <c r="J281" s="3">
        <v>91440</v>
      </c>
      <c r="K281" s="3">
        <v>149834</v>
      </c>
      <c r="L281" s="4">
        <v>0.12222859965028</v>
      </c>
      <c r="M281" t="s">
        <v>21</v>
      </c>
    </row>
    <row r="282" spans="1:13" x14ac:dyDescent="0.3">
      <c r="A282" t="s">
        <v>337</v>
      </c>
      <c r="B282" t="s">
        <v>19</v>
      </c>
      <c r="C282" s="2">
        <v>45926</v>
      </c>
      <c r="D282" t="s">
        <v>28</v>
      </c>
      <c r="E282" t="s">
        <v>42</v>
      </c>
      <c r="F282" s="3">
        <v>21216</v>
      </c>
      <c r="G282" s="3">
        <v>226</v>
      </c>
      <c r="H282" s="3">
        <v>187</v>
      </c>
      <c r="I282" s="3">
        <v>1573</v>
      </c>
      <c r="J282" s="3">
        <v>62688</v>
      </c>
      <c r="K282" s="3">
        <v>111031</v>
      </c>
      <c r="L282" s="4">
        <v>0.19480145184678199</v>
      </c>
      <c r="M282" t="s">
        <v>21</v>
      </c>
    </row>
    <row r="283" spans="1:13" x14ac:dyDescent="0.3">
      <c r="A283" t="s">
        <v>140</v>
      </c>
      <c r="B283" t="s">
        <v>41</v>
      </c>
      <c r="C283" s="2">
        <v>45927</v>
      </c>
      <c r="D283" t="s">
        <v>24</v>
      </c>
      <c r="E283" t="s">
        <v>20</v>
      </c>
      <c r="F283" s="3">
        <v>18521</v>
      </c>
      <c r="G283" s="3">
        <v>1027</v>
      </c>
      <c r="H283" s="3">
        <v>230</v>
      </c>
      <c r="I283" s="3">
        <v>1247</v>
      </c>
      <c r="J283" s="3">
        <v>39588</v>
      </c>
      <c r="K283" s="3">
        <v>200928</v>
      </c>
      <c r="L283" s="4">
        <v>9.8433269628921793E-2</v>
      </c>
      <c r="M283" t="s">
        <v>21</v>
      </c>
    </row>
    <row r="284" spans="1:13" x14ac:dyDescent="0.3">
      <c r="A284" t="s">
        <v>145</v>
      </c>
      <c r="B284" t="s">
        <v>19</v>
      </c>
      <c r="C284" s="2">
        <v>45928</v>
      </c>
      <c r="D284" t="s">
        <v>35</v>
      </c>
      <c r="E284" t="s">
        <v>38</v>
      </c>
      <c r="F284" s="3">
        <v>21963</v>
      </c>
      <c r="G284" s="3">
        <v>1356</v>
      </c>
      <c r="H284" s="3">
        <v>349</v>
      </c>
      <c r="I284" s="3">
        <v>1206</v>
      </c>
      <c r="J284" s="3">
        <v>51755</v>
      </c>
      <c r="K284" s="3">
        <v>159273</v>
      </c>
      <c r="L284" s="4">
        <v>0.14860020216860401</v>
      </c>
      <c r="M284" t="s">
        <v>21</v>
      </c>
    </row>
    <row r="285" spans="1:13" x14ac:dyDescent="0.3">
      <c r="A285" t="s">
        <v>150</v>
      </c>
      <c r="B285" t="s">
        <v>19</v>
      </c>
      <c r="C285" s="2">
        <v>45929</v>
      </c>
      <c r="D285" t="s">
        <v>28</v>
      </c>
      <c r="E285" t="s">
        <v>56</v>
      </c>
      <c r="F285" s="3">
        <v>7569</v>
      </c>
      <c r="G285" s="3">
        <v>803</v>
      </c>
      <c r="H285" s="3">
        <v>804</v>
      </c>
      <c r="I285" s="3">
        <v>1753</v>
      </c>
      <c r="J285" s="3">
        <v>43582</v>
      </c>
      <c r="K285" s="3">
        <v>166945</v>
      </c>
      <c r="L285" s="4">
        <v>5.4964209769684601E-2</v>
      </c>
      <c r="M285" t="s">
        <v>21</v>
      </c>
    </row>
    <row r="286" spans="1:13" x14ac:dyDescent="0.3">
      <c r="A286" t="s">
        <v>152</v>
      </c>
      <c r="B286" t="s">
        <v>14</v>
      </c>
      <c r="C286" s="2">
        <v>45930</v>
      </c>
      <c r="D286" t="s">
        <v>24</v>
      </c>
      <c r="E286" t="s">
        <v>16</v>
      </c>
      <c r="F286" s="3">
        <v>8269</v>
      </c>
      <c r="G286" s="3">
        <v>250</v>
      </c>
      <c r="H286" s="3">
        <v>638</v>
      </c>
      <c r="I286" s="3">
        <v>815</v>
      </c>
      <c r="J286" s="3">
        <v>41991</v>
      </c>
      <c r="K286" s="3">
        <v>129393</v>
      </c>
      <c r="L286" s="4">
        <v>7.0768897853825202E-2</v>
      </c>
      <c r="M286" t="s">
        <v>21</v>
      </c>
    </row>
    <row r="287" spans="1:13" x14ac:dyDescent="0.3">
      <c r="A287" t="s">
        <v>171</v>
      </c>
      <c r="B287" t="s">
        <v>23</v>
      </c>
      <c r="C287" s="2">
        <v>45931</v>
      </c>
      <c r="D287" t="s">
        <v>35</v>
      </c>
      <c r="E287" t="s">
        <v>33</v>
      </c>
      <c r="F287" s="3">
        <v>6188</v>
      </c>
      <c r="G287" s="3">
        <v>774</v>
      </c>
      <c r="H287" s="3">
        <v>647</v>
      </c>
      <c r="I287" s="3">
        <v>1830</v>
      </c>
      <c r="J287" s="3">
        <v>55436</v>
      </c>
      <c r="K287" s="3">
        <v>175542</v>
      </c>
      <c r="L287" s="4">
        <v>4.3345752013763103E-2</v>
      </c>
      <c r="M287" t="s">
        <v>21</v>
      </c>
    </row>
    <row r="288" spans="1:13" x14ac:dyDescent="0.3">
      <c r="A288" t="s">
        <v>173</v>
      </c>
      <c r="B288" t="s">
        <v>23</v>
      </c>
      <c r="C288" s="2">
        <v>45932</v>
      </c>
      <c r="D288" t="s">
        <v>35</v>
      </c>
      <c r="E288" t="s">
        <v>25</v>
      </c>
      <c r="F288" s="3">
        <v>12161</v>
      </c>
      <c r="G288" s="3">
        <v>736</v>
      </c>
      <c r="H288" s="3">
        <v>876</v>
      </c>
      <c r="I288" s="3">
        <v>1233</v>
      </c>
      <c r="J288" s="3">
        <v>21337</v>
      </c>
      <c r="K288" s="3">
        <v>50225</v>
      </c>
      <c r="L288" s="4">
        <v>0.27422598307615698</v>
      </c>
      <c r="M288" t="s">
        <v>21</v>
      </c>
    </row>
    <row r="289" spans="1:13" x14ac:dyDescent="0.3">
      <c r="A289" t="s">
        <v>178</v>
      </c>
      <c r="B289" t="s">
        <v>19</v>
      </c>
      <c r="C289" s="2">
        <v>45933</v>
      </c>
      <c r="D289" t="s">
        <v>15</v>
      </c>
      <c r="E289" t="s">
        <v>42</v>
      </c>
      <c r="F289" s="3">
        <v>6777</v>
      </c>
      <c r="G289" s="3">
        <v>617</v>
      </c>
      <c r="H289" s="3">
        <v>551</v>
      </c>
      <c r="I289" s="3">
        <v>2109</v>
      </c>
      <c r="J289" s="3">
        <v>18559</v>
      </c>
      <c r="K289" s="3">
        <v>208452</v>
      </c>
      <c r="L289" s="4">
        <v>3.81142901003588E-2</v>
      </c>
      <c r="M289" t="s">
        <v>21</v>
      </c>
    </row>
    <row r="290" spans="1:13" x14ac:dyDescent="0.3">
      <c r="A290" t="s">
        <v>189</v>
      </c>
      <c r="B290" t="s">
        <v>14</v>
      </c>
      <c r="C290" s="2">
        <v>45934</v>
      </c>
      <c r="D290" t="s">
        <v>28</v>
      </c>
      <c r="E290" t="s">
        <v>116</v>
      </c>
      <c r="F290" s="3">
        <v>12488</v>
      </c>
      <c r="G290" s="3">
        <v>1403</v>
      </c>
      <c r="H290" s="3">
        <v>247</v>
      </c>
      <c r="I290" s="3">
        <v>1350</v>
      </c>
      <c r="J290" s="3">
        <v>28370</v>
      </c>
      <c r="K290" s="3">
        <v>76487</v>
      </c>
      <c r="L290" s="4">
        <v>0.184841868552826</v>
      </c>
      <c r="M290" t="s">
        <v>21</v>
      </c>
    </row>
    <row r="291" spans="1:13" x14ac:dyDescent="0.3">
      <c r="A291" t="s">
        <v>196</v>
      </c>
      <c r="B291" t="s">
        <v>23</v>
      </c>
      <c r="C291" s="2">
        <v>45935</v>
      </c>
      <c r="D291" t="s">
        <v>24</v>
      </c>
      <c r="E291" t="s">
        <v>36</v>
      </c>
      <c r="F291" s="3">
        <v>21262</v>
      </c>
      <c r="G291" s="3">
        <v>861</v>
      </c>
      <c r="H291" s="3">
        <v>676</v>
      </c>
      <c r="I291" s="3">
        <v>2263</v>
      </c>
      <c r="J291" s="3">
        <v>12085</v>
      </c>
      <c r="K291" s="3">
        <v>201731</v>
      </c>
      <c r="L291" s="4">
        <v>0.113016839256237</v>
      </c>
      <c r="M291" t="s">
        <v>21</v>
      </c>
    </row>
    <row r="292" spans="1:13" x14ac:dyDescent="0.3">
      <c r="A292" t="s">
        <v>198</v>
      </c>
      <c r="B292" t="s">
        <v>14</v>
      </c>
      <c r="C292" s="2">
        <v>45936</v>
      </c>
      <c r="D292" t="s">
        <v>28</v>
      </c>
      <c r="E292" t="s">
        <v>25</v>
      </c>
      <c r="F292" s="3">
        <v>22028</v>
      </c>
      <c r="G292" s="3">
        <v>355</v>
      </c>
      <c r="H292" s="3">
        <v>665</v>
      </c>
      <c r="I292" s="3">
        <v>1859</v>
      </c>
      <c r="J292" s="3">
        <v>50565</v>
      </c>
      <c r="K292" s="3">
        <v>202962</v>
      </c>
      <c r="L292" s="4">
        <v>0.11355820301337199</v>
      </c>
      <c r="M292" t="s">
        <v>21</v>
      </c>
    </row>
    <row r="293" spans="1:13" x14ac:dyDescent="0.3">
      <c r="A293" t="s">
        <v>202</v>
      </c>
      <c r="B293" t="s">
        <v>41</v>
      </c>
      <c r="C293" s="2">
        <v>45937</v>
      </c>
      <c r="D293" t="s">
        <v>35</v>
      </c>
      <c r="E293" t="s">
        <v>38</v>
      </c>
      <c r="F293" s="3">
        <v>19660</v>
      </c>
      <c r="G293" s="3">
        <v>1307</v>
      </c>
      <c r="H293" s="3">
        <v>310</v>
      </c>
      <c r="I293" s="3">
        <v>2802</v>
      </c>
      <c r="J293" s="3">
        <v>22171</v>
      </c>
      <c r="K293" s="3">
        <v>213359</v>
      </c>
      <c r="L293" s="4">
        <v>9.9723939463533307E-2</v>
      </c>
      <c r="M293" t="s">
        <v>21</v>
      </c>
    </row>
    <row r="294" spans="1:13" x14ac:dyDescent="0.3">
      <c r="A294" t="s">
        <v>212</v>
      </c>
      <c r="B294" t="s">
        <v>19</v>
      </c>
      <c r="C294" s="2">
        <v>45938</v>
      </c>
      <c r="D294" t="s">
        <v>24</v>
      </c>
      <c r="E294" t="s">
        <v>51</v>
      </c>
      <c r="F294" s="3">
        <v>17745</v>
      </c>
      <c r="G294" s="3">
        <v>414</v>
      </c>
      <c r="H294" s="3">
        <v>563</v>
      </c>
      <c r="I294" s="3">
        <v>2733</v>
      </c>
      <c r="J294" s="3">
        <v>995</v>
      </c>
      <c r="K294" s="3">
        <v>231648</v>
      </c>
      <c r="L294" s="4">
        <v>8.0820900676889101E-2</v>
      </c>
      <c r="M294" t="s">
        <v>21</v>
      </c>
    </row>
    <row r="295" spans="1:13" x14ac:dyDescent="0.3">
      <c r="A295" t="s">
        <v>213</v>
      </c>
      <c r="B295" t="s">
        <v>41</v>
      </c>
      <c r="C295" s="2">
        <v>45939</v>
      </c>
      <c r="D295" t="s">
        <v>35</v>
      </c>
      <c r="E295" t="s">
        <v>25</v>
      </c>
      <c r="F295" s="3">
        <v>18748</v>
      </c>
      <c r="G295" s="3">
        <v>634</v>
      </c>
      <c r="H295" s="3">
        <v>400</v>
      </c>
      <c r="I295" s="3">
        <v>1667</v>
      </c>
      <c r="J295" s="3">
        <v>75813</v>
      </c>
      <c r="K295" s="3">
        <v>244456</v>
      </c>
      <c r="L295" s="4">
        <v>8.0922538207284803E-2</v>
      </c>
      <c r="M295" t="s">
        <v>21</v>
      </c>
    </row>
    <row r="296" spans="1:13" x14ac:dyDescent="0.3">
      <c r="A296" t="s">
        <v>215</v>
      </c>
      <c r="B296" t="s">
        <v>14</v>
      </c>
      <c r="C296" s="2">
        <v>45940</v>
      </c>
      <c r="D296" t="s">
        <v>35</v>
      </c>
      <c r="E296" t="s">
        <v>25</v>
      </c>
      <c r="F296" s="3">
        <v>6621</v>
      </c>
      <c r="G296" s="3">
        <v>922</v>
      </c>
      <c r="H296" s="3">
        <v>930</v>
      </c>
      <c r="I296" s="3">
        <v>694</v>
      </c>
      <c r="J296" s="3">
        <v>839</v>
      </c>
      <c r="K296" s="3">
        <v>243532</v>
      </c>
      <c r="L296" s="4">
        <v>3.4792142305733999E-2</v>
      </c>
      <c r="M296" t="s">
        <v>21</v>
      </c>
    </row>
    <row r="297" spans="1:13" x14ac:dyDescent="0.3">
      <c r="A297" t="s">
        <v>217</v>
      </c>
      <c r="B297" t="s">
        <v>14</v>
      </c>
      <c r="C297" s="2">
        <v>45941</v>
      </c>
      <c r="D297" t="s">
        <v>35</v>
      </c>
      <c r="E297" t="s">
        <v>38</v>
      </c>
      <c r="F297" s="3">
        <v>15623</v>
      </c>
      <c r="G297" s="3">
        <v>869</v>
      </c>
      <c r="H297" s="3">
        <v>423</v>
      </c>
      <c r="I297" s="3">
        <v>371</v>
      </c>
      <c r="J297" s="3">
        <v>47579</v>
      </c>
      <c r="K297" s="3">
        <v>158516</v>
      </c>
      <c r="L297" s="4">
        <v>0.106708471069167</v>
      </c>
      <c r="M297" t="s">
        <v>21</v>
      </c>
    </row>
    <row r="298" spans="1:13" x14ac:dyDescent="0.3">
      <c r="A298" t="s">
        <v>218</v>
      </c>
      <c r="B298" t="s">
        <v>23</v>
      </c>
      <c r="C298" s="2">
        <v>45942</v>
      </c>
      <c r="D298" t="s">
        <v>35</v>
      </c>
      <c r="E298" t="s">
        <v>38</v>
      </c>
      <c r="F298" s="3">
        <v>7126</v>
      </c>
      <c r="G298" s="3">
        <v>484</v>
      </c>
      <c r="H298" s="3">
        <v>565</v>
      </c>
      <c r="I298" s="3">
        <v>573</v>
      </c>
      <c r="J298" s="3">
        <v>7389</v>
      </c>
      <c r="K298" s="3">
        <v>237096</v>
      </c>
      <c r="L298" s="4">
        <v>3.4479704423524597E-2</v>
      </c>
      <c r="M298" t="s">
        <v>21</v>
      </c>
    </row>
    <row r="299" spans="1:13" x14ac:dyDescent="0.3">
      <c r="A299" t="s">
        <v>221</v>
      </c>
      <c r="B299" t="s">
        <v>14</v>
      </c>
      <c r="C299" s="2">
        <v>45943</v>
      </c>
      <c r="D299" t="s">
        <v>28</v>
      </c>
      <c r="E299" t="s">
        <v>51</v>
      </c>
      <c r="F299" s="3">
        <v>19302</v>
      </c>
      <c r="G299" s="3">
        <v>1367</v>
      </c>
      <c r="H299" s="3">
        <v>188</v>
      </c>
      <c r="I299" s="3">
        <v>637</v>
      </c>
      <c r="J299" s="3">
        <v>31404</v>
      </c>
      <c r="K299" s="3">
        <v>154044</v>
      </c>
      <c r="L299" s="4">
        <v>0.13539638025499201</v>
      </c>
      <c r="M299" t="s">
        <v>21</v>
      </c>
    </row>
    <row r="300" spans="1:13" x14ac:dyDescent="0.3">
      <c r="A300" t="s">
        <v>228</v>
      </c>
      <c r="B300" t="s">
        <v>14</v>
      </c>
      <c r="C300" s="2">
        <v>45944</v>
      </c>
      <c r="D300" t="s">
        <v>35</v>
      </c>
      <c r="E300" t="s">
        <v>56</v>
      </c>
      <c r="F300" s="3">
        <v>9673</v>
      </c>
      <c r="G300" s="3">
        <v>393</v>
      </c>
      <c r="H300" s="3">
        <v>846</v>
      </c>
      <c r="I300" s="3">
        <v>1028</v>
      </c>
      <c r="J300" s="3">
        <v>55556</v>
      </c>
      <c r="K300" s="3">
        <v>136652</v>
      </c>
      <c r="L300" s="4">
        <v>7.9852471972601896E-2</v>
      </c>
      <c r="M300" t="s">
        <v>21</v>
      </c>
    </row>
    <row r="301" spans="1:13" x14ac:dyDescent="0.3">
      <c r="A301" t="s">
        <v>229</v>
      </c>
      <c r="B301" t="s">
        <v>14</v>
      </c>
      <c r="C301" s="2">
        <v>45945</v>
      </c>
      <c r="D301" t="s">
        <v>15</v>
      </c>
      <c r="E301" t="s">
        <v>38</v>
      </c>
      <c r="F301" s="3">
        <v>8882</v>
      </c>
      <c r="G301" s="3">
        <v>701</v>
      </c>
      <c r="H301" s="3">
        <v>421</v>
      </c>
      <c r="I301" s="3">
        <v>2343</v>
      </c>
      <c r="J301" s="3">
        <v>13588</v>
      </c>
      <c r="K301" s="3">
        <v>139304</v>
      </c>
      <c r="L301" s="4">
        <v>7.1814161833113205E-2</v>
      </c>
      <c r="M30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3DC6-9F24-4A10-A178-B998007DAD98}">
  <dimension ref="A1:H201"/>
  <sheetViews>
    <sheetView topLeftCell="A177" workbookViewId="0">
      <selection sqref="A1:H201"/>
    </sheetView>
  </sheetViews>
  <sheetFormatPr defaultRowHeight="14.4" x14ac:dyDescent="0.3"/>
  <cols>
    <col min="1" max="1" width="15.33203125" bestFit="1" customWidth="1"/>
    <col min="2" max="2" width="9" bestFit="1" customWidth="1"/>
    <col min="3" max="3" width="13.5546875" bestFit="1" customWidth="1"/>
    <col min="4" max="4" width="9.109375" bestFit="1" customWidth="1"/>
    <col min="5" max="5" width="14" bestFit="1" customWidth="1"/>
    <col min="6" max="6" width="18.77734375" bestFit="1" customWidth="1"/>
    <col min="7" max="7" width="15.77734375" bestFit="1" customWidth="1"/>
    <col min="8" max="8" width="9.33203125" bestFit="1" customWidth="1"/>
  </cols>
  <sheetData>
    <row r="1" spans="1:8" x14ac:dyDescent="0.3">
      <c r="A1" t="s">
        <v>338</v>
      </c>
      <c r="B1" t="s">
        <v>1</v>
      </c>
      <c r="C1" t="s">
        <v>339</v>
      </c>
      <c r="D1" t="s">
        <v>340</v>
      </c>
      <c r="E1" t="s">
        <v>341</v>
      </c>
      <c r="F1" t="s">
        <v>342</v>
      </c>
      <c r="G1" t="s">
        <v>343</v>
      </c>
      <c r="H1" t="s">
        <v>344</v>
      </c>
    </row>
    <row r="2" spans="1:8" x14ac:dyDescent="0.3">
      <c r="A2" s="5">
        <v>45446</v>
      </c>
      <c r="B2" t="s">
        <v>23</v>
      </c>
      <c r="C2" s="3">
        <v>4138</v>
      </c>
      <c r="D2" s="3">
        <v>361</v>
      </c>
      <c r="E2" s="3">
        <v>103777</v>
      </c>
      <c r="F2" s="4">
        <v>3.6395347716738802E-2</v>
      </c>
      <c r="G2">
        <v>56.637790647253247</v>
      </c>
      <c r="H2" s="6">
        <v>23944</v>
      </c>
    </row>
    <row r="3" spans="1:8" x14ac:dyDescent="0.3">
      <c r="A3" s="5">
        <v>45446</v>
      </c>
      <c r="B3" t="s">
        <v>41</v>
      </c>
      <c r="C3" s="3">
        <v>8693</v>
      </c>
      <c r="D3" s="3">
        <v>1261</v>
      </c>
      <c r="E3" s="3">
        <v>111209</v>
      </c>
      <c r="F3" s="4">
        <v>6.6829123542159405E-2</v>
      </c>
      <c r="G3">
        <v>69.475492091467416</v>
      </c>
      <c r="H3" s="6">
        <v>29873</v>
      </c>
    </row>
    <row r="4" spans="1:8" x14ac:dyDescent="0.3">
      <c r="A4" s="5">
        <v>45446</v>
      </c>
      <c r="B4" t="s">
        <v>14</v>
      </c>
      <c r="C4" s="3">
        <v>9264</v>
      </c>
      <c r="D4" s="3">
        <v>1141</v>
      </c>
      <c r="E4" s="3">
        <v>119332</v>
      </c>
      <c r="F4" s="4">
        <v>6.8070592967519203E-2</v>
      </c>
      <c r="G4">
        <v>92.312204605638044</v>
      </c>
      <c r="H4" s="6">
        <v>50372</v>
      </c>
    </row>
    <row r="5" spans="1:8" x14ac:dyDescent="0.3">
      <c r="A5" s="5">
        <v>45446</v>
      </c>
      <c r="B5" t="s">
        <v>14</v>
      </c>
      <c r="C5" s="3">
        <v>8842</v>
      </c>
      <c r="D5" s="3">
        <v>971</v>
      </c>
      <c r="E5" s="3">
        <v>127203</v>
      </c>
      <c r="F5" s="4">
        <v>6.1877471443283601E-2</v>
      </c>
      <c r="G5">
        <v>16.351815601833291</v>
      </c>
      <c r="H5" s="6">
        <v>33928</v>
      </c>
    </row>
    <row r="6" spans="1:8" x14ac:dyDescent="0.3">
      <c r="A6" s="5">
        <v>45453</v>
      </c>
      <c r="B6" t="s">
        <v>23</v>
      </c>
      <c r="C6" s="3">
        <v>7721</v>
      </c>
      <c r="D6" s="3">
        <v>506</v>
      </c>
      <c r="E6" s="3">
        <v>134418</v>
      </c>
      <c r="F6" s="4">
        <v>5.3675846984778799E-2</v>
      </c>
      <c r="G6">
        <v>35.577824398518047</v>
      </c>
      <c r="H6" s="6">
        <v>25379</v>
      </c>
    </row>
    <row r="7" spans="1:8" x14ac:dyDescent="0.3">
      <c r="A7" s="5">
        <v>45453</v>
      </c>
      <c r="B7" t="s">
        <v>14</v>
      </c>
      <c r="C7" s="3">
        <v>8002</v>
      </c>
      <c r="D7" s="3">
        <v>524</v>
      </c>
      <c r="E7" s="3">
        <v>141896</v>
      </c>
      <c r="F7" s="4">
        <v>5.2700569431132702E-2</v>
      </c>
      <c r="G7">
        <v>52.064892597395271</v>
      </c>
      <c r="H7" s="6">
        <v>46751</v>
      </c>
    </row>
    <row r="8" spans="1:8" x14ac:dyDescent="0.3">
      <c r="A8" s="5">
        <v>45453</v>
      </c>
      <c r="B8" t="s">
        <v>41</v>
      </c>
      <c r="C8" s="3">
        <v>5225</v>
      </c>
      <c r="D8" s="3">
        <v>291</v>
      </c>
      <c r="E8" s="3">
        <v>146830</v>
      </c>
      <c r="F8" s="4">
        <v>3.3603487025812201E-2</v>
      </c>
      <c r="G8">
        <v>19.551862698358651</v>
      </c>
      <c r="H8" s="6">
        <v>44546</v>
      </c>
    </row>
    <row r="9" spans="1:8" x14ac:dyDescent="0.3">
      <c r="A9" s="5">
        <v>45453</v>
      </c>
      <c r="B9" t="s">
        <v>41</v>
      </c>
      <c r="C9" s="3">
        <v>3978</v>
      </c>
      <c r="D9" s="3">
        <v>543</v>
      </c>
      <c r="E9" s="3">
        <v>150265</v>
      </c>
      <c r="F9" s="4">
        <v>2.2859614680730701E-2</v>
      </c>
      <c r="G9">
        <v>49.159817655475329</v>
      </c>
      <c r="H9" s="6">
        <v>34286</v>
      </c>
    </row>
    <row r="10" spans="1:8" x14ac:dyDescent="0.3">
      <c r="A10" s="5">
        <v>45460</v>
      </c>
      <c r="B10" t="s">
        <v>23</v>
      </c>
      <c r="C10" s="3">
        <v>8373</v>
      </c>
      <c r="D10" s="3">
        <v>921</v>
      </c>
      <c r="E10" s="3">
        <v>157717</v>
      </c>
      <c r="F10" s="4">
        <v>4.7249186834646899E-2</v>
      </c>
      <c r="G10">
        <v>12.2263294381709</v>
      </c>
      <c r="H10" s="6">
        <v>15110</v>
      </c>
    </row>
    <row r="11" spans="1:8" x14ac:dyDescent="0.3">
      <c r="A11" s="5">
        <v>45460</v>
      </c>
      <c r="B11" t="s">
        <v>41</v>
      </c>
      <c r="C11" s="3">
        <v>6907</v>
      </c>
      <c r="D11" s="3">
        <v>834</v>
      </c>
      <c r="E11" s="3">
        <v>163790</v>
      </c>
      <c r="F11" s="4">
        <v>3.70779656877709E-2</v>
      </c>
      <c r="G11">
        <v>54.158984064961238</v>
      </c>
      <c r="H11" s="6">
        <v>22087</v>
      </c>
    </row>
    <row r="12" spans="1:8" x14ac:dyDescent="0.3">
      <c r="A12" s="5">
        <v>45460</v>
      </c>
      <c r="B12" t="s">
        <v>19</v>
      </c>
      <c r="C12" s="3">
        <v>7097</v>
      </c>
      <c r="D12" s="3">
        <v>369</v>
      </c>
      <c r="E12" s="3">
        <v>170518</v>
      </c>
      <c r="F12" s="4">
        <v>3.9456245088495101E-2</v>
      </c>
      <c r="G12">
        <v>9.2506362964613711</v>
      </c>
      <c r="H12" s="6">
        <v>33762</v>
      </c>
    </row>
    <row r="13" spans="1:8" x14ac:dyDescent="0.3">
      <c r="A13" s="5">
        <v>45460</v>
      </c>
      <c r="B13" t="s">
        <v>23</v>
      </c>
      <c r="C13" s="3">
        <v>6656</v>
      </c>
      <c r="D13" s="3">
        <v>978</v>
      </c>
      <c r="E13" s="3">
        <v>176196</v>
      </c>
      <c r="F13" s="4">
        <v>3.2225476174260498E-2</v>
      </c>
      <c r="G13">
        <v>60.425889350496043</v>
      </c>
      <c r="H13" s="6">
        <v>27081</v>
      </c>
    </row>
    <row r="14" spans="1:8" x14ac:dyDescent="0.3">
      <c r="A14" s="5">
        <v>45467</v>
      </c>
      <c r="B14" t="s">
        <v>41</v>
      </c>
      <c r="C14" s="3">
        <v>9984</v>
      </c>
      <c r="D14" s="3">
        <v>1330</v>
      </c>
      <c r="E14" s="3">
        <v>184850</v>
      </c>
      <c r="F14" s="4">
        <v>4.6816337571003501E-2</v>
      </c>
      <c r="G14">
        <v>57.524479307546663</v>
      </c>
      <c r="H14" s="6">
        <v>44947</v>
      </c>
    </row>
    <row r="15" spans="1:8" x14ac:dyDescent="0.3">
      <c r="A15" s="5">
        <v>45467</v>
      </c>
      <c r="B15" t="s">
        <v>23</v>
      </c>
      <c r="C15" s="3">
        <v>5259</v>
      </c>
      <c r="D15" s="3">
        <v>374</v>
      </c>
      <c r="E15" s="3">
        <v>189735</v>
      </c>
      <c r="F15" s="4">
        <v>2.5746435818378301E-2</v>
      </c>
      <c r="G15">
        <v>14.827522597306769</v>
      </c>
      <c r="H15" s="6">
        <v>19596</v>
      </c>
    </row>
    <row r="16" spans="1:8" x14ac:dyDescent="0.3">
      <c r="A16" s="5">
        <v>45467</v>
      </c>
      <c r="B16" t="s">
        <v>14</v>
      </c>
      <c r="C16" s="3">
        <v>9286</v>
      </c>
      <c r="D16" s="3">
        <v>633</v>
      </c>
      <c r="E16" s="3">
        <v>198388</v>
      </c>
      <c r="F16" s="4">
        <v>4.3616549388067798E-2</v>
      </c>
      <c r="G16">
        <v>5.4343004617214756</v>
      </c>
      <c r="H16" s="6">
        <v>48019</v>
      </c>
    </row>
    <row r="17" spans="1:8" x14ac:dyDescent="0.3">
      <c r="A17" s="5">
        <v>45467</v>
      </c>
      <c r="B17" t="s">
        <v>41</v>
      </c>
      <c r="C17" s="3">
        <v>6901</v>
      </c>
      <c r="D17" s="3">
        <v>471</v>
      </c>
      <c r="E17" s="3">
        <v>204818</v>
      </c>
      <c r="F17" s="4">
        <v>3.1393725160874499E-2</v>
      </c>
      <c r="G17">
        <v>60.827661631301943</v>
      </c>
      <c r="H17" s="6">
        <v>52003</v>
      </c>
    </row>
    <row r="18" spans="1:8" x14ac:dyDescent="0.3">
      <c r="A18" s="5">
        <v>45474</v>
      </c>
      <c r="B18" t="s">
        <v>19</v>
      </c>
      <c r="C18" s="3">
        <v>5917</v>
      </c>
      <c r="D18" s="3">
        <v>475</v>
      </c>
      <c r="E18" s="3">
        <v>210260</v>
      </c>
      <c r="F18" s="4">
        <v>2.5882241034909201E-2</v>
      </c>
      <c r="G18">
        <v>17.894035955483691</v>
      </c>
      <c r="H18" s="6">
        <v>28313</v>
      </c>
    </row>
    <row r="19" spans="1:8" x14ac:dyDescent="0.3">
      <c r="A19" s="5">
        <v>45474</v>
      </c>
      <c r="B19" t="s">
        <v>41</v>
      </c>
      <c r="C19" s="3">
        <v>9429</v>
      </c>
      <c r="D19" s="3">
        <v>966</v>
      </c>
      <c r="E19" s="3">
        <v>218723</v>
      </c>
      <c r="F19" s="4">
        <v>3.8692775794040901E-2</v>
      </c>
      <c r="G19">
        <v>7.6914636320825887</v>
      </c>
      <c r="H19" s="6">
        <v>57639</v>
      </c>
    </row>
    <row r="20" spans="1:8" x14ac:dyDescent="0.3">
      <c r="A20" s="5">
        <v>45474</v>
      </c>
      <c r="B20" t="s">
        <v>23</v>
      </c>
      <c r="C20" s="3">
        <v>3530</v>
      </c>
      <c r="D20" s="3">
        <v>328</v>
      </c>
      <c r="E20" s="3">
        <v>221925</v>
      </c>
      <c r="F20" s="4">
        <v>1.44282978483722E-2</v>
      </c>
      <c r="G20">
        <v>12.8372197814577</v>
      </c>
      <c r="H20" s="6">
        <v>11013</v>
      </c>
    </row>
    <row r="21" spans="1:8" x14ac:dyDescent="0.3">
      <c r="A21" s="5">
        <v>45474</v>
      </c>
      <c r="B21" t="s">
        <v>23</v>
      </c>
      <c r="C21" s="3">
        <v>2960</v>
      </c>
      <c r="D21" s="3">
        <v>234</v>
      </c>
      <c r="E21" s="3">
        <v>224651</v>
      </c>
      <c r="F21" s="4">
        <v>1.21343773230478E-2</v>
      </c>
      <c r="G21">
        <v>17.41278694508371</v>
      </c>
      <c r="H21" s="6">
        <v>59378</v>
      </c>
    </row>
    <row r="22" spans="1:8" x14ac:dyDescent="0.3">
      <c r="A22" s="5">
        <v>45481</v>
      </c>
      <c r="B22" t="s">
        <v>41</v>
      </c>
      <c r="C22" s="3">
        <v>8045</v>
      </c>
      <c r="D22" s="3">
        <v>894</v>
      </c>
      <c r="E22" s="3">
        <v>231802</v>
      </c>
      <c r="F22" s="4">
        <v>3.0849604403758401E-2</v>
      </c>
      <c r="G22">
        <v>47.634187798207087</v>
      </c>
      <c r="H22" s="6">
        <v>33705</v>
      </c>
    </row>
    <row r="23" spans="1:8" x14ac:dyDescent="0.3">
      <c r="A23" s="5">
        <v>45481</v>
      </c>
      <c r="B23" t="s">
        <v>19</v>
      </c>
      <c r="C23" s="3">
        <v>2048</v>
      </c>
      <c r="D23" s="3">
        <v>130</v>
      </c>
      <c r="E23" s="3">
        <v>233720</v>
      </c>
      <c r="F23" s="4">
        <v>8.2064008214958097E-3</v>
      </c>
      <c r="G23">
        <v>39.284614068115687</v>
      </c>
      <c r="H23" s="6">
        <v>11828</v>
      </c>
    </row>
    <row r="24" spans="1:8" x14ac:dyDescent="0.3">
      <c r="A24" s="5">
        <v>45481</v>
      </c>
      <c r="B24" t="s">
        <v>19</v>
      </c>
      <c r="C24" s="3">
        <v>6772</v>
      </c>
      <c r="D24" s="3">
        <v>536</v>
      </c>
      <c r="E24" s="3">
        <v>239956</v>
      </c>
      <c r="F24" s="4">
        <v>2.5988097817933299E-2</v>
      </c>
      <c r="G24">
        <v>9.8205504342462788</v>
      </c>
      <c r="H24" s="6">
        <v>17909</v>
      </c>
    </row>
    <row r="25" spans="1:8" x14ac:dyDescent="0.3">
      <c r="A25" s="5">
        <v>45481</v>
      </c>
      <c r="B25" t="s">
        <v>19</v>
      </c>
      <c r="C25" s="3">
        <v>3529</v>
      </c>
      <c r="D25" s="3">
        <v>305</v>
      </c>
      <c r="E25" s="3">
        <v>243180</v>
      </c>
      <c r="F25" s="4">
        <v>1.3257669216218401E-2</v>
      </c>
      <c r="G25">
        <v>41.606628834608109</v>
      </c>
      <c r="H25" s="6">
        <v>48356</v>
      </c>
    </row>
    <row r="26" spans="1:8" x14ac:dyDescent="0.3">
      <c r="A26" s="5">
        <v>45488</v>
      </c>
      <c r="B26" t="s">
        <v>23</v>
      </c>
      <c r="C26" s="3">
        <v>3964</v>
      </c>
      <c r="D26" s="3">
        <v>378</v>
      </c>
      <c r="E26" s="3">
        <v>246766</v>
      </c>
      <c r="F26" s="4">
        <v>1.45319857678935E-2</v>
      </c>
      <c r="G26">
        <v>13.6355899921383</v>
      </c>
      <c r="H26" s="6">
        <v>23109</v>
      </c>
    </row>
    <row r="27" spans="1:8" x14ac:dyDescent="0.3">
      <c r="A27" s="5">
        <v>45488</v>
      </c>
      <c r="B27" t="s">
        <v>41</v>
      </c>
      <c r="C27" s="3">
        <v>8137</v>
      </c>
      <c r="D27" s="3">
        <v>1045</v>
      </c>
      <c r="E27" s="3">
        <v>253858</v>
      </c>
      <c r="F27" s="4">
        <v>2.79368780972039E-2</v>
      </c>
      <c r="G27">
        <v>20.47246886054408</v>
      </c>
      <c r="H27" s="6">
        <v>12023</v>
      </c>
    </row>
    <row r="28" spans="1:8" x14ac:dyDescent="0.3">
      <c r="A28" s="5">
        <v>45488</v>
      </c>
      <c r="B28" t="s">
        <v>14</v>
      </c>
      <c r="C28" s="3">
        <v>1963</v>
      </c>
      <c r="D28" s="3">
        <v>137</v>
      </c>
      <c r="E28" s="3">
        <v>255684</v>
      </c>
      <c r="F28" s="4">
        <v>7.1416279469970799E-3</v>
      </c>
      <c r="G28">
        <v>11.2083665774941</v>
      </c>
      <c r="H28" s="6">
        <v>24537</v>
      </c>
    </row>
    <row r="29" spans="1:8" x14ac:dyDescent="0.3">
      <c r="A29" s="5">
        <v>45488</v>
      </c>
      <c r="B29" t="s">
        <v>23</v>
      </c>
      <c r="C29" s="3">
        <v>1536</v>
      </c>
      <c r="D29" s="3">
        <v>155</v>
      </c>
      <c r="E29" s="3">
        <v>257065</v>
      </c>
      <c r="F29" s="4">
        <v>5.3721821329235798E-3</v>
      </c>
      <c r="G29">
        <v>12.15762550327738</v>
      </c>
      <c r="H29" s="6">
        <v>36661</v>
      </c>
    </row>
    <row r="30" spans="1:8" x14ac:dyDescent="0.3">
      <c r="A30" s="5">
        <v>45495</v>
      </c>
      <c r="B30" t="s">
        <v>19</v>
      </c>
      <c r="C30" s="3">
        <v>8340</v>
      </c>
      <c r="D30" s="3">
        <v>911</v>
      </c>
      <c r="E30" s="3">
        <v>264494</v>
      </c>
      <c r="F30" s="4">
        <v>2.8087593669421599E-2</v>
      </c>
      <c r="G30">
        <v>37.302925586213682</v>
      </c>
      <c r="H30" s="6">
        <v>48659</v>
      </c>
    </row>
    <row r="31" spans="1:8" x14ac:dyDescent="0.3">
      <c r="A31" s="5">
        <v>45495</v>
      </c>
      <c r="B31" t="s">
        <v>41</v>
      </c>
      <c r="C31" s="3">
        <v>8179</v>
      </c>
      <c r="D31" s="3">
        <v>446</v>
      </c>
      <c r="E31" s="3">
        <v>272227</v>
      </c>
      <c r="F31" s="4">
        <v>2.84064402134983E-2</v>
      </c>
      <c r="G31">
        <v>41.82171496581897</v>
      </c>
      <c r="H31" s="6">
        <v>43848</v>
      </c>
    </row>
    <row r="32" spans="1:8" x14ac:dyDescent="0.3">
      <c r="A32" s="5">
        <v>45495</v>
      </c>
      <c r="B32" t="s">
        <v>19</v>
      </c>
      <c r="C32" s="3">
        <v>8967</v>
      </c>
      <c r="D32" s="3">
        <v>993</v>
      </c>
      <c r="E32" s="3">
        <v>280201</v>
      </c>
      <c r="F32" s="4">
        <v>2.8458142547671102E-2</v>
      </c>
      <c r="G32">
        <v>52.792102811910027</v>
      </c>
      <c r="H32" s="6">
        <v>47804</v>
      </c>
    </row>
    <row r="33" spans="1:8" x14ac:dyDescent="0.3">
      <c r="A33" s="5">
        <v>45495</v>
      </c>
      <c r="B33" t="s">
        <v>14</v>
      </c>
      <c r="C33" s="3">
        <v>9734</v>
      </c>
      <c r="D33" s="3">
        <v>652</v>
      </c>
      <c r="E33" s="3">
        <v>289283</v>
      </c>
      <c r="F33" s="4">
        <v>3.1394862470314498E-2</v>
      </c>
      <c r="G33">
        <v>49.647922622483861</v>
      </c>
      <c r="H33" s="6">
        <v>25379</v>
      </c>
    </row>
    <row r="34" spans="1:8" x14ac:dyDescent="0.3">
      <c r="A34" s="5">
        <v>45502</v>
      </c>
      <c r="B34" t="s">
        <v>19</v>
      </c>
      <c r="C34" s="3">
        <v>1845</v>
      </c>
      <c r="D34" s="3">
        <v>104</v>
      </c>
      <c r="E34" s="3">
        <v>291024</v>
      </c>
      <c r="F34" s="4">
        <v>5.9823244818296801E-3</v>
      </c>
      <c r="G34">
        <v>28.158158777282971</v>
      </c>
      <c r="H34" s="6">
        <v>37766</v>
      </c>
    </row>
    <row r="35" spans="1:8" x14ac:dyDescent="0.3">
      <c r="A35" s="5">
        <v>45502</v>
      </c>
      <c r="B35" t="s">
        <v>19</v>
      </c>
      <c r="C35" s="3">
        <v>6777</v>
      </c>
      <c r="D35" s="3">
        <v>981</v>
      </c>
      <c r="E35" s="3">
        <v>296820</v>
      </c>
      <c r="F35" s="4">
        <v>1.9526986052152799E-2</v>
      </c>
      <c r="G35">
        <v>23.920557913887201</v>
      </c>
      <c r="H35" s="6">
        <v>53590</v>
      </c>
    </row>
    <row r="36" spans="1:8" x14ac:dyDescent="0.3">
      <c r="A36" s="5">
        <v>45502</v>
      </c>
      <c r="B36" t="s">
        <v>14</v>
      </c>
      <c r="C36" s="3">
        <v>4036</v>
      </c>
      <c r="D36" s="3">
        <v>591</v>
      </c>
      <c r="E36" s="3">
        <v>300265</v>
      </c>
      <c r="F36" s="4">
        <v>1.1473198674504199E-2</v>
      </c>
      <c r="G36">
        <v>44.219272975538267</v>
      </c>
      <c r="H36" s="6">
        <v>12563</v>
      </c>
    </row>
    <row r="37" spans="1:8" x14ac:dyDescent="0.3">
      <c r="A37" s="5">
        <v>45502</v>
      </c>
      <c r="B37" t="s">
        <v>41</v>
      </c>
      <c r="C37" s="3">
        <v>6947</v>
      </c>
      <c r="D37" s="3">
        <v>908</v>
      </c>
      <c r="E37" s="3">
        <v>306304</v>
      </c>
      <c r="F37" s="4">
        <v>1.9715707271207701E-2</v>
      </c>
      <c r="G37">
        <v>14.117673944839121</v>
      </c>
      <c r="H37" s="6">
        <v>46060</v>
      </c>
    </row>
    <row r="38" spans="1:8" x14ac:dyDescent="0.3">
      <c r="A38" s="5">
        <v>45509</v>
      </c>
      <c r="B38" t="s">
        <v>23</v>
      </c>
      <c r="C38" s="3">
        <v>3494</v>
      </c>
      <c r="D38" s="3">
        <v>281</v>
      </c>
      <c r="E38" s="3">
        <v>309517</v>
      </c>
      <c r="F38" s="4">
        <v>1.03806899136396E-2</v>
      </c>
      <c r="G38">
        <v>27.765518533715429</v>
      </c>
      <c r="H38" s="6">
        <v>39197</v>
      </c>
    </row>
    <row r="39" spans="1:8" x14ac:dyDescent="0.3">
      <c r="A39" s="5">
        <v>45509</v>
      </c>
      <c r="B39" t="s">
        <v>41</v>
      </c>
      <c r="C39" s="3">
        <v>3719</v>
      </c>
      <c r="D39" s="3">
        <v>222</v>
      </c>
      <c r="E39" s="3">
        <v>313014</v>
      </c>
      <c r="F39" s="4">
        <v>1.11720242545062E-2</v>
      </c>
      <c r="G39">
        <v>21.669318305251519</v>
      </c>
      <c r="H39" s="6">
        <v>13586</v>
      </c>
    </row>
    <row r="40" spans="1:8" x14ac:dyDescent="0.3">
      <c r="A40" s="5">
        <v>45509</v>
      </c>
      <c r="B40" t="s">
        <v>14</v>
      </c>
      <c r="C40" s="3">
        <v>2884</v>
      </c>
      <c r="D40" s="3">
        <v>341</v>
      </c>
      <c r="E40" s="3">
        <v>315557</v>
      </c>
      <c r="F40" s="4">
        <v>8.0587659281841292E-3</v>
      </c>
      <c r="G40">
        <v>46.999749649033298</v>
      </c>
      <c r="H40" s="6">
        <v>26087</v>
      </c>
    </row>
    <row r="41" spans="1:8" x14ac:dyDescent="0.3">
      <c r="A41" s="5">
        <v>45509</v>
      </c>
      <c r="B41" t="s">
        <v>19</v>
      </c>
      <c r="C41" s="3">
        <v>5349</v>
      </c>
      <c r="D41" s="3">
        <v>502</v>
      </c>
      <c r="E41" s="3">
        <v>320404</v>
      </c>
      <c r="F41" s="4">
        <v>1.51277761825695E-2</v>
      </c>
      <c r="G41">
        <v>5.2152906954969351</v>
      </c>
      <c r="H41" s="6">
        <v>58868</v>
      </c>
    </row>
    <row r="42" spans="1:8" x14ac:dyDescent="0.3">
      <c r="A42" s="5">
        <v>45516</v>
      </c>
      <c r="B42" t="s">
        <v>41</v>
      </c>
      <c r="C42" s="3">
        <v>6179</v>
      </c>
      <c r="D42" s="3">
        <v>384</v>
      </c>
      <c r="E42" s="3">
        <v>326199</v>
      </c>
      <c r="F42" s="4">
        <v>1.7765229200580001E-2</v>
      </c>
      <c r="G42">
        <v>14.71218489327067</v>
      </c>
      <c r="H42" s="6">
        <v>33225</v>
      </c>
    </row>
    <row r="43" spans="1:8" x14ac:dyDescent="0.3">
      <c r="A43" s="5">
        <v>45516</v>
      </c>
      <c r="B43" t="s">
        <v>23</v>
      </c>
      <c r="C43" s="3">
        <v>7610</v>
      </c>
      <c r="D43" s="3">
        <v>757</v>
      </c>
      <c r="E43" s="3">
        <v>333052</v>
      </c>
      <c r="F43" s="4">
        <v>2.0576366453286601E-2</v>
      </c>
      <c r="G43">
        <v>44.450416151231643</v>
      </c>
      <c r="H43" s="6">
        <v>39750</v>
      </c>
    </row>
    <row r="44" spans="1:8" x14ac:dyDescent="0.3">
      <c r="A44" s="5">
        <v>45516</v>
      </c>
      <c r="B44" t="s">
        <v>14</v>
      </c>
      <c r="C44" s="3">
        <v>7430</v>
      </c>
      <c r="D44" s="3">
        <v>397</v>
      </c>
      <c r="E44" s="3">
        <v>340085</v>
      </c>
      <c r="F44" s="4">
        <v>2.0680124086625399E-2</v>
      </c>
      <c r="G44">
        <v>28.065042562888689</v>
      </c>
      <c r="H44" s="6">
        <v>16643</v>
      </c>
    </row>
    <row r="45" spans="1:8" x14ac:dyDescent="0.3">
      <c r="A45" s="5">
        <v>45516</v>
      </c>
      <c r="B45" t="s">
        <v>41</v>
      </c>
      <c r="C45" s="3">
        <v>8154</v>
      </c>
      <c r="D45" s="3">
        <v>1149</v>
      </c>
      <c r="E45" s="3">
        <v>347090</v>
      </c>
      <c r="F45" s="4">
        <v>2.0182085338096699E-2</v>
      </c>
      <c r="G45">
        <v>26.003918292085629</v>
      </c>
      <c r="H45" s="6">
        <v>37523</v>
      </c>
    </row>
    <row r="46" spans="1:8" x14ac:dyDescent="0.3">
      <c r="A46" s="5">
        <v>45523</v>
      </c>
      <c r="B46" t="s">
        <v>23</v>
      </c>
      <c r="C46" s="3">
        <v>7488</v>
      </c>
      <c r="D46" s="3">
        <v>568</v>
      </c>
      <c r="E46" s="3">
        <v>354010</v>
      </c>
      <c r="F46" s="4">
        <v>1.9547470410440401E-2</v>
      </c>
      <c r="G46">
        <v>13.47730290104799</v>
      </c>
      <c r="H46" s="6">
        <v>46727</v>
      </c>
    </row>
    <row r="47" spans="1:8" x14ac:dyDescent="0.3">
      <c r="A47" s="5">
        <v>45523</v>
      </c>
      <c r="B47" t="s">
        <v>14</v>
      </c>
      <c r="C47" s="3">
        <v>5737</v>
      </c>
      <c r="D47" s="3">
        <v>666</v>
      </c>
      <c r="E47" s="3">
        <v>359081</v>
      </c>
      <c r="F47" s="4">
        <v>1.4122161852061201E-2</v>
      </c>
      <c r="G47">
        <v>4.6034181702735593</v>
      </c>
      <c r="H47" s="6">
        <v>21005</v>
      </c>
    </row>
    <row r="48" spans="1:8" x14ac:dyDescent="0.3">
      <c r="A48" s="5">
        <v>45523</v>
      </c>
      <c r="B48" t="s">
        <v>23</v>
      </c>
      <c r="C48" s="3">
        <v>7525</v>
      </c>
      <c r="D48" s="3">
        <v>610</v>
      </c>
      <c r="E48" s="3">
        <v>365996</v>
      </c>
      <c r="F48" s="4">
        <v>1.8893649110919199E-2</v>
      </c>
      <c r="G48">
        <v>5.7694619613329108</v>
      </c>
      <c r="H48" s="6">
        <v>53543</v>
      </c>
    </row>
    <row r="49" spans="1:8" x14ac:dyDescent="0.3">
      <c r="A49" s="5">
        <v>45523</v>
      </c>
      <c r="B49" t="s">
        <v>14</v>
      </c>
      <c r="C49" s="3">
        <v>4850</v>
      </c>
      <c r="D49" s="3">
        <v>494</v>
      </c>
      <c r="E49" s="3">
        <v>370352</v>
      </c>
      <c r="F49" s="4">
        <v>1.1761783384455901E-2</v>
      </c>
      <c r="G49">
        <v>20.46539508359615</v>
      </c>
      <c r="H49" s="6">
        <v>10161</v>
      </c>
    </row>
    <row r="50" spans="1:8" x14ac:dyDescent="0.3">
      <c r="A50" s="5">
        <v>45530</v>
      </c>
      <c r="B50" t="s">
        <v>19</v>
      </c>
      <c r="C50" s="3">
        <v>1689</v>
      </c>
      <c r="D50" s="3">
        <v>176</v>
      </c>
      <c r="E50" s="3">
        <v>371865</v>
      </c>
      <c r="F50" s="4">
        <v>4.0686808384763299E-3</v>
      </c>
      <c r="G50">
        <v>38.012181840183942</v>
      </c>
      <c r="H50" s="6">
        <v>26029</v>
      </c>
    </row>
    <row r="51" spans="1:8" x14ac:dyDescent="0.3">
      <c r="A51" s="5">
        <v>45530</v>
      </c>
      <c r="B51" t="s">
        <v>41</v>
      </c>
      <c r="C51" s="3">
        <v>6175</v>
      </c>
      <c r="D51" s="3">
        <v>422</v>
      </c>
      <c r="E51" s="3">
        <v>377618</v>
      </c>
      <c r="F51" s="4">
        <v>1.5234972909130401E-2</v>
      </c>
      <c r="G51">
        <v>37.86101298137271</v>
      </c>
      <c r="H51" s="6">
        <v>59745</v>
      </c>
    </row>
    <row r="52" spans="1:8" x14ac:dyDescent="0.3">
      <c r="A52" s="5">
        <v>45530</v>
      </c>
      <c r="B52" t="s">
        <v>23</v>
      </c>
      <c r="C52" s="3">
        <v>9648</v>
      </c>
      <c r="D52" s="3">
        <v>1417</v>
      </c>
      <c r="E52" s="3">
        <v>385849</v>
      </c>
      <c r="F52" s="4">
        <v>2.13321791685348E-2</v>
      </c>
      <c r="G52">
        <v>3.6633501706626168</v>
      </c>
      <c r="H52" s="6">
        <v>24226</v>
      </c>
    </row>
    <row r="53" spans="1:8" x14ac:dyDescent="0.3">
      <c r="A53" s="5">
        <v>45530</v>
      </c>
      <c r="B53" t="s">
        <v>14</v>
      </c>
      <c r="C53" s="3">
        <v>6078</v>
      </c>
      <c r="D53" s="3">
        <v>775</v>
      </c>
      <c r="E53" s="3">
        <v>391152</v>
      </c>
      <c r="F53" s="4">
        <v>1.35573894547388E-2</v>
      </c>
      <c r="G53">
        <v>37.760512537325639</v>
      </c>
      <c r="H53" s="6">
        <v>38731</v>
      </c>
    </row>
    <row r="54" spans="1:8" x14ac:dyDescent="0.3">
      <c r="A54" s="5">
        <v>45537</v>
      </c>
      <c r="B54" t="s">
        <v>23</v>
      </c>
      <c r="C54" s="3">
        <v>6448</v>
      </c>
      <c r="D54" s="3">
        <v>928</v>
      </c>
      <c r="E54" s="3">
        <v>396672</v>
      </c>
      <c r="F54" s="4">
        <v>1.3915779283639899E-2</v>
      </c>
      <c r="G54">
        <v>30.118586640851881</v>
      </c>
      <c r="H54" s="6">
        <v>53922</v>
      </c>
    </row>
    <row r="55" spans="1:8" x14ac:dyDescent="0.3">
      <c r="A55" s="5">
        <v>45537</v>
      </c>
      <c r="B55" t="s">
        <v>23</v>
      </c>
      <c r="C55" s="3">
        <v>2179</v>
      </c>
      <c r="D55" s="3">
        <v>303</v>
      </c>
      <c r="E55" s="3">
        <v>398548</v>
      </c>
      <c r="F55" s="4">
        <v>4.7070867248110602E-3</v>
      </c>
      <c r="G55">
        <v>33.909842729106657</v>
      </c>
      <c r="H55" s="6">
        <v>54848</v>
      </c>
    </row>
    <row r="56" spans="1:8" x14ac:dyDescent="0.3">
      <c r="A56" s="5">
        <v>45537</v>
      </c>
      <c r="B56" t="s">
        <v>41</v>
      </c>
      <c r="C56" s="3">
        <v>7406</v>
      </c>
      <c r="D56" s="3">
        <v>813</v>
      </c>
      <c r="E56" s="3">
        <v>405141</v>
      </c>
      <c r="F56" s="4">
        <v>1.62733468101229E-2</v>
      </c>
      <c r="G56">
        <v>24.457411123534769</v>
      </c>
      <c r="H56" s="6">
        <v>13390</v>
      </c>
    </row>
    <row r="57" spans="1:8" x14ac:dyDescent="0.3">
      <c r="A57" s="5">
        <v>45537</v>
      </c>
      <c r="B57" t="s">
        <v>19</v>
      </c>
      <c r="C57" s="3">
        <v>9591</v>
      </c>
      <c r="D57" s="3">
        <v>1363</v>
      </c>
      <c r="E57" s="3">
        <v>413369</v>
      </c>
      <c r="F57" s="4">
        <v>1.9904734026983201E-2</v>
      </c>
      <c r="G57">
        <v>10.494255737609739</v>
      </c>
      <c r="H57" s="6">
        <v>15997</v>
      </c>
    </row>
    <row r="58" spans="1:8" x14ac:dyDescent="0.3">
      <c r="A58" s="5">
        <v>45544</v>
      </c>
      <c r="B58" t="s">
        <v>23</v>
      </c>
      <c r="C58" s="3">
        <v>7907</v>
      </c>
      <c r="D58" s="3">
        <v>465</v>
      </c>
      <c r="E58" s="3">
        <v>420811</v>
      </c>
      <c r="F58" s="4">
        <v>1.76848989213685E-2</v>
      </c>
      <c r="G58">
        <v>33.257448118038738</v>
      </c>
      <c r="H58" s="6">
        <v>22693</v>
      </c>
    </row>
    <row r="59" spans="1:8" x14ac:dyDescent="0.3">
      <c r="A59" s="5">
        <v>45544</v>
      </c>
      <c r="B59" t="s">
        <v>14</v>
      </c>
      <c r="C59" s="3">
        <v>9800</v>
      </c>
      <c r="D59" s="3">
        <v>682</v>
      </c>
      <c r="E59" s="3">
        <v>429929</v>
      </c>
      <c r="F59" s="4">
        <v>2.1208152974095701E-2</v>
      </c>
      <c r="G59">
        <v>6.2966210699906267</v>
      </c>
      <c r="H59" s="6">
        <v>59815</v>
      </c>
    </row>
    <row r="60" spans="1:8" x14ac:dyDescent="0.3">
      <c r="A60" s="5">
        <v>45544</v>
      </c>
      <c r="B60" t="s">
        <v>14</v>
      </c>
      <c r="C60" s="3">
        <v>2638</v>
      </c>
      <c r="D60" s="3">
        <v>143</v>
      </c>
      <c r="E60" s="3">
        <v>432424</v>
      </c>
      <c r="F60" s="4">
        <v>5.76980001110022E-3</v>
      </c>
      <c r="G60">
        <v>6.9547481175882924</v>
      </c>
      <c r="H60" s="6">
        <v>52092</v>
      </c>
    </row>
    <row r="61" spans="1:8" x14ac:dyDescent="0.3">
      <c r="A61" s="5">
        <v>45544</v>
      </c>
      <c r="B61" t="s">
        <v>19</v>
      </c>
      <c r="C61" s="3">
        <v>6671</v>
      </c>
      <c r="D61" s="3">
        <v>550</v>
      </c>
      <c r="E61" s="3">
        <v>438545</v>
      </c>
      <c r="F61" s="4">
        <v>1.3957518612685099E-2</v>
      </c>
      <c r="G61">
        <v>17.750287883797562</v>
      </c>
      <c r="H61" s="6">
        <v>10541</v>
      </c>
    </row>
    <row r="62" spans="1:8" x14ac:dyDescent="0.3">
      <c r="A62" s="5">
        <v>45551</v>
      </c>
      <c r="B62" t="s">
        <v>14</v>
      </c>
      <c r="C62" s="3">
        <v>7928</v>
      </c>
      <c r="D62" s="3">
        <v>704</v>
      </c>
      <c r="E62" s="3">
        <v>445769</v>
      </c>
      <c r="F62" s="4">
        <v>1.6205702953772001E-2</v>
      </c>
      <c r="G62">
        <v>11.194362999670229</v>
      </c>
      <c r="H62" s="6">
        <v>31817</v>
      </c>
    </row>
    <row r="63" spans="1:8" x14ac:dyDescent="0.3">
      <c r="A63" s="5">
        <v>45551</v>
      </c>
      <c r="B63" t="s">
        <v>19</v>
      </c>
      <c r="C63" s="3">
        <v>2382</v>
      </c>
      <c r="D63" s="3">
        <v>183</v>
      </c>
      <c r="E63" s="3">
        <v>447968</v>
      </c>
      <c r="F63" s="4">
        <v>4.9088327737695503E-3</v>
      </c>
      <c r="G63">
        <v>4.7335970426459033</v>
      </c>
      <c r="H63" s="6">
        <v>47861</v>
      </c>
    </row>
    <row r="64" spans="1:8" x14ac:dyDescent="0.3">
      <c r="A64" s="5">
        <v>45551</v>
      </c>
      <c r="B64" t="s">
        <v>14</v>
      </c>
      <c r="C64" s="3">
        <v>2403</v>
      </c>
      <c r="D64" s="3">
        <v>319</v>
      </c>
      <c r="E64" s="3">
        <v>450052</v>
      </c>
      <c r="F64" s="4">
        <v>4.63057602232631E-3</v>
      </c>
      <c r="G64">
        <v>29.92120910472568</v>
      </c>
      <c r="H64" s="6">
        <v>23428</v>
      </c>
    </row>
    <row r="65" spans="1:8" x14ac:dyDescent="0.3">
      <c r="A65" s="5">
        <v>45551</v>
      </c>
      <c r="B65" t="s">
        <v>41</v>
      </c>
      <c r="C65" s="3">
        <v>4292</v>
      </c>
      <c r="D65" s="3">
        <v>367</v>
      </c>
      <c r="E65" s="3">
        <v>453977</v>
      </c>
      <c r="F65" s="4">
        <v>8.6458124530537899E-3</v>
      </c>
      <c r="G65">
        <v>3.5037017293827661</v>
      </c>
      <c r="H65" s="6">
        <v>53934</v>
      </c>
    </row>
    <row r="66" spans="1:8" x14ac:dyDescent="0.3">
      <c r="A66" s="5">
        <v>45558</v>
      </c>
      <c r="B66" t="s">
        <v>23</v>
      </c>
      <c r="C66" s="3">
        <v>1419</v>
      </c>
      <c r="D66" s="3">
        <v>110</v>
      </c>
      <c r="E66" s="3">
        <v>455286</v>
      </c>
      <c r="F66" s="4">
        <v>2.8751158612388699E-3</v>
      </c>
      <c r="G66">
        <v>31.554451487636339</v>
      </c>
      <c r="H66" s="6">
        <v>58831</v>
      </c>
    </row>
    <row r="67" spans="1:8" x14ac:dyDescent="0.3">
      <c r="A67" s="5">
        <v>45558</v>
      </c>
      <c r="B67" t="s">
        <v>41</v>
      </c>
      <c r="C67" s="3">
        <v>5517</v>
      </c>
      <c r="D67" s="3">
        <v>575</v>
      </c>
      <c r="E67" s="3">
        <v>460228</v>
      </c>
      <c r="F67" s="4">
        <v>1.07381558705685E-2</v>
      </c>
      <c r="G67">
        <v>29.45844233727631</v>
      </c>
      <c r="H67" s="6">
        <v>20258</v>
      </c>
    </row>
    <row r="68" spans="1:8" x14ac:dyDescent="0.3">
      <c r="A68" s="5">
        <v>45558</v>
      </c>
      <c r="B68" t="s">
        <v>23</v>
      </c>
      <c r="C68" s="3">
        <v>4302</v>
      </c>
      <c r="D68" s="3">
        <v>275</v>
      </c>
      <c r="E68" s="3">
        <v>464255</v>
      </c>
      <c r="F68" s="4">
        <v>8.6741122874282404E-3</v>
      </c>
      <c r="G68">
        <v>15.72131694865968</v>
      </c>
      <c r="H68" s="6">
        <v>26044</v>
      </c>
    </row>
    <row r="69" spans="1:8" x14ac:dyDescent="0.3">
      <c r="A69" s="5">
        <v>45558</v>
      </c>
      <c r="B69" t="s">
        <v>23</v>
      </c>
      <c r="C69" s="3">
        <v>8857</v>
      </c>
      <c r="D69" s="3">
        <v>1153</v>
      </c>
      <c r="E69" s="3">
        <v>471959</v>
      </c>
      <c r="F69" s="4">
        <v>1.6323451825264498E-2</v>
      </c>
      <c r="G69">
        <v>19.214592793018038</v>
      </c>
      <c r="H69" s="6">
        <v>39411</v>
      </c>
    </row>
    <row r="70" spans="1:8" x14ac:dyDescent="0.3">
      <c r="A70" s="5">
        <v>45565</v>
      </c>
      <c r="B70" t="s">
        <v>23</v>
      </c>
      <c r="C70" s="3">
        <v>8870</v>
      </c>
      <c r="D70" s="3">
        <v>509</v>
      </c>
      <c r="E70" s="3">
        <v>480320</v>
      </c>
      <c r="F70" s="4">
        <v>1.7407145236508999E-2</v>
      </c>
      <c r="G70">
        <v>25.077864756828781</v>
      </c>
      <c r="H70" s="6">
        <v>15469</v>
      </c>
    </row>
    <row r="71" spans="1:8" x14ac:dyDescent="0.3">
      <c r="A71" s="5">
        <v>45565</v>
      </c>
      <c r="B71" t="s">
        <v>41</v>
      </c>
      <c r="C71" s="3">
        <v>6693</v>
      </c>
      <c r="D71" s="3">
        <v>995</v>
      </c>
      <c r="E71" s="3">
        <v>486018</v>
      </c>
      <c r="F71" s="4">
        <v>1.1723845618886499E-2</v>
      </c>
      <c r="G71">
        <v>23.761877132122681</v>
      </c>
      <c r="H71" s="6">
        <v>38854</v>
      </c>
    </row>
    <row r="72" spans="1:8" x14ac:dyDescent="0.3">
      <c r="A72" s="5">
        <v>45565</v>
      </c>
      <c r="B72" t="s">
        <v>23</v>
      </c>
      <c r="C72" s="3">
        <v>1767</v>
      </c>
      <c r="D72" s="3">
        <v>224</v>
      </c>
      <c r="E72" s="3">
        <v>487561</v>
      </c>
      <c r="F72" s="4">
        <v>3.1647322078673201E-3</v>
      </c>
      <c r="G72">
        <v>13.208603641390511</v>
      </c>
      <c r="H72" s="6">
        <v>16256</v>
      </c>
    </row>
    <row r="73" spans="1:8" x14ac:dyDescent="0.3">
      <c r="A73" s="5">
        <v>45565</v>
      </c>
      <c r="B73" t="s">
        <v>41</v>
      </c>
      <c r="C73" s="3">
        <v>3044</v>
      </c>
      <c r="D73" s="3">
        <v>212</v>
      </c>
      <c r="E73" s="3">
        <v>490393</v>
      </c>
      <c r="F73" s="4">
        <v>5.7749600830354396E-3</v>
      </c>
      <c r="G73">
        <v>8.5343795690395261</v>
      </c>
      <c r="H73" s="6">
        <v>20720</v>
      </c>
    </row>
    <row r="74" spans="1:8" x14ac:dyDescent="0.3">
      <c r="A74" s="5">
        <v>45572</v>
      </c>
      <c r="B74" t="s">
        <v>19</v>
      </c>
      <c r="C74" s="3">
        <v>2549</v>
      </c>
      <c r="D74" s="3">
        <v>128</v>
      </c>
      <c r="E74" s="3">
        <v>492814</v>
      </c>
      <c r="F74" s="4">
        <v>4.9126039438814597E-3</v>
      </c>
      <c r="G74">
        <v>12.734216154573531</v>
      </c>
      <c r="H74" s="6">
        <v>43937</v>
      </c>
    </row>
    <row r="75" spans="1:8" x14ac:dyDescent="0.3">
      <c r="A75" s="5">
        <v>45572</v>
      </c>
      <c r="B75" t="s">
        <v>14</v>
      </c>
      <c r="C75" s="3">
        <v>7140</v>
      </c>
      <c r="D75" s="3">
        <v>939</v>
      </c>
      <c r="E75" s="3">
        <v>499015</v>
      </c>
      <c r="F75" s="4">
        <v>1.2426480165926901E-2</v>
      </c>
      <c r="G75">
        <v>25.120888149654821</v>
      </c>
      <c r="H75" s="6">
        <v>43598</v>
      </c>
    </row>
    <row r="76" spans="1:8" x14ac:dyDescent="0.3">
      <c r="A76" s="5">
        <v>45572</v>
      </c>
      <c r="B76" t="s">
        <v>14</v>
      </c>
      <c r="C76" s="3">
        <v>4716</v>
      </c>
      <c r="D76" s="3">
        <v>569</v>
      </c>
      <c r="E76" s="3">
        <v>503162</v>
      </c>
      <c r="F76" s="4">
        <v>8.2418783612434997E-3</v>
      </c>
      <c r="G76">
        <v>25.64820077827817</v>
      </c>
      <c r="H76" s="6">
        <v>11651</v>
      </c>
    </row>
    <row r="77" spans="1:8" x14ac:dyDescent="0.3">
      <c r="A77" s="5">
        <v>45572</v>
      </c>
      <c r="B77" t="s">
        <v>23</v>
      </c>
      <c r="C77" s="3">
        <v>5481</v>
      </c>
      <c r="D77" s="3">
        <v>673</v>
      </c>
      <c r="E77" s="3">
        <v>507970</v>
      </c>
      <c r="F77" s="4">
        <v>9.4651258932614106E-3</v>
      </c>
      <c r="G77">
        <v>13.08758391243577</v>
      </c>
      <c r="H77" s="6">
        <v>29194</v>
      </c>
    </row>
    <row r="78" spans="1:8" x14ac:dyDescent="0.3">
      <c r="A78" s="5">
        <v>45579</v>
      </c>
      <c r="B78" t="s">
        <v>41</v>
      </c>
      <c r="C78" s="3">
        <v>8898</v>
      </c>
      <c r="D78" s="3">
        <v>1131</v>
      </c>
      <c r="E78" s="3">
        <v>515737</v>
      </c>
      <c r="F78" s="4">
        <v>1.50600015123988E-2</v>
      </c>
      <c r="G78">
        <v>2.1877429775253669</v>
      </c>
      <c r="H78" s="6">
        <v>35051</v>
      </c>
    </row>
    <row r="79" spans="1:8" x14ac:dyDescent="0.3">
      <c r="A79" s="5">
        <v>45579</v>
      </c>
      <c r="B79" t="s">
        <v>14</v>
      </c>
      <c r="C79" s="3">
        <v>7548</v>
      </c>
      <c r="D79" s="3">
        <v>433</v>
      </c>
      <c r="E79" s="3">
        <v>522852</v>
      </c>
      <c r="F79" s="4">
        <v>1.36080573470122E-2</v>
      </c>
      <c r="G79">
        <v>8.3562843787534522</v>
      </c>
      <c r="H79" s="6">
        <v>37386</v>
      </c>
    </row>
    <row r="80" spans="1:8" x14ac:dyDescent="0.3">
      <c r="A80" s="5">
        <v>45579</v>
      </c>
      <c r="B80" t="s">
        <v>41</v>
      </c>
      <c r="C80" s="3">
        <v>3293</v>
      </c>
      <c r="D80" s="3">
        <v>282</v>
      </c>
      <c r="E80" s="3">
        <v>525863</v>
      </c>
      <c r="F80" s="4">
        <v>5.7258259280459E-3</v>
      </c>
      <c r="G80">
        <v>27.040693108281051</v>
      </c>
      <c r="H80" s="6">
        <v>19518</v>
      </c>
    </row>
    <row r="81" spans="1:8" x14ac:dyDescent="0.3">
      <c r="A81" s="5">
        <v>45579</v>
      </c>
      <c r="B81" t="s">
        <v>41</v>
      </c>
      <c r="C81" s="3">
        <v>5837</v>
      </c>
      <c r="D81" s="3">
        <v>359</v>
      </c>
      <c r="E81" s="3">
        <v>531341</v>
      </c>
      <c r="F81" s="4">
        <v>1.03097634099383E-2</v>
      </c>
      <c r="G81">
        <v>6.8073045370110723</v>
      </c>
      <c r="H81" s="6">
        <v>56026</v>
      </c>
    </row>
    <row r="82" spans="1:8" x14ac:dyDescent="0.3">
      <c r="A82" s="5">
        <v>45586</v>
      </c>
      <c r="B82" t="s">
        <v>23</v>
      </c>
      <c r="C82" s="3">
        <v>8758</v>
      </c>
      <c r="D82" s="3">
        <v>1193</v>
      </c>
      <c r="E82" s="3">
        <v>538906</v>
      </c>
      <c r="F82" s="4">
        <v>1.40376985967868E-2</v>
      </c>
      <c r="G82">
        <v>3.4213758985797149</v>
      </c>
      <c r="H82" s="6">
        <v>26184</v>
      </c>
    </row>
    <row r="83" spans="1:8" x14ac:dyDescent="0.3">
      <c r="A83" s="5">
        <v>45586</v>
      </c>
      <c r="B83" t="s">
        <v>14</v>
      </c>
      <c r="C83" s="3">
        <v>7793</v>
      </c>
      <c r="D83" s="3">
        <v>875</v>
      </c>
      <c r="E83" s="3">
        <v>545824</v>
      </c>
      <c r="F83" s="4">
        <v>1.26744151961072E-2</v>
      </c>
      <c r="G83">
        <v>5.5136820660139527</v>
      </c>
      <c r="H83" s="6">
        <v>43787</v>
      </c>
    </row>
    <row r="84" spans="1:8" x14ac:dyDescent="0.3">
      <c r="A84" s="5">
        <v>45586</v>
      </c>
      <c r="B84" t="s">
        <v>23</v>
      </c>
      <c r="C84" s="3">
        <v>8638</v>
      </c>
      <c r="D84" s="3">
        <v>717</v>
      </c>
      <c r="E84" s="3">
        <v>553745</v>
      </c>
      <c r="F84" s="4">
        <v>1.4304418098583301E-2</v>
      </c>
      <c r="G84">
        <v>26.921416897669499</v>
      </c>
      <c r="H84" s="6">
        <v>31621</v>
      </c>
    </row>
    <row r="85" spans="1:8" x14ac:dyDescent="0.3">
      <c r="A85" s="5">
        <v>45586</v>
      </c>
      <c r="B85" t="s">
        <v>23</v>
      </c>
      <c r="C85" s="3">
        <v>8993</v>
      </c>
      <c r="D85" s="3">
        <v>506</v>
      </c>
      <c r="E85" s="3">
        <v>562232</v>
      </c>
      <c r="F85" s="4">
        <v>1.5095192020375899E-2</v>
      </c>
      <c r="G85">
        <v>3.5131404829323132</v>
      </c>
      <c r="H85" s="6">
        <v>20028</v>
      </c>
    </row>
    <row r="86" spans="1:8" x14ac:dyDescent="0.3">
      <c r="A86" s="5">
        <v>45593</v>
      </c>
      <c r="B86" t="s">
        <v>14</v>
      </c>
      <c r="C86" s="3">
        <v>7007</v>
      </c>
      <c r="D86" s="3">
        <v>568</v>
      </c>
      <c r="E86" s="3">
        <v>568671</v>
      </c>
      <c r="F86" s="4">
        <v>1.13228914433829E-2</v>
      </c>
      <c r="G86">
        <v>11.50507059442103</v>
      </c>
      <c r="H86" s="6">
        <v>22448</v>
      </c>
    </row>
    <row r="87" spans="1:8" x14ac:dyDescent="0.3">
      <c r="A87" s="5">
        <v>45593</v>
      </c>
      <c r="B87" t="s">
        <v>14</v>
      </c>
      <c r="C87" s="3">
        <v>6542</v>
      </c>
      <c r="D87" s="3">
        <v>539</v>
      </c>
      <c r="E87" s="3">
        <v>574674</v>
      </c>
      <c r="F87" s="4">
        <v>1.04459223838211E-2</v>
      </c>
      <c r="G87">
        <v>6.4069368024305948</v>
      </c>
      <c r="H87" s="6">
        <v>55253</v>
      </c>
    </row>
    <row r="88" spans="1:8" x14ac:dyDescent="0.3">
      <c r="A88" s="5">
        <v>45593</v>
      </c>
      <c r="B88" t="s">
        <v>19</v>
      </c>
      <c r="C88" s="3">
        <v>7356</v>
      </c>
      <c r="D88" s="3">
        <v>904</v>
      </c>
      <c r="E88" s="3">
        <v>581126</v>
      </c>
      <c r="F88" s="4">
        <v>1.1102583604932501E-2</v>
      </c>
      <c r="G88">
        <v>17.560907617280929</v>
      </c>
      <c r="H88" s="6">
        <v>44051</v>
      </c>
    </row>
    <row r="89" spans="1:8" x14ac:dyDescent="0.3">
      <c r="A89" s="5">
        <v>45593</v>
      </c>
      <c r="B89" t="s">
        <v>19</v>
      </c>
      <c r="C89" s="3">
        <v>9433</v>
      </c>
      <c r="D89" s="3">
        <v>1073</v>
      </c>
      <c r="E89" s="3">
        <v>589486</v>
      </c>
      <c r="F89" s="4">
        <v>1.4181846557848699E-2</v>
      </c>
      <c r="G89">
        <v>7.2934726185185053</v>
      </c>
      <c r="H89" s="6">
        <v>59811</v>
      </c>
    </row>
    <row r="90" spans="1:8" x14ac:dyDescent="0.3">
      <c r="A90" s="5">
        <v>45600</v>
      </c>
      <c r="B90" t="s">
        <v>41</v>
      </c>
      <c r="C90" s="3">
        <v>8380</v>
      </c>
      <c r="D90" s="3">
        <v>1162</v>
      </c>
      <c r="E90" s="3">
        <v>596704</v>
      </c>
      <c r="F90" s="4">
        <v>1.2096449831072E-2</v>
      </c>
      <c r="G90">
        <v>18.05853488496809</v>
      </c>
      <c r="H90" s="6">
        <v>40447</v>
      </c>
    </row>
    <row r="91" spans="1:8" x14ac:dyDescent="0.3">
      <c r="A91" s="5">
        <v>45600</v>
      </c>
      <c r="B91" t="s">
        <v>14</v>
      </c>
      <c r="C91" s="3">
        <v>3385</v>
      </c>
      <c r="D91" s="3">
        <v>329</v>
      </c>
      <c r="E91" s="3">
        <v>599760</v>
      </c>
      <c r="F91" s="4">
        <v>5.0953714819261002E-3</v>
      </c>
      <c r="G91">
        <v>17.61788048552755</v>
      </c>
      <c r="H91" s="6">
        <v>28394</v>
      </c>
    </row>
    <row r="92" spans="1:8" x14ac:dyDescent="0.3">
      <c r="A92" s="5">
        <v>45600</v>
      </c>
      <c r="B92" t="s">
        <v>19</v>
      </c>
      <c r="C92" s="3">
        <v>5268</v>
      </c>
      <c r="D92" s="3">
        <v>326</v>
      </c>
      <c r="E92" s="3">
        <v>604702</v>
      </c>
      <c r="F92" s="4">
        <v>8.17262056351724E-3</v>
      </c>
      <c r="G92">
        <v>23.435841125050029</v>
      </c>
      <c r="H92" s="6">
        <v>44501</v>
      </c>
    </row>
    <row r="93" spans="1:8" x14ac:dyDescent="0.3">
      <c r="A93" s="5">
        <v>45600</v>
      </c>
      <c r="B93" t="s">
        <v>41</v>
      </c>
      <c r="C93" s="3">
        <v>1671</v>
      </c>
      <c r="D93" s="3">
        <v>202</v>
      </c>
      <c r="E93" s="3">
        <v>606171</v>
      </c>
      <c r="F93" s="4">
        <v>2.42340857612786E-3</v>
      </c>
      <c r="G93">
        <v>15.150015424690389</v>
      </c>
      <c r="H93" s="6">
        <v>40254</v>
      </c>
    </row>
    <row r="94" spans="1:8" x14ac:dyDescent="0.3">
      <c r="A94" s="5">
        <v>45607</v>
      </c>
      <c r="B94" t="s">
        <v>41</v>
      </c>
      <c r="C94" s="3">
        <v>1163</v>
      </c>
      <c r="D94" s="3">
        <v>146</v>
      </c>
      <c r="E94" s="3">
        <v>607188</v>
      </c>
      <c r="F94" s="4">
        <v>1.6749342872388799E-3</v>
      </c>
      <c r="G94">
        <v>21.77776899411715</v>
      </c>
      <c r="H94" s="6">
        <v>28509</v>
      </c>
    </row>
    <row r="95" spans="1:8" x14ac:dyDescent="0.3">
      <c r="A95" s="5">
        <v>45607</v>
      </c>
      <c r="B95" t="s">
        <v>41</v>
      </c>
      <c r="C95" s="3">
        <v>9656</v>
      </c>
      <c r="D95" s="3">
        <v>1024</v>
      </c>
      <c r="E95" s="3">
        <v>615820</v>
      </c>
      <c r="F95" s="4">
        <v>1.40170829138385E-2</v>
      </c>
      <c r="G95">
        <v>8.7252768666168681</v>
      </c>
      <c r="H95" s="6">
        <v>58998</v>
      </c>
    </row>
    <row r="96" spans="1:8" x14ac:dyDescent="0.3">
      <c r="A96" s="5">
        <v>45607</v>
      </c>
      <c r="B96" t="s">
        <v>19</v>
      </c>
      <c r="C96" s="3">
        <v>5592</v>
      </c>
      <c r="D96" s="3">
        <v>710</v>
      </c>
      <c r="E96" s="3">
        <v>620702</v>
      </c>
      <c r="F96" s="4">
        <v>7.86528801260508E-3</v>
      </c>
      <c r="G96">
        <v>9.07118069540617</v>
      </c>
      <c r="H96" s="6">
        <v>24472</v>
      </c>
    </row>
    <row r="97" spans="1:8" x14ac:dyDescent="0.3">
      <c r="A97" s="5">
        <v>45607</v>
      </c>
      <c r="B97" t="s">
        <v>14</v>
      </c>
      <c r="C97" s="3">
        <v>5795</v>
      </c>
      <c r="D97" s="3">
        <v>575</v>
      </c>
      <c r="E97" s="3">
        <v>625922</v>
      </c>
      <c r="F97" s="4">
        <v>8.3396972785746391E-3</v>
      </c>
      <c r="G97">
        <v>3.0908004511744269</v>
      </c>
      <c r="H97" s="6">
        <v>55657</v>
      </c>
    </row>
    <row r="98" spans="1:8" x14ac:dyDescent="0.3">
      <c r="A98" s="5">
        <v>45614</v>
      </c>
      <c r="B98" t="s">
        <v>23</v>
      </c>
      <c r="C98" s="3">
        <v>5798</v>
      </c>
      <c r="D98" s="3">
        <v>592</v>
      </c>
      <c r="E98" s="3">
        <v>631128</v>
      </c>
      <c r="F98" s="4">
        <v>8.2487229214992797E-3</v>
      </c>
      <c r="G98">
        <v>1.6774727155188811</v>
      </c>
      <c r="H98" s="6">
        <v>13471</v>
      </c>
    </row>
    <row r="99" spans="1:8" x14ac:dyDescent="0.3">
      <c r="A99" s="5">
        <v>45614</v>
      </c>
      <c r="B99" t="s">
        <v>41</v>
      </c>
      <c r="C99" s="3">
        <v>7036</v>
      </c>
      <c r="D99" s="3">
        <v>652</v>
      </c>
      <c r="E99" s="3">
        <v>637512</v>
      </c>
      <c r="F99" s="4">
        <v>1.00139291495689E-2</v>
      </c>
      <c r="G99">
        <v>3.5705994553828009</v>
      </c>
      <c r="H99" s="6">
        <v>51796</v>
      </c>
    </row>
    <row r="100" spans="1:8" x14ac:dyDescent="0.3">
      <c r="A100" s="5">
        <v>45614</v>
      </c>
      <c r="B100" t="s">
        <v>19</v>
      </c>
      <c r="C100" s="3">
        <v>3355</v>
      </c>
      <c r="D100" s="3">
        <v>176</v>
      </c>
      <c r="E100" s="3">
        <v>640691</v>
      </c>
      <c r="F100" s="4">
        <v>4.96183027387618E-3</v>
      </c>
      <c r="G100">
        <v>12.426427091999111</v>
      </c>
      <c r="H100" s="6">
        <v>40268</v>
      </c>
    </row>
    <row r="101" spans="1:8" x14ac:dyDescent="0.3">
      <c r="A101" s="5">
        <v>45614</v>
      </c>
      <c r="B101" t="s">
        <v>19</v>
      </c>
      <c r="C101" s="3">
        <v>6887</v>
      </c>
      <c r="D101" s="3">
        <v>418</v>
      </c>
      <c r="E101" s="3">
        <v>647160</v>
      </c>
      <c r="F101" s="4">
        <v>9.9959824463811096E-3</v>
      </c>
      <c r="G101">
        <v>20.240280610668151</v>
      </c>
      <c r="H101" s="6">
        <v>18329</v>
      </c>
    </row>
    <row r="102" spans="1:8" x14ac:dyDescent="0.3">
      <c r="A102" s="5">
        <v>45621</v>
      </c>
      <c r="B102" t="s">
        <v>23</v>
      </c>
      <c r="C102" s="3">
        <v>8961</v>
      </c>
      <c r="D102" s="3">
        <v>476</v>
      </c>
      <c r="E102" s="3">
        <v>655645</v>
      </c>
      <c r="F102" s="4">
        <v>1.29414545981438E-2</v>
      </c>
      <c r="G102">
        <v>15.458517947974901</v>
      </c>
      <c r="H102" s="6">
        <v>44865</v>
      </c>
    </row>
    <row r="103" spans="1:8" x14ac:dyDescent="0.3">
      <c r="A103" s="5">
        <v>45621</v>
      </c>
      <c r="B103" t="s">
        <v>23</v>
      </c>
      <c r="C103" s="3">
        <v>6827</v>
      </c>
      <c r="D103" s="3">
        <v>775</v>
      </c>
      <c r="E103" s="3">
        <v>661697</v>
      </c>
      <c r="F103" s="4">
        <v>9.1461802003031598E-3</v>
      </c>
      <c r="G103">
        <v>15.96622018839439</v>
      </c>
      <c r="H103" s="6">
        <v>56850</v>
      </c>
    </row>
    <row r="104" spans="1:8" x14ac:dyDescent="0.3">
      <c r="A104" s="5">
        <v>45621</v>
      </c>
      <c r="B104" t="s">
        <v>19</v>
      </c>
      <c r="C104" s="3">
        <v>9737</v>
      </c>
      <c r="D104" s="3">
        <v>792</v>
      </c>
      <c r="E104" s="3">
        <v>670642</v>
      </c>
      <c r="F104" s="4">
        <v>1.33379657104685E-2</v>
      </c>
      <c r="G104">
        <v>5.301785453341723</v>
      </c>
      <c r="H104" s="6">
        <v>56698</v>
      </c>
    </row>
    <row r="105" spans="1:8" x14ac:dyDescent="0.3">
      <c r="A105" s="5">
        <v>45621</v>
      </c>
      <c r="B105" t="s">
        <v>14</v>
      </c>
      <c r="C105" s="3">
        <v>5719</v>
      </c>
      <c r="D105" s="3">
        <v>576</v>
      </c>
      <c r="E105" s="3">
        <v>675785</v>
      </c>
      <c r="F105" s="4">
        <v>7.6104086358827197E-3</v>
      </c>
      <c r="G105">
        <v>10.21656296011305</v>
      </c>
      <c r="H105" s="6">
        <v>38272</v>
      </c>
    </row>
    <row r="106" spans="1:8" x14ac:dyDescent="0.3">
      <c r="A106" s="5">
        <v>45628</v>
      </c>
      <c r="B106" t="s">
        <v>23</v>
      </c>
      <c r="C106" s="3">
        <v>1593</v>
      </c>
      <c r="D106" s="3">
        <v>224</v>
      </c>
      <c r="E106" s="3">
        <v>677154</v>
      </c>
      <c r="F106" s="4">
        <v>2.0216966893793699E-3</v>
      </c>
      <c r="G106">
        <v>4.1495730660972248</v>
      </c>
      <c r="H106" s="6">
        <v>52845</v>
      </c>
    </row>
    <row r="107" spans="1:8" x14ac:dyDescent="0.3">
      <c r="A107" s="5">
        <v>45628</v>
      </c>
      <c r="B107" t="s">
        <v>19</v>
      </c>
      <c r="C107" s="3">
        <v>5839</v>
      </c>
      <c r="D107" s="3">
        <v>437</v>
      </c>
      <c r="E107" s="3">
        <v>682556</v>
      </c>
      <c r="F107" s="4">
        <v>7.9143689309009099E-3</v>
      </c>
      <c r="G107">
        <v>17.44750613869045</v>
      </c>
      <c r="H107" s="6">
        <v>16397</v>
      </c>
    </row>
    <row r="108" spans="1:8" x14ac:dyDescent="0.3">
      <c r="A108" s="5">
        <v>45628</v>
      </c>
      <c r="B108" t="s">
        <v>23</v>
      </c>
      <c r="C108" s="3">
        <v>8394</v>
      </c>
      <c r="D108" s="3">
        <v>764</v>
      </c>
      <c r="E108" s="3">
        <v>690186</v>
      </c>
      <c r="F108" s="4">
        <v>1.10549909734477E-2</v>
      </c>
      <c r="G108">
        <v>6.3556780346167558</v>
      </c>
      <c r="H108" s="6">
        <v>42373</v>
      </c>
    </row>
    <row r="109" spans="1:8" x14ac:dyDescent="0.3">
      <c r="A109" s="5">
        <v>45628</v>
      </c>
      <c r="B109" t="s">
        <v>14</v>
      </c>
      <c r="C109" s="3">
        <v>4493</v>
      </c>
      <c r="D109" s="3">
        <v>564</v>
      </c>
      <c r="E109" s="3">
        <v>694115</v>
      </c>
      <c r="F109" s="4">
        <v>5.6604453152575597E-3</v>
      </c>
      <c r="G109">
        <v>16.625487131094989</v>
      </c>
      <c r="H109" s="6">
        <v>45525</v>
      </c>
    </row>
    <row r="110" spans="1:8" x14ac:dyDescent="0.3">
      <c r="A110" s="5">
        <v>45635</v>
      </c>
      <c r="B110" t="s">
        <v>41</v>
      </c>
      <c r="C110" s="3">
        <v>7164</v>
      </c>
      <c r="D110" s="3">
        <v>522</v>
      </c>
      <c r="E110" s="3">
        <v>700757</v>
      </c>
      <c r="F110" s="4">
        <v>9.4783213011072308E-3</v>
      </c>
      <c r="G110">
        <v>13.449169969047761</v>
      </c>
      <c r="H110" s="6">
        <v>34570</v>
      </c>
    </row>
    <row r="111" spans="1:8" x14ac:dyDescent="0.3">
      <c r="A111" s="5">
        <v>45635</v>
      </c>
      <c r="B111" t="s">
        <v>23</v>
      </c>
      <c r="C111" s="3">
        <v>3672</v>
      </c>
      <c r="D111" s="3">
        <v>211</v>
      </c>
      <c r="E111" s="3">
        <v>704218</v>
      </c>
      <c r="F111" s="4">
        <v>4.9146713091684701E-3</v>
      </c>
      <c r="G111">
        <v>12.35057894004413</v>
      </c>
      <c r="H111" s="6">
        <v>28284</v>
      </c>
    </row>
    <row r="112" spans="1:8" x14ac:dyDescent="0.3">
      <c r="A112" s="5">
        <v>45635</v>
      </c>
      <c r="B112" t="s">
        <v>14</v>
      </c>
      <c r="C112" s="3">
        <v>5200</v>
      </c>
      <c r="D112" s="3">
        <v>410</v>
      </c>
      <c r="E112" s="3">
        <v>709008</v>
      </c>
      <c r="F112" s="4">
        <v>6.7559181278631598E-3</v>
      </c>
      <c r="G112">
        <v>12.913394489201821</v>
      </c>
      <c r="H112" s="6">
        <v>28994</v>
      </c>
    </row>
    <row r="113" spans="1:8" x14ac:dyDescent="0.3">
      <c r="A113" s="5">
        <v>45635</v>
      </c>
      <c r="B113" t="s">
        <v>19</v>
      </c>
      <c r="C113" s="3">
        <v>1016</v>
      </c>
      <c r="D113" s="3">
        <v>67</v>
      </c>
      <c r="E113" s="3">
        <v>709957</v>
      </c>
      <c r="F113" s="4">
        <v>1.3367006734210699E-3</v>
      </c>
      <c r="G113">
        <v>20.774215903216671</v>
      </c>
      <c r="H113" s="6">
        <v>33284</v>
      </c>
    </row>
    <row r="114" spans="1:8" x14ac:dyDescent="0.3">
      <c r="A114" s="5">
        <v>45642</v>
      </c>
      <c r="B114" t="s">
        <v>23</v>
      </c>
      <c r="C114" s="3">
        <v>4191</v>
      </c>
      <c r="D114" s="3">
        <v>599</v>
      </c>
      <c r="E114" s="3">
        <v>713549</v>
      </c>
      <c r="F114" s="4">
        <v>5.0339920594100803E-3</v>
      </c>
      <c r="G114">
        <v>11.56416728213479</v>
      </c>
      <c r="H114" s="6">
        <v>27833</v>
      </c>
    </row>
    <row r="115" spans="1:8" x14ac:dyDescent="0.3">
      <c r="A115" s="5">
        <v>45642</v>
      </c>
      <c r="B115" t="s">
        <v>23</v>
      </c>
      <c r="C115" s="3">
        <v>1392</v>
      </c>
      <c r="D115" s="3">
        <v>182</v>
      </c>
      <c r="E115" s="3">
        <v>714759</v>
      </c>
      <c r="F115" s="4">
        <v>1.69287829883919E-3</v>
      </c>
      <c r="G115">
        <v>5.9603306848881932</v>
      </c>
      <c r="H115" s="6">
        <v>35122</v>
      </c>
    </row>
    <row r="116" spans="1:8" x14ac:dyDescent="0.3">
      <c r="A116" s="5">
        <v>45642</v>
      </c>
      <c r="B116" t="s">
        <v>19</v>
      </c>
      <c r="C116" s="3">
        <v>9616</v>
      </c>
      <c r="D116" s="3">
        <v>1089</v>
      </c>
      <c r="E116" s="3">
        <v>723286</v>
      </c>
      <c r="F116" s="4">
        <v>1.17892507251627E-2</v>
      </c>
      <c r="G116">
        <v>19.25863351426683</v>
      </c>
      <c r="H116" s="6">
        <v>15017</v>
      </c>
    </row>
    <row r="117" spans="1:8" x14ac:dyDescent="0.3">
      <c r="A117" s="5">
        <v>45642</v>
      </c>
      <c r="B117" t="s">
        <v>41</v>
      </c>
      <c r="C117" s="3">
        <v>7272</v>
      </c>
      <c r="D117" s="3">
        <v>997</v>
      </c>
      <c r="E117" s="3">
        <v>729561</v>
      </c>
      <c r="F117" s="4">
        <v>8.6010628309353201E-3</v>
      </c>
      <c r="G117">
        <v>13.428486445958599</v>
      </c>
      <c r="H117" s="6">
        <v>26370</v>
      </c>
    </row>
    <row r="118" spans="1:8" x14ac:dyDescent="0.3">
      <c r="A118" s="5">
        <v>45649</v>
      </c>
      <c r="B118" t="s">
        <v>19</v>
      </c>
      <c r="C118" s="3">
        <v>1571</v>
      </c>
      <c r="D118" s="3">
        <v>204</v>
      </c>
      <c r="E118" s="3">
        <v>730928</v>
      </c>
      <c r="F118" s="4">
        <v>1.8702252479040301E-3</v>
      </c>
      <c r="G118">
        <v>19.449384891535139</v>
      </c>
      <c r="H118" s="6">
        <v>39252</v>
      </c>
    </row>
    <row r="119" spans="1:8" x14ac:dyDescent="0.3">
      <c r="A119" s="5">
        <v>45649</v>
      </c>
      <c r="B119" t="s">
        <v>23</v>
      </c>
      <c r="C119" s="3">
        <v>4631</v>
      </c>
      <c r="D119" s="3">
        <v>317</v>
      </c>
      <c r="E119" s="3">
        <v>735242</v>
      </c>
      <c r="F119" s="4">
        <v>5.8674558852731496E-3</v>
      </c>
      <c r="G119">
        <v>1.381177897889402</v>
      </c>
      <c r="H119" s="6">
        <v>17999</v>
      </c>
    </row>
    <row r="120" spans="1:8" x14ac:dyDescent="0.3">
      <c r="A120" s="5">
        <v>45649</v>
      </c>
      <c r="B120" t="s">
        <v>19</v>
      </c>
      <c r="C120" s="3">
        <v>7172</v>
      </c>
      <c r="D120" s="3">
        <v>998</v>
      </c>
      <c r="E120" s="3">
        <v>741416</v>
      </c>
      <c r="F120" s="4">
        <v>8.32730882527488E-3</v>
      </c>
      <c r="G120">
        <v>18.0667803230575</v>
      </c>
      <c r="H120" s="6">
        <v>32436</v>
      </c>
    </row>
    <row r="121" spans="1:8" x14ac:dyDescent="0.3">
      <c r="A121" s="5">
        <v>45649</v>
      </c>
      <c r="B121" t="s">
        <v>14</v>
      </c>
      <c r="C121" s="3">
        <v>8177</v>
      </c>
      <c r="D121" s="3">
        <v>849</v>
      </c>
      <c r="E121" s="3">
        <v>748744</v>
      </c>
      <c r="F121" s="4">
        <v>9.78705672432768E-3</v>
      </c>
      <c r="G121">
        <v>10.34986590877523</v>
      </c>
      <c r="H121" s="6">
        <v>52963</v>
      </c>
    </row>
    <row r="122" spans="1:8" x14ac:dyDescent="0.3">
      <c r="A122" s="5">
        <v>45656</v>
      </c>
      <c r="B122" t="s">
        <v>19</v>
      </c>
      <c r="C122" s="3">
        <v>9433</v>
      </c>
      <c r="D122" s="3">
        <v>1233</v>
      </c>
      <c r="E122" s="3">
        <v>756944</v>
      </c>
      <c r="F122" s="4">
        <v>1.08330338836162E-2</v>
      </c>
      <c r="G122">
        <v>11.391727789638329</v>
      </c>
      <c r="H122" s="6">
        <v>12096</v>
      </c>
    </row>
    <row r="123" spans="1:8" x14ac:dyDescent="0.3">
      <c r="A123" s="5">
        <v>45656</v>
      </c>
      <c r="B123" t="s">
        <v>23</v>
      </c>
      <c r="C123" s="3">
        <v>4897</v>
      </c>
      <c r="D123" s="3">
        <v>683</v>
      </c>
      <c r="E123" s="3">
        <v>761158</v>
      </c>
      <c r="F123" s="4">
        <v>5.5363012672795904E-3</v>
      </c>
      <c r="G123">
        <v>15.06231294947961</v>
      </c>
      <c r="H123" s="6">
        <v>58201</v>
      </c>
    </row>
    <row r="124" spans="1:8" x14ac:dyDescent="0.3">
      <c r="A124" s="5">
        <v>45656</v>
      </c>
      <c r="B124" t="s">
        <v>19</v>
      </c>
      <c r="C124" s="3">
        <v>9123</v>
      </c>
      <c r="D124" s="3">
        <v>746</v>
      </c>
      <c r="E124" s="3">
        <v>769535</v>
      </c>
      <c r="F124" s="4">
        <v>1.0885794668208699E-2</v>
      </c>
      <c r="G124">
        <v>6.3086149427901264</v>
      </c>
      <c r="H124" s="6">
        <v>35279</v>
      </c>
    </row>
    <row r="125" spans="1:8" x14ac:dyDescent="0.3">
      <c r="A125" s="5">
        <v>45656</v>
      </c>
      <c r="B125" t="s">
        <v>41</v>
      </c>
      <c r="C125" s="3">
        <v>3279</v>
      </c>
      <c r="D125" s="3">
        <v>200</v>
      </c>
      <c r="E125" s="3">
        <v>772614</v>
      </c>
      <c r="F125" s="4">
        <v>3.9851724146857297E-3</v>
      </c>
      <c r="G125">
        <v>5.0212654702089274</v>
      </c>
      <c r="H125" s="6">
        <v>53363</v>
      </c>
    </row>
    <row r="126" spans="1:8" x14ac:dyDescent="0.3">
      <c r="A126" s="5">
        <v>45663</v>
      </c>
      <c r="B126" t="s">
        <v>19</v>
      </c>
      <c r="C126" s="3">
        <v>9980</v>
      </c>
      <c r="D126" s="3">
        <v>726</v>
      </c>
      <c r="E126" s="3">
        <v>781868</v>
      </c>
      <c r="F126" s="4">
        <v>1.18357574424327E-2</v>
      </c>
      <c r="G126">
        <v>4.0220344099003924</v>
      </c>
      <c r="H126" s="6">
        <v>58709</v>
      </c>
    </row>
    <row r="127" spans="1:8" x14ac:dyDescent="0.3">
      <c r="A127" s="5">
        <v>45663</v>
      </c>
      <c r="B127" t="s">
        <v>41</v>
      </c>
      <c r="C127" s="3">
        <v>8451</v>
      </c>
      <c r="D127" s="3">
        <v>783</v>
      </c>
      <c r="E127" s="3">
        <v>789536</v>
      </c>
      <c r="F127" s="4">
        <v>9.7120333968305408E-3</v>
      </c>
      <c r="G127">
        <v>12.407287318121019</v>
      </c>
      <c r="H127" s="6">
        <v>36201</v>
      </c>
    </row>
    <row r="128" spans="1:8" x14ac:dyDescent="0.3">
      <c r="A128" s="5">
        <v>45663</v>
      </c>
      <c r="B128" t="s">
        <v>14</v>
      </c>
      <c r="C128" s="3">
        <v>9906</v>
      </c>
      <c r="D128" s="3">
        <v>1305</v>
      </c>
      <c r="E128" s="3">
        <v>798137</v>
      </c>
      <c r="F128" s="4">
        <v>1.0776345414383701E-2</v>
      </c>
      <c r="G128">
        <v>9.1811305577864442</v>
      </c>
      <c r="H128" s="6">
        <v>29715</v>
      </c>
    </row>
    <row r="129" spans="1:8" x14ac:dyDescent="0.3">
      <c r="A129" s="5">
        <v>45663</v>
      </c>
      <c r="B129" t="s">
        <v>41</v>
      </c>
      <c r="C129" s="3">
        <v>1775</v>
      </c>
      <c r="D129" s="3">
        <v>241</v>
      </c>
      <c r="E129" s="3">
        <v>799671</v>
      </c>
      <c r="F129" s="4">
        <v>1.91828889630861E-3</v>
      </c>
      <c r="G129">
        <v>8.1379717408784362</v>
      </c>
      <c r="H129" s="6">
        <v>39309</v>
      </c>
    </row>
    <row r="130" spans="1:8" x14ac:dyDescent="0.3">
      <c r="A130" s="5">
        <v>45670</v>
      </c>
      <c r="B130" t="s">
        <v>19</v>
      </c>
      <c r="C130" s="3">
        <v>7869</v>
      </c>
      <c r="D130" s="3">
        <v>398</v>
      </c>
      <c r="E130" s="3">
        <v>807142</v>
      </c>
      <c r="F130" s="4">
        <v>9.2561160241940096E-3</v>
      </c>
      <c r="G130">
        <v>15.211945357818079</v>
      </c>
      <c r="H130" s="6">
        <v>25078</v>
      </c>
    </row>
    <row r="131" spans="1:8" x14ac:dyDescent="0.3">
      <c r="A131" s="5">
        <v>45670</v>
      </c>
      <c r="B131" t="s">
        <v>23</v>
      </c>
      <c r="C131" s="3">
        <v>3247</v>
      </c>
      <c r="D131" s="3">
        <v>328</v>
      </c>
      <c r="E131" s="3">
        <v>810061</v>
      </c>
      <c r="F131" s="4">
        <v>3.6034323341081701E-3</v>
      </c>
      <c r="G131">
        <v>13.941172331466399</v>
      </c>
      <c r="H131" s="6">
        <v>15105</v>
      </c>
    </row>
    <row r="132" spans="1:8" x14ac:dyDescent="0.3">
      <c r="A132" s="5">
        <v>45670</v>
      </c>
      <c r="B132" t="s">
        <v>41</v>
      </c>
      <c r="C132" s="3">
        <v>8088</v>
      </c>
      <c r="D132" s="3">
        <v>742</v>
      </c>
      <c r="E132" s="3">
        <v>817407</v>
      </c>
      <c r="F132" s="4">
        <v>8.9869550909155403E-3</v>
      </c>
      <c r="G132">
        <v>14.664542877660701</v>
      </c>
      <c r="H132" s="6">
        <v>39312</v>
      </c>
    </row>
    <row r="133" spans="1:8" x14ac:dyDescent="0.3">
      <c r="A133" s="5">
        <v>45670</v>
      </c>
      <c r="B133" t="s">
        <v>14</v>
      </c>
      <c r="C133" s="3">
        <v>1078</v>
      </c>
      <c r="D133" s="3">
        <v>77</v>
      </c>
      <c r="E133" s="3">
        <v>818408</v>
      </c>
      <c r="F133" s="4">
        <v>1.22310632349635E-3</v>
      </c>
      <c r="G133">
        <v>18.236747441373989</v>
      </c>
      <c r="H133" s="6">
        <v>12839</v>
      </c>
    </row>
    <row r="134" spans="1:8" x14ac:dyDescent="0.3">
      <c r="A134" s="5">
        <v>45677</v>
      </c>
      <c r="B134" t="s">
        <v>41</v>
      </c>
      <c r="C134" s="3">
        <v>9080</v>
      </c>
      <c r="D134" s="3">
        <v>562</v>
      </c>
      <c r="E134" s="3">
        <v>826926</v>
      </c>
      <c r="F134" s="4">
        <v>1.03008007971693E-2</v>
      </c>
      <c r="G134">
        <v>7.1083748727213809</v>
      </c>
      <c r="H134" s="6">
        <v>13384</v>
      </c>
    </row>
    <row r="135" spans="1:8" x14ac:dyDescent="0.3">
      <c r="A135" s="5">
        <v>45677</v>
      </c>
      <c r="B135" t="s">
        <v>41</v>
      </c>
      <c r="C135" s="3">
        <v>8099</v>
      </c>
      <c r="D135" s="3">
        <v>678</v>
      </c>
      <c r="E135" s="3">
        <v>834347</v>
      </c>
      <c r="F135" s="4">
        <v>8.8943808751035195E-3</v>
      </c>
      <c r="G135">
        <v>7.6464588474579518</v>
      </c>
      <c r="H135" s="6">
        <v>53619</v>
      </c>
    </row>
    <row r="136" spans="1:8" x14ac:dyDescent="0.3">
      <c r="A136" s="5">
        <v>45677</v>
      </c>
      <c r="B136" t="s">
        <v>41</v>
      </c>
      <c r="C136" s="3">
        <v>4926</v>
      </c>
      <c r="D136" s="3">
        <v>710</v>
      </c>
      <c r="E136" s="3">
        <v>838563</v>
      </c>
      <c r="F136" s="4">
        <v>5.0276484891415398E-3</v>
      </c>
      <c r="G136">
        <v>12.96217457722318</v>
      </c>
      <c r="H136" s="6">
        <v>52821</v>
      </c>
    </row>
    <row r="137" spans="1:8" x14ac:dyDescent="0.3">
      <c r="A137" s="5">
        <v>45677</v>
      </c>
      <c r="B137" t="s">
        <v>14</v>
      </c>
      <c r="C137" s="3">
        <v>8340</v>
      </c>
      <c r="D137" s="3">
        <v>686</v>
      </c>
      <c r="E137" s="3">
        <v>846217</v>
      </c>
      <c r="F137" s="4">
        <v>9.04496128061715E-3</v>
      </c>
      <c r="G137">
        <v>7.201344336027284</v>
      </c>
      <c r="H137" s="6">
        <v>23493</v>
      </c>
    </row>
    <row r="138" spans="1:8" x14ac:dyDescent="0.3">
      <c r="A138" s="5">
        <v>45684</v>
      </c>
      <c r="B138" t="s">
        <v>19</v>
      </c>
      <c r="C138" s="3">
        <v>8083</v>
      </c>
      <c r="D138" s="3">
        <v>823</v>
      </c>
      <c r="E138" s="3">
        <v>853477</v>
      </c>
      <c r="F138" s="4">
        <v>8.5063803711172108E-3</v>
      </c>
      <c r="G138">
        <v>4.6300017457998282</v>
      </c>
      <c r="H138" s="6">
        <v>27069</v>
      </c>
    </row>
    <row r="139" spans="1:8" x14ac:dyDescent="0.3">
      <c r="A139" s="5">
        <v>45684</v>
      </c>
      <c r="B139" t="s">
        <v>41</v>
      </c>
      <c r="C139" s="3">
        <v>7230</v>
      </c>
      <c r="D139" s="3">
        <v>869</v>
      </c>
      <c r="E139" s="3">
        <v>859838</v>
      </c>
      <c r="F139" s="4">
        <v>7.397905186791E-3</v>
      </c>
      <c r="G139">
        <v>7.0117859410726204</v>
      </c>
      <c r="H139" s="6">
        <v>56907</v>
      </c>
    </row>
    <row r="140" spans="1:8" x14ac:dyDescent="0.3">
      <c r="A140" s="5">
        <v>45684</v>
      </c>
      <c r="B140" t="s">
        <v>41</v>
      </c>
      <c r="C140" s="3">
        <v>5940</v>
      </c>
      <c r="D140" s="3">
        <v>512</v>
      </c>
      <c r="E140" s="3">
        <v>865266</v>
      </c>
      <c r="F140" s="4">
        <v>6.2732154042802997E-3</v>
      </c>
      <c r="G140">
        <v>15.7972230504839</v>
      </c>
      <c r="H140" s="6">
        <v>17531</v>
      </c>
    </row>
    <row r="141" spans="1:8" x14ac:dyDescent="0.3">
      <c r="A141" s="5">
        <v>45684</v>
      </c>
      <c r="B141" t="s">
        <v>23</v>
      </c>
      <c r="C141" s="3">
        <v>4271</v>
      </c>
      <c r="D141" s="3">
        <v>628</v>
      </c>
      <c r="E141" s="3">
        <v>868909</v>
      </c>
      <c r="F141" s="4">
        <v>4.1926139561219902E-3</v>
      </c>
      <c r="G141">
        <v>11.124410036033691</v>
      </c>
      <c r="H141" s="6">
        <v>47051</v>
      </c>
    </row>
    <row r="142" spans="1:8" x14ac:dyDescent="0.3">
      <c r="A142" s="5">
        <v>45691</v>
      </c>
      <c r="B142" t="s">
        <v>14</v>
      </c>
      <c r="C142" s="3">
        <v>4456</v>
      </c>
      <c r="D142" s="3">
        <v>651</v>
      </c>
      <c r="E142" s="3">
        <v>872714</v>
      </c>
      <c r="F142" s="4">
        <v>4.3599621410908996E-3</v>
      </c>
      <c r="G142">
        <v>9.5052903929580594</v>
      </c>
      <c r="H142" s="6">
        <v>17736</v>
      </c>
    </row>
    <row r="143" spans="1:8" x14ac:dyDescent="0.3">
      <c r="A143" s="5">
        <v>45691</v>
      </c>
      <c r="B143" t="s">
        <v>41</v>
      </c>
      <c r="C143" s="3">
        <v>8788</v>
      </c>
      <c r="D143" s="3">
        <v>660</v>
      </c>
      <c r="E143" s="3">
        <v>880842</v>
      </c>
      <c r="F143" s="4">
        <v>9.2275345635198999E-3</v>
      </c>
      <c r="G143">
        <v>3.7175793161543158</v>
      </c>
      <c r="H143" s="6">
        <v>17710</v>
      </c>
    </row>
    <row r="144" spans="1:8" x14ac:dyDescent="0.3">
      <c r="A144" s="5">
        <v>45691</v>
      </c>
      <c r="B144" t="s">
        <v>14</v>
      </c>
      <c r="C144" s="3">
        <v>9599</v>
      </c>
      <c r="D144" s="3">
        <v>957</v>
      </c>
      <c r="E144" s="3">
        <v>889484</v>
      </c>
      <c r="F144" s="4">
        <v>9.7157453085159502E-3</v>
      </c>
      <c r="G144">
        <v>8.768004820772493</v>
      </c>
      <c r="H144" s="6">
        <v>11619</v>
      </c>
    </row>
    <row r="145" spans="1:8" x14ac:dyDescent="0.3">
      <c r="A145" s="5">
        <v>45691</v>
      </c>
      <c r="B145" t="s">
        <v>41</v>
      </c>
      <c r="C145" s="3">
        <v>8650</v>
      </c>
      <c r="D145" s="3">
        <v>692</v>
      </c>
      <c r="E145" s="3">
        <v>897442</v>
      </c>
      <c r="F145" s="4">
        <v>8.8674254157928897E-3</v>
      </c>
      <c r="G145">
        <v>7.6673478620345374</v>
      </c>
      <c r="H145" s="6">
        <v>23975</v>
      </c>
    </row>
    <row r="146" spans="1:8" x14ac:dyDescent="0.3">
      <c r="A146" s="5">
        <v>45698</v>
      </c>
      <c r="B146" t="s">
        <v>19</v>
      </c>
      <c r="C146" s="3">
        <v>3711</v>
      </c>
      <c r="D146" s="3">
        <v>291</v>
      </c>
      <c r="E146" s="3">
        <v>900862</v>
      </c>
      <c r="F146" s="4">
        <v>3.7963639269943698E-3</v>
      </c>
      <c r="G146">
        <v>14.24879726306582</v>
      </c>
      <c r="H146" s="6">
        <v>55603</v>
      </c>
    </row>
    <row r="147" spans="1:8" x14ac:dyDescent="0.3">
      <c r="A147" s="5">
        <v>45698</v>
      </c>
      <c r="B147" t="s">
        <v>19</v>
      </c>
      <c r="C147" s="3">
        <v>2668</v>
      </c>
      <c r="D147" s="3">
        <v>143</v>
      </c>
      <c r="E147" s="3">
        <v>903387</v>
      </c>
      <c r="F147" s="4">
        <v>2.79503690002181E-3</v>
      </c>
      <c r="G147">
        <v>15.903372530266649</v>
      </c>
      <c r="H147" s="6">
        <v>33252</v>
      </c>
    </row>
    <row r="148" spans="1:8" x14ac:dyDescent="0.3">
      <c r="A148" s="5">
        <v>45698</v>
      </c>
      <c r="B148" t="s">
        <v>41</v>
      </c>
      <c r="C148" s="3">
        <v>1147</v>
      </c>
      <c r="D148" s="3">
        <v>127</v>
      </c>
      <c r="E148" s="3">
        <v>904407</v>
      </c>
      <c r="F148" s="4">
        <v>1.12781081968627E-3</v>
      </c>
      <c r="G148">
        <v>1.3997016829812241</v>
      </c>
      <c r="H148" s="6">
        <v>25261</v>
      </c>
    </row>
    <row r="149" spans="1:8" x14ac:dyDescent="0.3">
      <c r="A149" s="5">
        <v>45698</v>
      </c>
      <c r="B149" t="s">
        <v>19</v>
      </c>
      <c r="C149" s="3">
        <v>7420</v>
      </c>
      <c r="D149" s="3">
        <v>743</v>
      </c>
      <c r="E149" s="3">
        <v>911084</v>
      </c>
      <c r="F149" s="4">
        <v>7.3286327056561202E-3</v>
      </c>
      <c r="G149">
        <v>10.593534734448189</v>
      </c>
      <c r="H149" s="6">
        <v>11431</v>
      </c>
    </row>
    <row r="150" spans="1:8" x14ac:dyDescent="0.3">
      <c r="A150" s="5">
        <v>45705</v>
      </c>
      <c r="B150" t="s">
        <v>41</v>
      </c>
      <c r="C150" s="3">
        <v>1365</v>
      </c>
      <c r="D150" s="3">
        <v>75</v>
      </c>
      <c r="E150" s="3">
        <v>912374</v>
      </c>
      <c r="F150" s="4">
        <v>1.4138938637006299E-3</v>
      </c>
      <c r="G150">
        <v>9.2688963078737441</v>
      </c>
      <c r="H150" s="6">
        <v>19067</v>
      </c>
    </row>
    <row r="151" spans="1:8" x14ac:dyDescent="0.3">
      <c r="A151" s="5">
        <v>45705</v>
      </c>
      <c r="B151" t="s">
        <v>19</v>
      </c>
      <c r="C151" s="3">
        <v>5531</v>
      </c>
      <c r="D151" s="3">
        <v>430</v>
      </c>
      <c r="E151" s="3">
        <v>917475</v>
      </c>
      <c r="F151" s="4">
        <v>5.5598245183792498E-3</v>
      </c>
      <c r="G151">
        <v>2.7289026948963189</v>
      </c>
      <c r="H151" s="6">
        <v>47481</v>
      </c>
    </row>
    <row r="152" spans="1:8" x14ac:dyDescent="0.3">
      <c r="A152" s="5">
        <v>45705</v>
      </c>
      <c r="B152" t="s">
        <v>23</v>
      </c>
      <c r="C152" s="3">
        <v>6330</v>
      </c>
      <c r="D152" s="3">
        <v>891</v>
      </c>
      <c r="E152" s="3">
        <v>922914</v>
      </c>
      <c r="F152" s="4">
        <v>5.8932901657142503E-3</v>
      </c>
      <c r="G152">
        <v>14.789893749580139</v>
      </c>
      <c r="H152" s="6">
        <v>37037</v>
      </c>
    </row>
    <row r="153" spans="1:8" x14ac:dyDescent="0.3">
      <c r="A153" s="5">
        <v>45705</v>
      </c>
      <c r="B153" t="s">
        <v>23</v>
      </c>
      <c r="C153" s="3">
        <v>6510</v>
      </c>
      <c r="D153" s="3">
        <v>481</v>
      </c>
      <c r="E153" s="3">
        <v>928943</v>
      </c>
      <c r="F153" s="4">
        <v>6.4901721634158397E-3</v>
      </c>
      <c r="G153">
        <v>2.3800168578696428</v>
      </c>
      <c r="H153" s="6">
        <v>19557</v>
      </c>
    </row>
    <row r="154" spans="1:8" x14ac:dyDescent="0.3">
      <c r="A154" s="5">
        <v>45712</v>
      </c>
      <c r="B154" t="s">
        <v>23</v>
      </c>
      <c r="C154" s="3">
        <v>9754</v>
      </c>
      <c r="D154" s="3">
        <v>629</v>
      </c>
      <c r="E154" s="3">
        <v>938068</v>
      </c>
      <c r="F154" s="4">
        <v>9.7274398018054094E-3</v>
      </c>
      <c r="G154">
        <v>3.4123325814333292</v>
      </c>
      <c r="H154" s="6">
        <v>19435</v>
      </c>
    </row>
    <row r="155" spans="1:8" x14ac:dyDescent="0.3">
      <c r="A155" s="5">
        <v>45712</v>
      </c>
      <c r="B155" t="s">
        <v>14</v>
      </c>
      <c r="C155" s="3">
        <v>9964</v>
      </c>
      <c r="D155" s="3">
        <v>985</v>
      </c>
      <c r="E155" s="3">
        <v>947047</v>
      </c>
      <c r="F155" s="4">
        <v>9.4810500429228992E-3</v>
      </c>
      <c r="G155">
        <v>1.9837452629066989</v>
      </c>
      <c r="H155" s="6">
        <v>47766</v>
      </c>
    </row>
    <row r="156" spans="1:8" x14ac:dyDescent="0.3">
      <c r="A156" s="5">
        <v>45712</v>
      </c>
      <c r="B156" t="s">
        <v>14</v>
      </c>
      <c r="C156" s="3">
        <v>7493</v>
      </c>
      <c r="D156" s="3">
        <v>1113</v>
      </c>
      <c r="E156" s="3">
        <v>953427</v>
      </c>
      <c r="F156" s="4">
        <v>6.6916502259743004E-3</v>
      </c>
      <c r="G156">
        <v>15.684892498324469</v>
      </c>
      <c r="H156" s="6">
        <v>10162</v>
      </c>
    </row>
    <row r="157" spans="1:8" x14ac:dyDescent="0.3">
      <c r="A157" s="5">
        <v>45712</v>
      </c>
      <c r="B157" t="s">
        <v>23</v>
      </c>
      <c r="C157" s="3">
        <v>6439</v>
      </c>
      <c r="D157" s="3">
        <v>477</v>
      </c>
      <c r="E157" s="3">
        <v>959389</v>
      </c>
      <c r="F157" s="4">
        <v>6.2143718554204799E-3</v>
      </c>
      <c r="G157">
        <v>7.4744446725989153</v>
      </c>
      <c r="H157" s="6">
        <v>44742</v>
      </c>
    </row>
    <row r="158" spans="1:8" x14ac:dyDescent="0.3">
      <c r="A158" s="5">
        <v>45719</v>
      </c>
      <c r="B158" t="s">
        <v>14</v>
      </c>
      <c r="C158" s="3">
        <v>7511</v>
      </c>
      <c r="D158" s="3">
        <v>880</v>
      </c>
      <c r="E158" s="3">
        <v>966020</v>
      </c>
      <c r="F158" s="4">
        <v>6.8642471170369196E-3</v>
      </c>
      <c r="G158">
        <v>4.6083932009689246</v>
      </c>
      <c r="H158" s="6">
        <v>29675</v>
      </c>
    </row>
    <row r="159" spans="1:8" x14ac:dyDescent="0.3">
      <c r="A159" s="5">
        <v>45719</v>
      </c>
      <c r="B159" t="s">
        <v>19</v>
      </c>
      <c r="C159" s="3">
        <v>8504</v>
      </c>
      <c r="D159" s="3">
        <v>1072</v>
      </c>
      <c r="E159" s="3">
        <v>973452</v>
      </c>
      <c r="F159" s="4">
        <v>7.6346856342172E-3</v>
      </c>
      <c r="G159">
        <v>6.5651927367759271</v>
      </c>
      <c r="H159" s="6">
        <v>18461</v>
      </c>
    </row>
    <row r="160" spans="1:8" x14ac:dyDescent="0.3">
      <c r="A160" s="5">
        <v>45719</v>
      </c>
      <c r="B160" t="s">
        <v>41</v>
      </c>
      <c r="C160" s="3">
        <v>2246</v>
      </c>
      <c r="D160" s="3">
        <v>165</v>
      </c>
      <c r="E160" s="3">
        <v>975533</v>
      </c>
      <c r="F160" s="4">
        <v>2.1331928289458199E-3</v>
      </c>
      <c r="G160">
        <v>2.9062061457685191</v>
      </c>
      <c r="H160" s="6">
        <v>27015</v>
      </c>
    </row>
    <row r="161" spans="1:8" x14ac:dyDescent="0.3">
      <c r="A161" s="5">
        <v>45719</v>
      </c>
      <c r="B161" t="s">
        <v>41</v>
      </c>
      <c r="C161" s="3">
        <v>4839</v>
      </c>
      <c r="D161" s="3">
        <v>594</v>
      </c>
      <c r="E161" s="3">
        <v>979778</v>
      </c>
      <c r="F161" s="4">
        <v>4.3326141227910796E-3</v>
      </c>
      <c r="G161">
        <v>2.5803804535313102</v>
      </c>
      <c r="H161" s="6">
        <v>42591</v>
      </c>
    </row>
    <row r="162" spans="1:8" x14ac:dyDescent="0.3">
      <c r="A162" s="5">
        <v>45726</v>
      </c>
      <c r="B162" t="s">
        <v>41</v>
      </c>
      <c r="C162" s="3">
        <v>9551</v>
      </c>
      <c r="D162" s="3">
        <v>828</v>
      </c>
      <c r="E162" s="3">
        <v>988501</v>
      </c>
      <c r="F162" s="4">
        <v>8.8244726105487E-3</v>
      </c>
      <c r="G162">
        <v>1.525036393488727</v>
      </c>
      <c r="H162" s="6">
        <v>38047</v>
      </c>
    </row>
    <row r="163" spans="1:8" x14ac:dyDescent="0.3">
      <c r="A163" s="5">
        <v>45726</v>
      </c>
      <c r="B163" t="s">
        <v>23</v>
      </c>
      <c r="C163" s="3">
        <v>3376</v>
      </c>
      <c r="D163" s="3">
        <v>382</v>
      </c>
      <c r="E163" s="3">
        <v>991495</v>
      </c>
      <c r="F163" s="4">
        <v>3.0196823988018098E-3</v>
      </c>
      <c r="G163">
        <v>3.8694093263203548</v>
      </c>
      <c r="H163" s="6">
        <v>44782</v>
      </c>
    </row>
    <row r="164" spans="1:8" x14ac:dyDescent="0.3">
      <c r="A164" s="5">
        <v>45726</v>
      </c>
      <c r="B164" t="s">
        <v>14</v>
      </c>
      <c r="C164" s="3">
        <v>4009</v>
      </c>
      <c r="D164" s="3">
        <v>454</v>
      </c>
      <c r="E164" s="3">
        <v>995050</v>
      </c>
      <c r="F164" s="4">
        <v>3.5726847897090599E-3</v>
      </c>
      <c r="G164">
        <v>2.1106477061454201</v>
      </c>
      <c r="H164" s="6">
        <v>19833</v>
      </c>
    </row>
    <row r="165" spans="1:8" x14ac:dyDescent="0.3">
      <c r="A165" s="5">
        <v>45726</v>
      </c>
      <c r="B165" t="s">
        <v>19</v>
      </c>
      <c r="C165" s="3">
        <v>2827</v>
      </c>
      <c r="D165" s="3">
        <v>292</v>
      </c>
      <c r="E165" s="3">
        <v>997585</v>
      </c>
      <c r="F165" s="4">
        <v>2.5411368454818402E-3</v>
      </c>
      <c r="G165">
        <v>2.4004972007397871</v>
      </c>
      <c r="H165" s="6">
        <v>17896</v>
      </c>
    </row>
    <row r="166" spans="1:8" x14ac:dyDescent="0.3">
      <c r="A166" s="5">
        <v>45733</v>
      </c>
      <c r="B166" t="s">
        <v>19</v>
      </c>
      <c r="C166" s="3">
        <v>7979</v>
      </c>
      <c r="D166" s="3">
        <v>470</v>
      </c>
      <c r="E166" s="3">
        <v>1005094</v>
      </c>
      <c r="F166" s="4">
        <v>7.4709430162751E-3</v>
      </c>
      <c r="G166">
        <v>10.43086517280971</v>
      </c>
      <c r="H166" s="6">
        <v>42972</v>
      </c>
    </row>
    <row r="167" spans="1:8" x14ac:dyDescent="0.3">
      <c r="A167" s="5">
        <v>45733</v>
      </c>
      <c r="B167" t="s">
        <v>23</v>
      </c>
      <c r="C167" s="3">
        <v>9569</v>
      </c>
      <c r="D167" s="3">
        <v>1277</v>
      </c>
      <c r="E167" s="3">
        <v>1013386</v>
      </c>
      <c r="F167" s="4">
        <v>8.1824694637581408E-3</v>
      </c>
      <c r="G167">
        <v>12.45517502708741</v>
      </c>
      <c r="H167" s="6">
        <v>59733</v>
      </c>
    </row>
    <row r="168" spans="1:8" x14ac:dyDescent="0.3">
      <c r="A168" s="5">
        <v>45733</v>
      </c>
      <c r="B168" t="s">
        <v>19</v>
      </c>
      <c r="C168" s="3">
        <v>5285</v>
      </c>
      <c r="D168" s="3">
        <v>433</v>
      </c>
      <c r="E168" s="3">
        <v>1018238</v>
      </c>
      <c r="F168" s="4">
        <v>4.7650942117658203E-3</v>
      </c>
      <c r="G168">
        <v>8.7022876773406619</v>
      </c>
      <c r="H168" s="6">
        <v>51800</v>
      </c>
    </row>
    <row r="169" spans="1:8" x14ac:dyDescent="0.3">
      <c r="A169" s="5">
        <v>45733</v>
      </c>
      <c r="B169" t="s">
        <v>19</v>
      </c>
      <c r="C169" s="3">
        <v>7910</v>
      </c>
      <c r="D169" s="3">
        <v>543</v>
      </c>
      <c r="E169" s="3">
        <v>1025605</v>
      </c>
      <c r="F169" s="4">
        <v>7.1830773055903598E-3</v>
      </c>
      <c r="G169">
        <v>6.0590578244060822</v>
      </c>
      <c r="H169" s="6">
        <v>40508</v>
      </c>
    </row>
    <row r="170" spans="1:8" x14ac:dyDescent="0.3">
      <c r="A170" s="5">
        <v>45740</v>
      </c>
      <c r="B170" t="s">
        <v>19</v>
      </c>
      <c r="C170" s="3">
        <v>9561</v>
      </c>
      <c r="D170" s="3">
        <v>517</v>
      </c>
      <c r="E170" s="3">
        <v>1034649</v>
      </c>
      <c r="F170" s="4">
        <v>8.7411286339618595E-3</v>
      </c>
      <c r="G170">
        <v>6.4086467971263694</v>
      </c>
      <c r="H170" s="6">
        <v>15347</v>
      </c>
    </row>
    <row r="171" spans="1:8" x14ac:dyDescent="0.3">
      <c r="A171" s="5">
        <v>45740</v>
      </c>
      <c r="B171" t="s">
        <v>19</v>
      </c>
      <c r="C171" s="3">
        <v>3196</v>
      </c>
      <c r="D171" s="3">
        <v>348</v>
      </c>
      <c r="E171" s="3">
        <v>1037497</v>
      </c>
      <c r="F171" s="4">
        <v>2.7450681785103999E-3</v>
      </c>
      <c r="G171">
        <v>14.03040201562029</v>
      </c>
      <c r="H171" s="6">
        <v>40314</v>
      </c>
    </row>
    <row r="172" spans="1:8" x14ac:dyDescent="0.3">
      <c r="A172" s="5">
        <v>45740</v>
      </c>
      <c r="B172" t="s">
        <v>14</v>
      </c>
      <c r="C172" s="3">
        <v>4747</v>
      </c>
      <c r="D172" s="3">
        <v>558</v>
      </c>
      <c r="E172" s="3">
        <v>1041686</v>
      </c>
      <c r="F172" s="4">
        <v>4.0213653634588497E-3</v>
      </c>
      <c r="G172">
        <v>5.7680529449373434</v>
      </c>
      <c r="H172" s="6">
        <v>12643</v>
      </c>
    </row>
    <row r="173" spans="1:8" x14ac:dyDescent="0.3">
      <c r="A173" s="5">
        <v>45740</v>
      </c>
      <c r="B173" t="s">
        <v>19</v>
      </c>
      <c r="C173" s="3">
        <v>9843</v>
      </c>
      <c r="D173" s="3">
        <v>508</v>
      </c>
      <c r="E173" s="3">
        <v>1051021</v>
      </c>
      <c r="F173" s="4">
        <v>8.8818396587699005E-3</v>
      </c>
      <c r="G173">
        <v>4.2080986012648651</v>
      </c>
      <c r="H173" s="6">
        <v>50785</v>
      </c>
    </row>
    <row r="174" spans="1:8" x14ac:dyDescent="0.3">
      <c r="A174" s="5">
        <v>45747</v>
      </c>
      <c r="B174" t="s">
        <v>41</v>
      </c>
      <c r="C174" s="3">
        <v>6978</v>
      </c>
      <c r="D174" s="3">
        <v>706</v>
      </c>
      <c r="E174" s="3">
        <v>1057293</v>
      </c>
      <c r="F174" s="4">
        <v>5.9321304501212101E-3</v>
      </c>
      <c r="G174">
        <v>5.057443868445171</v>
      </c>
      <c r="H174" s="6">
        <v>28681</v>
      </c>
    </row>
    <row r="175" spans="1:8" x14ac:dyDescent="0.3">
      <c r="A175" s="5">
        <v>45747</v>
      </c>
      <c r="B175" t="s">
        <v>23</v>
      </c>
      <c r="C175" s="3">
        <v>6607</v>
      </c>
      <c r="D175" s="3">
        <v>479</v>
      </c>
      <c r="E175" s="3">
        <v>1063421</v>
      </c>
      <c r="F175" s="4">
        <v>5.7625343114345098E-3</v>
      </c>
      <c r="G175">
        <v>5.5892257158735816</v>
      </c>
      <c r="H175" s="6">
        <v>48328</v>
      </c>
    </row>
    <row r="176" spans="1:8" x14ac:dyDescent="0.3">
      <c r="A176" s="5">
        <v>45747</v>
      </c>
      <c r="B176" t="s">
        <v>14</v>
      </c>
      <c r="C176" s="3">
        <v>1769</v>
      </c>
      <c r="D176" s="3">
        <v>202</v>
      </c>
      <c r="E176" s="3">
        <v>1064988</v>
      </c>
      <c r="F176" s="4">
        <v>1.47137808125538E-3</v>
      </c>
      <c r="G176">
        <v>6.5457075572682513</v>
      </c>
      <c r="H176" s="6">
        <v>25892</v>
      </c>
    </row>
    <row r="177" spans="1:8" x14ac:dyDescent="0.3">
      <c r="A177" s="5">
        <v>45747</v>
      </c>
      <c r="B177" t="s">
        <v>19</v>
      </c>
      <c r="C177" s="3">
        <v>1780</v>
      </c>
      <c r="D177" s="3">
        <v>120</v>
      </c>
      <c r="E177" s="3">
        <v>1066648</v>
      </c>
      <c r="F177" s="4">
        <v>1.55627723485161E-3</v>
      </c>
      <c r="G177">
        <v>13.86474263299608</v>
      </c>
      <c r="H177" s="6">
        <v>57299</v>
      </c>
    </row>
    <row r="178" spans="1:8" x14ac:dyDescent="0.3">
      <c r="A178" s="5">
        <v>45754</v>
      </c>
      <c r="B178" t="s">
        <v>14</v>
      </c>
      <c r="C178" s="3">
        <v>7303</v>
      </c>
      <c r="D178" s="3">
        <v>869</v>
      </c>
      <c r="E178" s="3">
        <v>1073082</v>
      </c>
      <c r="F178" s="4">
        <v>5.9958139266151197E-3</v>
      </c>
      <c r="G178">
        <v>8.1237966902808925</v>
      </c>
      <c r="H178" s="6">
        <v>27073</v>
      </c>
    </row>
    <row r="179" spans="1:8" x14ac:dyDescent="0.3">
      <c r="A179" s="5">
        <v>45754</v>
      </c>
      <c r="B179" t="s">
        <v>19</v>
      </c>
      <c r="C179" s="3">
        <v>4983</v>
      </c>
      <c r="D179" s="3">
        <v>441</v>
      </c>
      <c r="E179" s="3">
        <v>1077624</v>
      </c>
      <c r="F179" s="4">
        <v>4.2148281775461604E-3</v>
      </c>
      <c r="G179">
        <v>6.8954477628560609</v>
      </c>
      <c r="H179" s="6">
        <v>46768</v>
      </c>
    </row>
    <row r="180" spans="1:8" x14ac:dyDescent="0.3">
      <c r="A180" s="5">
        <v>45754</v>
      </c>
      <c r="B180" t="s">
        <v>41</v>
      </c>
      <c r="C180" s="3">
        <v>9714</v>
      </c>
      <c r="D180" s="3">
        <v>1395</v>
      </c>
      <c r="E180" s="3">
        <v>1085943</v>
      </c>
      <c r="F180" s="4">
        <v>7.6606230713766798E-3</v>
      </c>
      <c r="G180">
        <v>5.2243073531483697</v>
      </c>
      <c r="H180" s="6">
        <v>40682</v>
      </c>
    </row>
    <row r="181" spans="1:8" x14ac:dyDescent="0.3">
      <c r="A181" s="5">
        <v>45754</v>
      </c>
      <c r="B181" t="s">
        <v>23</v>
      </c>
      <c r="C181" s="3">
        <v>1521</v>
      </c>
      <c r="D181" s="3">
        <v>96</v>
      </c>
      <c r="E181" s="3">
        <v>1087368</v>
      </c>
      <c r="F181" s="4">
        <v>1.31050389564526E-3</v>
      </c>
      <c r="G181">
        <v>12.709772588488899</v>
      </c>
      <c r="H181" s="6">
        <v>42262</v>
      </c>
    </row>
    <row r="182" spans="1:8" x14ac:dyDescent="0.3">
      <c r="A182" s="5">
        <v>45761</v>
      </c>
      <c r="B182" t="s">
        <v>19</v>
      </c>
      <c r="C182" s="3">
        <v>8569</v>
      </c>
      <c r="D182" s="3">
        <v>720</v>
      </c>
      <c r="E182" s="3">
        <v>1095217</v>
      </c>
      <c r="F182" s="4">
        <v>7.1666162961312703E-3</v>
      </c>
      <c r="G182">
        <v>9.589697749395782</v>
      </c>
      <c r="H182" s="6">
        <v>41358</v>
      </c>
    </row>
    <row r="183" spans="1:8" x14ac:dyDescent="0.3">
      <c r="A183" s="5">
        <v>45761</v>
      </c>
      <c r="B183" t="s">
        <v>19</v>
      </c>
      <c r="C183" s="3">
        <v>6784</v>
      </c>
      <c r="D183" s="3">
        <v>416</v>
      </c>
      <c r="E183" s="3">
        <v>1101585</v>
      </c>
      <c r="F183" s="4">
        <v>5.7807613574985097E-3</v>
      </c>
      <c r="G183">
        <v>9.3041390360253633</v>
      </c>
      <c r="H183" s="6">
        <v>24289</v>
      </c>
    </row>
    <row r="184" spans="1:8" x14ac:dyDescent="0.3">
      <c r="A184" s="5">
        <v>45761</v>
      </c>
      <c r="B184" t="s">
        <v>19</v>
      </c>
      <c r="C184" s="3">
        <v>5583</v>
      </c>
      <c r="D184" s="3">
        <v>795</v>
      </c>
      <c r="E184" s="3">
        <v>1106373</v>
      </c>
      <c r="F184" s="4">
        <v>4.3276544167292598E-3</v>
      </c>
      <c r="G184">
        <v>12.21550055903389</v>
      </c>
      <c r="H184" s="6">
        <v>59823</v>
      </c>
    </row>
    <row r="185" spans="1:8" x14ac:dyDescent="0.3">
      <c r="A185" s="5">
        <v>45761</v>
      </c>
      <c r="B185" t="s">
        <v>19</v>
      </c>
      <c r="C185" s="3">
        <v>6946</v>
      </c>
      <c r="D185" s="3">
        <v>956</v>
      </c>
      <c r="E185" s="3">
        <v>1112363</v>
      </c>
      <c r="F185" s="4">
        <v>5.3849327962185002E-3</v>
      </c>
      <c r="G185">
        <v>1.64146056637986</v>
      </c>
      <c r="H185" s="6">
        <v>17927</v>
      </c>
    </row>
    <row r="186" spans="1:8" x14ac:dyDescent="0.3">
      <c r="A186" s="5">
        <v>45768</v>
      </c>
      <c r="B186" t="s">
        <v>23</v>
      </c>
      <c r="C186" s="3">
        <v>5941</v>
      </c>
      <c r="D186" s="3">
        <v>450</v>
      </c>
      <c r="E186" s="3">
        <v>1117854</v>
      </c>
      <c r="F186" s="4">
        <v>4.9120904876665504E-3</v>
      </c>
      <c r="G186">
        <v>12.414411899944</v>
      </c>
      <c r="H186" s="6">
        <v>58330</v>
      </c>
    </row>
    <row r="187" spans="1:8" x14ac:dyDescent="0.3">
      <c r="A187" s="5">
        <v>45768</v>
      </c>
      <c r="B187" t="s">
        <v>23</v>
      </c>
      <c r="C187" s="3">
        <v>7267</v>
      </c>
      <c r="D187" s="3">
        <v>842</v>
      </c>
      <c r="E187" s="3">
        <v>1124279</v>
      </c>
      <c r="F187" s="4">
        <v>5.7147736460433796E-3</v>
      </c>
      <c r="G187">
        <v>2.2102165031989389</v>
      </c>
      <c r="H187" s="6">
        <v>11171</v>
      </c>
    </row>
    <row r="188" spans="1:8" x14ac:dyDescent="0.3">
      <c r="A188" s="5">
        <v>45768</v>
      </c>
      <c r="B188" t="s">
        <v>41</v>
      </c>
      <c r="C188" s="3">
        <v>8128</v>
      </c>
      <c r="D188" s="3">
        <v>1070</v>
      </c>
      <c r="E188" s="3">
        <v>1131337</v>
      </c>
      <c r="F188" s="4">
        <v>6.2386362330587603E-3</v>
      </c>
      <c r="G188">
        <v>8.1114645768679008</v>
      </c>
      <c r="H188" s="6">
        <v>21918</v>
      </c>
    </row>
    <row r="189" spans="1:8" x14ac:dyDescent="0.3">
      <c r="A189" s="5">
        <v>45768</v>
      </c>
      <c r="B189" t="s">
        <v>23</v>
      </c>
      <c r="C189" s="3">
        <v>3461</v>
      </c>
      <c r="D189" s="3">
        <v>365</v>
      </c>
      <c r="E189" s="3">
        <v>1134433</v>
      </c>
      <c r="F189" s="4">
        <v>2.7291166600407401E-3</v>
      </c>
      <c r="G189">
        <v>10.23489267325616</v>
      </c>
      <c r="H189" s="6">
        <v>51903</v>
      </c>
    </row>
    <row r="190" spans="1:8" x14ac:dyDescent="0.3">
      <c r="A190" s="5">
        <v>45775</v>
      </c>
      <c r="B190" t="s">
        <v>19</v>
      </c>
      <c r="C190" s="3">
        <v>1685</v>
      </c>
      <c r="D190" s="3">
        <v>173</v>
      </c>
      <c r="E190" s="3">
        <v>1135945</v>
      </c>
      <c r="F190" s="4">
        <v>1.33105035895224E-3</v>
      </c>
      <c r="G190">
        <v>8.7776256772995165</v>
      </c>
      <c r="H190" s="6">
        <v>49110</v>
      </c>
    </row>
    <row r="191" spans="1:8" x14ac:dyDescent="0.3">
      <c r="A191" s="5">
        <v>45775</v>
      </c>
      <c r="B191" t="s">
        <v>41</v>
      </c>
      <c r="C191" s="3">
        <v>3160</v>
      </c>
      <c r="D191" s="3">
        <v>234</v>
      </c>
      <c r="E191" s="3">
        <v>1138871</v>
      </c>
      <c r="F191" s="4">
        <v>2.5692110871204901E-3</v>
      </c>
      <c r="G191">
        <v>5.6959041015180816</v>
      </c>
      <c r="H191" s="6">
        <v>21929</v>
      </c>
    </row>
    <row r="192" spans="1:8" x14ac:dyDescent="0.3">
      <c r="A192" s="5">
        <v>45775</v>
      </c>
      <c r="B192" t="s">
        <v>41</v>
      </c>
      <c r="C192" s="3">
        <v>8031</v>
      </c>
      <c r="D192" s="3">
        <v>476</v>
      </c>
      <c r="E192" s="3">
        <v>1146426</v>
      </c>
      <c r="F192" s="4">
        <v>6.5900459340594202E-3</v>
      </c>
      <c r="G192">
        <v>11.940413075069831</v>
      </c>
      <c r="H192" s="6">
        <v>12539</v>
      </c>
    </row>
    <row r="193" spans="1:8" x14ac:dyDescent="0.3">
      <c r="A193" s="5">
        <v>45775</v>
      </c>
      <c r="B193" t="s">
        <v>41</v>
      </c>
      <c r="C193" s="3">
        <v>6341</v>
      </c>
      <c r="D193" s="3">
        <v>885</v>
      </c>
      <c r="E193" s="3">
        <v>1151882</v>
      </c>
      <c r="F193" s="4">
        <v>4.7365962832998498E-3</v>
      </c>
      <c r="G193">
        <v>6.3457020771224837</v>
      </c>
      <c r="H193" s="6">
        <v>46727</v>
      </c>
    </row>
    <row r="194" spans="1:8" x14ac:dyDescent="0.3">
      <c r="A194" s="5">
        <v>45782</v>
      </c>
      <c r="B194" t="s">
        <v>19</v>
      </c>
      <c r="C194" s="3">
        <v>1038</v>
      </c>
      <c r="D194" s="3">
        <v>145</v>
      </c>
      <c r="E194" s="3">
        <v>1152775</v>
      </c>
      <c r="F194" s="4">
        <v>7.7465246904209403E-4</v>
      </c>
      <c r="G194">
        <v>11.093752033137431</v>
      </c>
      <c r="H194" s="6">
        <v>55951</v>
      </c>
    </row>
    <row r="195" spans="1:8" x14ac:dyDescent="0.3">
      <c r="A195" s="5">
        <v>45782</v>
      </c>
      <c r="B195" t="s">
        <v>14</v>
      </c>
      <c r="C195" s="3">
        <v>5875</v>
      </c>
      <c r="D195" s="3">
        <v>665</v>
      </c>
      <c r="E195" s="3">
        <v>1157985</v>
      </c>
      <c r="F195" s="4">
        <v>4.4991947218659999E-3</v>
      </c>
      <c r="G195">
        <v>6.9871371390821126</v>
      </c>
      <c r="H195" s="6">
        <v>32669</v>
      </c>
    </row>
    <row r="196" spans="1:8" x14ac:dyDescent="0.3">
      <c r="A196" s="5">
        <v>45782</v>
      </c>
      <c r="B196" t="s">
        <v>19</v>
      </c>
      <c r="C196" s="3">
        <v>2256</v>
      </c>
      <c r="D196" s="3">
        <v>189</v>
      </c>
      <c r="E196" s="3">
        <v>1160052</v>
      </c>
      <c r="F196" s="4">
        <v>1.7818166771834401E-3</v>
      </c>
      <c r="G196">
        <v>2.8935771844710412</v>
      </c>
      <c r="H196" s="6">
        <v>15432</v>
      </c>
    </row>
    <row r="197" spans="1:8" x14ac:dyDescent="0.3">
      <c r="A197" s="5">
        <v>45782</v>
      </c>
      <c r="B197" t="s">
        <v>23</v>
      </c>
      <c r="C197" s="3">
        <v>8697</v>
      </c>
      <c r="D197" s="3">
        <v>738</v>
      </c>
      <c r="E197" s="3">
        <v>1168011</v>
      </c>
      <c r="F197" s="4">
        <v>6.8141481544266302E-3</v>
      </c>
      <c r="G197">
        <v>3.8777032065622672</v>
      </c>
      <c r="H197" s="6">
        <v>30644</v>
      </c>
    </row>
    <row r="198" spans="1:8" x14ac:dyDescent="0.3">
      <c r="A198" s="5">
        <v>45789</v>
      </c>
      <c r="B198" t="s">
        <v>23</v>
      </c>
      <c r="C198" s="3">
        <v>3196</v>
      </c>
      <c r="D198" s="3">
        <v>391</v>
      </c>
      <c r="E198" s="3">
        <v>1170816</v>
      </c>
      <c r="F198" s="4">
        <v>2.39576500491965E-3</v>
      </c>
      <c r="G198">
        <v>7.2439221876024931</v>
      </c>
      <c r="H198" s="6">
        <v>28745</v>
      </c>
    </row>
    <row r="199" spans="1:8" x14ac:dyDescent="0.3">
      <c r="A199" s="5">
        <v>45789</v>
      </c>
      <c r="B199" t="s">
        <v>19</v>
      </c>
      <c r="C199" s="3">
        <v>8165</v>
      </c>
      <c r="D199" s="3">
        <v>1140</v>
      </c>
      <c r="E199" s="3">
        <v>1177841</v>
      </c>
      <c r="F199" s="4">
        <v>5.9643024822535499E-3</v>
      </c>
      <c r="G199">
        <v>9.095964565675672</v>
      </c>
      <c r="H199" s="6">
        <v>38228</v>
      </c>
    </row>
    <row r="200" spans="1:8" x14ac:dyDescent="0.3">
      <c r="A200" s="5">
        <v>45789</v>
      </c>
      <c r="B200" t="s">
        <v>19</v>
      </c>
      <c r="C200" s="3">
        <v>1301</v>
      </c>
      <c r="D200" s="3">
        <v>180</v>
      </c>
      <c r="E200" s="3">
        <v>1178962</v>
      </c>
      <c r="F200" s="4">
        <v>9.5083641372665096E-4</v>
      </c>
      <c r="G200">
        <v>5.2275645864752214</v>
      </c>
      <c r="H200" s="6">
        <v>44521</v>
      </c>
    </row>
    <row r="201" spans="1:8" x14ac:dyDescent="0.3">
      <c r="A201" s="5">
        <v>45789</v>
      </c>
      <c r="B201" t="s">
        <v>41</v>
      </c>
      <c r="C201" s="3">
        <v>8527</v>
      </c>
      <c r="D201" s="3">
        <v>1091</v>
      </c>
      <c r="E201" s="3">
        <v>1186398</v>
      </c>
      <c r="F201" s="4">
        <v>6.2677111728104704E-3</v>
      </c>
      <c r="G201">
        <v>1.676081719625286</v>
      </c>
      <c r="H201" s="6">
        <v>41703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F745-B6AF-4721-936F-5AC1C13540D7}">
  <dimension ref="A1:G6"/>
  <sheetViews>
    <sheetView workbookViewId="0">
      <selection activeCell="D12" sqref="D12"/>
    </sheetView>
  </sheetViews>
  <sheetFormatPr defaultRowHeight="14.4" x14ac:dyDescent="0.3"/>
  <cols>
    <col min="1" max="1" width="25.6640625" bestFit="1" customWidth="1"/>
    <col min="2" max="3" width="10.33203125" bestFit="1" customWidth="1"/>
    <col min="4" max="4" width="23.5546875" bestFit="1" customWidth="1"/>
    <col min="5" max="5" width="9.6640625" bestFit="1" customWidth="1"/>
    <col min="6" max="6" width="11" bestFit="1" customWidth="1"/>
    <col min="7" max="7" width="17.44140625" bestFit="1" customWidth="1"/>
  </cols>
  <sheetData>
    <row r="1" spans="1:7" x14ac:dyDescent="0.3">
      <c r="A1" s="7" t="s">
        <v>345</v>
      </c>
      <c r="B1" s="7" t="s">
        <v>346</v>
      </c>
      <c r="C1" s="7" t="s">
        <v>347</v>
      </c>
      <c r="D1" s="7" t="s">
        <v>348</v>
      </c>
      <c r="E1" s="7" t="s">
        <v>344</v>
      </c>
      <c r="F1" s="7" t="s">
        <v>10</v>
      </c>
      <c r="G1" s="7" t="s">
        <v>349</v>
      </c>
    </row>
    <row r="2" spans="1:7" x14ac:dyDescent="0.3">
      <c r="A2" s="8" t="s">
        <v>30</v>
      </c>
      <c r="B2" s="9">
        <v>45458</v>
      </c>
      <c r="C2" s="9">
        <v>45488</v>
      </c>
      <c r="D2" s="8" t="s">
        <v>350</v>
      </c>
      <c r="E2" s="10">
        <v>85000</v>
      </c>
      <c r="F2" s="11">
        <v>950000</v>
      </c>
      <c r="G2" s="12">
        <v>0.45</v>
      </c>
    </row>
    <row r="3" spans="1:7" x14ac:dyDescent="0.3">
      <c r="A3" s="8" t="s">
        <v>46</v>
      </c>
      <c r="B3" s="9">
        <v>45566</v>
      </c>
      <c r="C3" s="9">
        <v>45596</v>
      </c>
      <c r="D3" s="8" t="s">
        <v>351</v>
      </c>
      <c r="E3" s="10">
        <v>60000</v>
      </c>
      <c r="F3" s="11">
        <v>780000</v>
      </c>
      <c r="G3" s="12">
        <v>0.38</v>
      </c>
    </row>
    <row r="4" spans="1:7" x14ac:dyDescent="0.3">
      <c r="A4" s="8" t="s">
        <v>17</v>
      </c>
      <c r="B4" s="9">
        <v>45651</v>
      </c>
      <c r="C4" s="9">
        <v>45667</v>
      </c>
      <c r="D4" s="8" t="s">
        <v>352</v>
      </c>
      <c r="E4" s="10">
        <v>55000</v>
      </c>
      <c r="F4" s="11">
        <v>700000</v>
      </c>
      <c r="G4" s="12">
        <v>0.41</v>
      </c>
    </row>
    <row r="5" spans="1:7" x14ac:dyDescent="0.3">
      <c r="A5" s="8" t="s">
        <v>26</v>
      </c>
      <c r="B5" s="9">
        <v>45717</v>
      </c>
      <c r="C5" s="9">
        <v>45747</v>
      </c>
      <c r="D5" s="8" t="s">
        <v>353</v>
      </c>
      <c r="E5" s="10">
        <v>40000</v>
      </c>
      <c r="F5" s="11">
        <v>550000</v>
      </c>
      <c r="G5" s="12">
        <v>0.32</v>
      </c>
    </row>
    <row r="6" spans="1:7" x14ac:dyDescent="0.3">
      <c r="A6" s="8" t="s">
        <v>21</v>
      </c>
      <c r="B6" s="9">
        <v>45901</v>
      </c>
      <c r="C6" s="9">
        <v>45930</v>
      </c>
      <c r="D6" s="8" t="s">
        <v>354</v>
      </c>
      <c r="E6" s="10">
        <v>75000</v>
      </c>
      <c r="F6" s="11">
        <v>880000</v>
      </c>
      <c r="G6" s="12">
        <v>0.47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EBED-8C63-4C18-9076-28F9BBEE0616}">
  <dimension ref="B3:I55"/>
  <sheetViews>
    <sheetView topLeftCell="I1" workbookViewId="0">
      <selection activeCell="E17" sqref="E17"/>
    </sheetView>
  </sheetViews>
  <sheetFormatPr defaultRowHeight="14.4" x14ac:dyDescent="0.3"/>
  <cols>
    <col min="2" max="2" width="20.109375" bestFit="1" customWidth="1"/>
    <col min="3" max="3" width="15.5546875" bestFit="1" customWidth="1"/>
    <col min="4" max="6" width="10.6640625" bestFit="1" customWidth="1"/>
    <col min="7" max="7" width="11.6640625" bestFit="1" customWidth="1"/>
    <col min="9" max="9" width="52.5546875" bestFit="1" customWidth="1"/>
  </cols>
  <sheetData>
    <row r="3" spans="2:9" ht="15.6" x14ac:dyDescent="0.3">
      <c r="B3" s="16" t="s">
        <v>380</v>
      </c>
      <c r="C3" s="16" t="s">
        <v>360</v>
      </c>
      <c r="I3" s="13" t="s">
        <v>356</v>
      </c>
    </row>
    <row r="4" spans="2:9" x14ac:dyDescent="0.3">
      <c r="B4" s="16" t="s">
        <v>358</v>
      </c>
      <c r="C4" t="s">
        <v>23</v>
      </c>
      <c r="D4" t="s">
        <v>19</v>
      </c>
      <c r="E4" t="s">
        <v>41</v>
      </c>
      <c r="F4" t="s">
        <v>14</v>
      </c>
      <c r="G4" t="s">
        <v>359</v>
      </c>
    </row>
    <row r="5" spans="2:9" x14ac:dyDescent="0.3">
      <c r="B5" s="17">
        <v>45446</v>
      </c>
      <c r="C5" s="3">
        <v>103777</v>
      </c>
      <c r="D5" s="3"/>
      <c r="E5" s="3">
        <v>111209</v>
      </c>
      <c r="F5" s="3">
        <v>246535</v>
      </c>
      <c r="G5" s="3">
        <v>461521</v>
      </c>
      <c r="I5" s="14" t="s">
        <v>357</v>
      </c>
    </row>
    <row r="6" spans="2:9" x14ac:dyDescent="0.3">
      <c r="B6" s="17">
        <v>45453</v>
      </c>
      <c r="C6" s="3">
        <v>134418</v>
      </c>
      <c r="D6" s="3"/>
      <c r="E6" s="3">
        <v>297095</v>
      </c>
      <c r="F6" s="3">
        <v>141896</v>
      </c>
      <c r="G6" s="3">
        <v>573409</v>
      </c>
    </row>
    <row r="7" spans="2:9" x14ac:dyDescent="0.3">
      <c r="B7" s="17">
        <v>45460</v>
      </c>
      <c r="C7" s="3">
        <v>333913</v>
      </c>
      <c r="D7" s="3">
        <v>170518</v>
      </c>
      <c r="E7" s="3">
        <v>163790</v>
      </c>
      <c r="F7" s="3"/>
      <c r="G7" s="3">
        <v>668221</v>
      </c>
      <c r="I7" s="15" t="s">
        <v>400</v>
      </c>
    </row>
    <row r="8" spans="2:9" x14ac:dyDescent="0.3">
      <c r="B8" s="17">
        <v>45467</v>
      </c>
      <c r="C8" s="3">
        <v>189735</v>
      </c>
      <c r="D8" s="3"/>
      <c r="E8" s="3">
        <v>389668</v>
      </c>
      <c r="F8" s="3">
        <v>198388</v>
      </c>
      <c r="G8" s="3">
        <v>777791</v>
      </c>
      <c r="I8" s="15" t="s">
        <v>382</v>
      </c>
    </row>
    <row r="9" spans="2:9" x14ac:dyDescent="0.3">
      <c r="B9" s="17">
        <v>45474</v>
      </c>
      <c r="C9" s="3">
        <v>446576</v>
      </c>
      <c r="D9" s="3">
        <v>210260</v>
      </c>
      <c r="E9" s="3">
        <v>218723</v>
      </c>
      <c r="F9" s="3"/>
      <c r="G9" s="3">
        <v>875559</v>
      </c>
      <c r="I9" s="15" t="s">
        <v>381</v>
      </c>
    </row>
    <row r="10" spans="2:9" x14ac:dyDescent="0.3">
      <c r="B10" s="17">
        <v>45481</v>
      </c>
      <c r="C10" s="3"/>
      <c r="D10" s="3">
        <v>716856</v>
      </c>
      <c r="E10" s="3">
        <v>231802</v>
      </c>
      <c r="F10" s="3"/>
      <c r="G10" s="3">
        <v>948658</v>
      </c>
      <c r="I10" s="15" t="s">
        <v>383</v>
      </c>
    </row>
    <row r="11" spans="2:9" x14ac:dyDescent="0.3">
      <c r="B11" s="17">
        <v>45488</v>
      </c>
      <c r="C11" s="3">
        <v>503831</v>
      </c>
      <c r="D11" s="3"/>
      <c r="E11" s="3">
        <v>253858</v>
      </c>
      <c r="F11" s="3">
        <v>255684</v>
      </c>
      <c r="G11" s="3">
        <v>1013373</v>
      </c>
      <c r="I11" s="15" t="s">
        <v>384</v>
      </c>
    </row>
    <row r="12" spans="2:9" x14ac:dyDescent="0.3">
      <c r="B12" s="17">
        <v>45495</v>
      </c>
      <c r="C12" s="3"/>
      <c r="D12" s="3">
        <v>544695</v>
      </c>
      <c r="E12" s="3">
        <v>272227</v>
      </c>
      <c r="F12" s="3">
        <v>289283</v>
      </c>
      <c r="G12" s="3">
        <v>1106205</v>
      </c>
    </row>
    <row r="13" spans="2:9" x14ac:dyDescent="0.3">
      <c r="B13" s="17">
        <v>45502</v>
      </c>
      <c r="C13" s="3"/>
      <c r="D13" s="3">
        <v>587844</v>
      </c>
      <c r="E13" s="3">
        <v>306304</v>
      </c>
      <c r="F13" s="3">
        <v>300265</v>
      </c>
      <c r="G13" s="3">
        <v>1194413</v>
      </c>
    </row>
    <row r="14" spans="2:9" x14ac:dyDescent="0.3">
      <c r="B14" s="17">
        <v>45509</v>
      </c>
      <c r="C14" s="3">
        <v>309517</v>
      </c>
      <c r="D14" s="3">
        <v>320404</v>
      </c>
      <c r="E14" s="3">
        <v>313014</v>
      </c>
      <c r="F14" s="3">
        <v>315557</v>
      </c>
      <c r="G14" s="3">
        <v>1258492</v>
      </c>
    </row>
    <row r="15" spans="2:9" x14ac:dyDescent="0.3">
      <c r="B15" s="17">
        <v>45516</v>
      </c>
      <c r="C15" s="3">
        <v>333052</v>
      </c>
      <c r="D15" s="3"/>
      <c r="E15" s="3">
        <v>673289</v>
      </c>
      <c r="F15" s="3">
        <v>340085</v>
      </c>
      <c r="G15" s="3">
        <v>1346426</v>
      </c>
    </row>
    <row r="16" spans="2:9" x14ac:dyDescent="0.3">
      <c r="B16" s="17">
        <v>45523</v>
      </c>
      <c r="C16" s="3">
        <v>720006</v>
      </c>
      <c r="D16" s="3"/>
      <c r="E16" s="3"/>
      <c r="F16" s="3">
        <v>729433</v>
      </c>
      <c r="G16" s="3">
        <v>1449439</v>
      </c>
    </row>
    <row r="17" spans="2:7" x14ac:dyDescent="0.3">
      <c r="B17" s="17">
        <v>45530</v>
      </c>
      <c r="C17" s="3">
        <v>385849</v>
      </c>
      <c r="D17" s="3">
        <v>371865</v>
      </c>
      <c r="E17" s="3">
        <v>377618</v>
      </c>
      <c r="F17" s="3">
        <v>391152</v>
      </c>
      <c r="G17" s="3">
        <v>1526484</v>
      </c>
    </row>
    <row r="18" spans="2:7" x14ac:dyDescent="0.3">
      <c r="B18" s="17">
        <v>45537</v>
      </c>
      <c r="C18" s="3">
        <v>795220</v>
      </c>
      <c r="D18" s="3">
        <v>413369</v>
      </c>
      <c r="E18" s="3">
        <v>405141</v>
      </c>
      <c r="F18" s="3"/>
      <c r="G18" s="3">
        <v>1613730</v>
      </c>
    </row>
    <row r="19" spans="2:7" x14ac:dyDescent="0.3">
      <c r="B19" s="17">
        <v>45544</v>
      </c>
      <c r="C19" s="3">
        <v>420811</v>
      </c>
      <c r="D19" s="3">
        <v>438545</v>
      </c>
      <c r="E19" s="3"/>
      <c r="F19" s="3">
        <v>862353</v>
      </c>
      <c r="G19" s="3">
        <v>1721709</v>
      </c>
    </row>
    <row r="20" spans="2:7" x14ac:dyDescent="0.3">
      <c r="B20" s="17">
        <v>45551</v>
      </c>
      <c r="C20" s="3"/>
      <c r="D20" s="3">
        <v>447968</v>
      </c>
      <c r="E20" s="3">
        <v>453977</v>
      </c>
      <c r="F20" s="3">
        <v>895821</v>
      </c>
      <c r="G20" s="3">
        <v>1797766</v>
      </c>
    </row>
    <row r="21" spans="2:7" x14ac:dyDescent="0.3">
      <c r="B21" s="17">
        <v>45558</v>
      </c>
      <c r="C21" s="3">
        <v>1391500</v>
      </c>
      <c r="D21" s="3"/>
      <c r="E21" s="3">
        <v>460228</v>
      </c>
      <c r="F21" s="3"/>
      <c r="G21" s="3">
        <v>1851728</v>
      </c>
    </row>
    <row r="22" spans="2:7" x14ac:dyDescent="0.3">
      <c r="B22" s="17">
        <v>45565</v>
      </c>
      <c r="C22" s="3">
        <v>967881</v>
      </c>
      <c r="D22" s="3"/>
      <c r="E22" s="3">
        <v>976411</v>
      </c>
      <c r="F22" s="3"/>
      <c r="G22" s="3">
        <v>1944292</v>
      </c>
    </row>
    <row r="23" spans="2:7" x14ac:dyDescent="0.3">
      <c r="B23" s="17">
        <v>45572</v>
      </c>
      <c r="C23" s="3">
        <v>507970</v>
      </c>
      <c r="D23" s="3">
        <v>492814</v>
      </c>
      <c r="E23" s="3"/>
      <c r="F23" s="3">
        <v>1002177</v>
      </c>
      <c r="G23" s="3">
        <v>2002961</v>
      </c>
    </row>
    <row r="24" spans="2:7" x14ac:dyDescent="0.3">
      <c r="B24" s="17">
        <v>45579</v>
      </c>
      <c r="C24" s="3"/>
      <c r="D24" s="3"/>
      <c r="E24" s="3">
        <v>1572941</v>
      </c>
      <c r="F24" s="3">
        <v>522852</v>
      </c>
      <c r="G24" s="3">
        <v>2095793</v>
      </c>
    </row>
    <row r="25" spans="2:7" x14ac:dyDescent="0.3">
      <c r="B25" s="17">
        <v>45586</v>
      </c>
      <c r="C25" s="3">
        <v>1654883</v>
      </c>
      <c r="D25" s="3"/>
      <c r="E25" s="3"/>
      <c r="F25" s="3">
        <v>545824</v>
      </c>
      <c r="G25" s="3">
        <v>2200707</v>
      </c>
    </row>
    <row r="26" spans="2:7" x14ac:dyDescent="0.3">
      <c r="B26" s="17">
        <v>45593</v>
      </c>
      <c r="C26" s="3"/>
      <c r="D26" s="3">
        <v>1170612</v>
      </c>
      <c r="E26" s="3"/>
      <c r="F26" s="3">
        <v>1143345</v>
      </c>
      <c r="G26" s="3">
        <v>2313957</v>
      </c>
    </row>
    <row r="27" spans="2:7" x14ac:dyDescent="0.3">
      <c r="B27" s="17">
        <v>45600</v>
      </c>
      <c r="C27" s="3"/>
      <c r="D27" s="3">
        <v>604702</v>
      </c>
      <c r="E27" s="3">
        <v>1202875</v>
      </c>
      <c r="F27" s="3">
        <v>599760</v>
      </c>
      <c r="G27" s="3">
        <v>2407337</v>
      </c>
    </row>
    <row r="28" spans="2:7" x14ac:dyDescent="0.3">
      <c r="B28" s="17">
        <v>45607</v>
      </c>
      <c r="C28" s="3"/>
      <c r="D28" s="3">
        <v>620702</v>
      </c>
      <c r="E28" s="3">
        <v>1223008</v>
      </c>
      <c r="F28" s="3">
        <v>625922</v>
      </c>
      <c r="G28" s="3">
        <v>2469632</v>
      </c>
    </row>
    <row r="29" spans="2:7" x14ac:dyDescent="0.3">
      <c r="B29" s="17">
        <v>45614</v>
      </c>
      <c r="C29" s="3">
        <v>631128</v>
      </c>
      <c r="D29" s="3">
        <v>1287851</v>
      </c>
      <c r="E29" s="3">
        <v>637512</v>
      </c>
      <c r="F29" s="3"/>
      <c r="G29" s="3">
        <v>2556491</v>
      </c>
    </row>
    <row r="30" spans="2:7" x14ac:dyDescent="0.3">
      <c r="B30" s="17">
        <v>45621</v>
      </c>
      <c r="C30" s="3">
        <v>1317342</v>
      </c>
      <c r="D30" s="3">
        <v>670642</v>
      </c>
      <c r="E30" s="3"/>
      <c r="F30" s="3">
        <v>675785</v>
      </c>
      <c r="G30" s="3">
        <v>2663769</v>
      </c>
    </row>
    <row r="31" spans="2:7" x14ac:dyDescent="0.3">
      <c r="B31" s="17">
        <v>45628</v>
      </c>
      <c r="C31" s="3">
        <v>1367340</v>
      </c>
      <c r="D31" s="3">
        <v>682556</v>
      </c>
      <c r="E31" s="3"/>
      <c r="F31" s="3">
        <v>694115</v>
      </c>
      <c r="G31" s="3">
        <v>2744011</v>
      </c>
    </row>
    <row r="32" spans="2:7" x14ac:dyDescent="0.3">
      <c r="B32" s="17">
        <v>45635</v>
      </c>
      <c r="C32" s="3">
        <v>704218</v>
      </c>
      <c r="D32" s="3">
        <v>709957</v>
      </c>
      <c r="E32" s="3">
        <v>700757</v>
      </c>
      <c r="F32" s="3">
        <v>709008</v>
      </c>
      <c r="G32" s="3">
        <v>2823940</v>
      </c>
    </row>
    <row r="33" spans="2:7" x14ac:dyDescent="0.3">
      <c r="B33" s="17">
        <v>45642</v>
      </c>
      <c r="C33" s="3">
        <v>1428308</v>
      </c>
      <c r="D33" s="3">
        <v>723286</v>
      </c>
      <c r="E33" s="3">
        <v>729561</v>
      </c>
      <c r="F33" s="3"/>
      <c r="G33" s="3">
        <v>2881155</v>
      </c>
    </row>
    <row r="34" spans="2:7" x14ac:dyDescent="0.3">
      <c r="B34" s="17">
        <v>45649</v>
      </c>
      <c r="C34" s="3">
        <v>735242</v>
      </c>
      <c r="D34" s="3">
        <v>1472344</v>
      </c>
      <c r="E34" s="3"/>
      <c r="F34" s="3">
        <v>748744</v>
      </c>
      <c r="G34" s="3">
        <v>2956330</v>
      </c>
    </row>
    <row r="35" spans="2:7" x14ac:dyDescent="0.3">
      <c r="B35" s="17">
        <v>45656</v>
      </c>
      <c r="C35" s="3">
        <v>761158</v>
      </c>
      <c r="D35" s="3">
        <v>1526479</v>
      </c>
      <c r="E35" s="3">
        <v>772614</v>
      </c>
      <c r="F35" s="3"/>
      <c r="G35" s="3">
        <v>3060251</v>
      </c>
    </row>
    <row r="36" spans="2:7" x14ac:dyDescent="0.3">
      <c r="B36" s="17">
        <v>45663</v>
      </c>
      <c r="C36" s="3"/>
      <c r="D36" s="3">
        <v>781868</v>
      </c>
      <c r="E36" s="3">
        <v>1589207</v>
      </c>
      <c r="F36" s="3">
        <v>798137</v>
      </c>
      <c r="G36" s="3">
        <v>3169212</v>
      </c>
    </row>
    <row r="37" spans="2:7" x14ac:dyDescent="0.3">
      <c r="B37" s="17">
        <v>45670</v>
      </c>
      <c r="C37" s="3">
        <v>810061</v>
      </c>
      <c r="D37" s="3">
        <v>807142</v>
      </c>
      <c r="E37" s="3">
        <v>817407</v>
      </c>
      <c r="F37" s="3">
        <v>818408</v>
      </c>
      <c r="G37" s="3">
        <v>3253018</v>
      </c>
    </row>
    <row r="38" spans="2:7" x14ac:dyDescent="0.3">
      <c r="B38" s="17">
        <v>45677</v>
      </c>
      <c r="C38" s="3"/>
      <c r="D38" s="3"/>
      <c r="E38" s="3">
        <v>2499836</v>
      </c>
      <c r="F38" s="3">
        <v>846217</v>
      </c>
      <c r="G38" s="3">
        <v>3346053</v>
      </c>
    </row>
    <row r="39" spans="2:7" x14ac:dyDescent="0.3">
      <c r="B39" s="17">
        <v>45684</v>
      </c>
      <c r="C39" s="3">
        <v>868909</v>
      </c>
      <c r="D39" s="3">
        <v>853477</v>
      </c>
      <c r="E39" s="3">
        <v>1725104</v>
      </c>
      <c r="F39" s="3"/>
      <c r="G39" s="3">
        <v>3447490</v>
      </c>
    </row>
    <row r="40" spans="2:7" x14ac:dyDescent="0.3">
      <c r="B40" s="17">
        <v>45691</v>
      </c>
      <c r="C40" s="3"/>
      <c r="D40" s="3"/>
      <c r="E40" s="3">
        <v>1778284</v>
      </c>
      <c r="F40" s="3">
        <v>1762198</v>
      </c>
      <c r="G40" s="3">
        <v>3540482</v>
      </c>
    </row>
    <row r="41" spans="2:7" x14ac:dyDescent="0.3">
      <c r="B41" s="17">
        <v>45698</v>
      </c>
      <c r="C41" s="3"/>
      <c r="D41" s="3">
        <v>2715333</v>
      </c>
      <c r="E41" s="3">
        <v>904407</v>
      </c>
      <c r="F41" s="3"/>
      <c r="G41" s="3">
        <v>3619740</v>
      </c>
    </row>
    <row r="42" spans="2:7" x14ac:dyDescent="0.3">
      <c r="B42" s="17">
        <v>45705</v>
      </c>
      <c r="C42" s="3">
        <v>1851857</v>
      </c>
      <c r="D42" s="3">
        <v>917475</v>
      </c>
      <c r="E42" s="3">
        <v>912374</v>
      </c>
      <c r="F42" s="3"/>
      <c r="G42" s="3">
        <v>3681706</v>
      </c>
    </row>
    <row r="43" spans="2:7" x14ac:dyDescent="0.3">
      <c r="B43" s="17">
        <v>45712</v>
      </c>
      <c r="C43" s="3">
        <v>1897457</v>
      </c>
      <c r="D43" s="3"/>
      <c r="E43" s="3"/>
      <c r="F43" s="3">
        <v>1900474</v>
      </c>
      <c r="G43" s="3">
        <v>3797931</v>
      </c>
    </row>
    <row r="44" spans="2:7" x14ac:dyDescent="0.3">
      <c r="B44" s="17">
        <v>45719</v>
      </c>
      <c r="C44" s="3"/>
      <c r="D44" s="3">
        <v>973452</v>
      </c>
      <c r="E44" s="3">
        <v>1955311</v>
      </c>
      <c r="F44" s="3">
        <v>966020</v>
      </c>
      <c r="G44" s="3">
        <v>3894783</v>
      </c>
    </row>
    <row r="45" spans="2:7" x14ac:dyDescent="0.3">
      <c r="B45" s="17">
        <v>45726</v>
      </c>
      <c r="C45" s="3">
        <v>991495</v>
      </c>
      <c r="D45" s="3">
        <v>997585</v>
      </c>
      <c r="E45" s="3">
        <v>988501</v>
      </c>
      <c r="F45" s="3">
        <v>995050</v>
      </c>
      <c r="G45" s="3">
        <v>3972631</v>
      </c>
    </row>
    <row r="46" spans="2:7" x14ac:dyDescent="0.3">
      <c r="B46" s="17">
        <v>45733</v>
      </c>
      <c r="C46" s="3">
        <v>1013386</v>
      </c>
      <c r="D46" s="3">
        <v>3048937</v>
      </c>
      <c r="E46" s="3"/>
      <c r="F46" s="3"/>
      <c r="G46" s="3">
        <v>4062323</v>
      </c>
    </row>
    <row r="47" spans="2:7" x14ac:dyDescent="0.3">
      <c r="B47" s="17">
        <v>45740</v>
      </c>
      <c r="C47" s="3"/>
      <c r="D47" s="3">
        <v>3123167</v>
      </c>
      <c r="E47" s="3"/>
      <c r="F47" s="3">
        <v>1041686</v>
      </c>
      <c r="G47" s="3">
        <v>4164853</v>
      </c>
    </row>
    <row r="48" spans="2:7" x14ac:dyDescent="0.3">
      <c r="B48" s="17">
        <v>45747</v>
      </c>
      <c r="C48" s="3">
        <v>1063421</v>
      </c>
      <c r="D48" s="3">
        <v>1066648</v>
      </c>
      <c r="E48" s="3">
        <v>1057293</v>
      </c>
      <c r="F48" s="3">
        <v>1064988</v>
      </c>
      <c r="G48" s="3">
        <v>4252350</v>
      </c>
    </row>
    <row r="49" spans="2:7" x14ac:dyDescent="0.3">
      <c r="B49" s="17">
        <v>45754</v>
      </c>
      <c r="C49" s="3">
        <v>1087368</v>
      </c>
      <c r="D49" s="3">
        <v>1077624</v>
      </c>
      <c r="E49" s="3">
        <v>1085943</v>
      </c>
      <c r="F49" s="3">
        <v>1073082</v>
      </c>
      <c r="G49" s="3">
        <v>4324017</v>
      </c>
    </row>
    <row r="50" spans="2:7" x14ac:dyDescent="0.3">
      <c r="B50" s="17">
        <v>45761</v>
      </c>
      <c r="C50" s="3"/>
      <c r="D50" s="3">
        <v>4415538</v>
      </c>
      <c r="E50" s="3"/>
      <c r="F50" s="3"/>
      <c r="G50" s="3">
        <v>4415538</v>
      </c>
    </row>
    <row r="51" spans="2:7" x14ac:dyDescent="0.3">
      <c r="B51" s="17">
        <v>45768</v>
      </c>
      <c r="C51" s="3">
        <v>3376566</v>
      </c>
      <c r="D51" s="3"/>
      <c r="E51" s="3">
        <v>1131337</v>
      </c>
      <c r="F51" s="3"/>
      <c r="G51" s="3">
        <v>4507903</v>
      </c>
    </row>
    <row r="52" spans="2:7" x14ac:dyDescent="0.3">
      <c r="B52" s="17">
        <v>45775</v>
      </c>
      <c r="C52" s="3"/>
      <c r="D52" s="3">
        <v>1135945</v>
      </c>
      <c r="E52" s="3">
        <v>3437179</v>
      </c>
      <c r="F52" s="3"/>
      <c r="G52" s="3">
        <v>4573124</v>
      </c>
    </row>
    <row r="53" spans="2:7" x14ac:dyDescent="0.3">
      <c r="B53" s="17">
        <v>45782</v>
      </c>
      <c r="C53" s="3">
        <v>1168011</v>
      </c>
      <c r="D53" s="3">
        <v>2312827</v>
      </c>
      <c r="E53" s="3"/>
      <c r="F53" s="3">
        <v>1157985</v>
      </c>
      <c r="G53" s="3">
        <v>4638823</v>
      </c>
    </row>
    <row r="54" spans="2:7" x14ac:dyDescent="0.3">
      <c r="B54" s="17">
        <v>45789</v>
      </c>
      <c r="C54" s="3">
        <v>1170816</v>
      </c>
      <c r="D54" s="3">
        <v>2356803</v>
      </c>
      <c r="E54" s="3">
        <v>1186398</v>
      </c>
      <c r="F54" s="3"/>
      <c r="G54" s="3">
        <v>4714017</v>
      </c>
    </row>
    <row r="55" spans="2:7" x14ac:dyDescent="0.3">
      <c r="B55" s="17" t="s">
        <v>359</v>
      </c>
      <c r="C55" s="3">
        <v>31443022</v>
      </c>
      <c r="D55" s="3">
        <v>40768090</v>
      </c>
      <c r="E55" s="3">
        <v>33812203</v>
      </c>
      <c r="F55" s="3">
        <v>24658229</v>
      </c>
      <c r="G55" s="3">
        <v>130681544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5C70-9371-4FF1-B07D-E02B5FDF50D5}">
  <dimension ref="B2:H52"/>
  <sheetViews>
    <sheetView workbookViewId="0">
      <selection activeCell="C7" sqref="C7"/>
    </sheetView>
  </sheetViews>
  <sheetFormatPr defaultRowHeight="14.4" x14ac:dyDescent="0.3"/>
  <cols>
    <col min="2" max="2" width="12.44140625" bestFit="1" customWidth="1"/>
    <col min="3" max="3" width="22.88671875" bestFit="1" customWidth="1"/>
    <col min="6" max="6" width="51.21875" bestFit="1" customWidth="1"/>
    <col min="8" max="8" width="10.33203125" bestFit="1" customWidth="1"/>
  </cols>
  <sheetData>
    <row r="2" spans="2:8" x14ac:dyDescent="0.3">
      <c r="B2" s="16" t="s">
        <v>358</v>
      </c>
      <c r="C2" t="s">
        <v>362</v>
      </c>
    </row>
    <row r="3" spans="2:8" ht="15.6" x14ac:dyDescent="0.3">
      <c r="B3" s="22">
        <v>45495</v>
      </c>
      <c r="C3" s="23">
        <v>32218</v>
      </c>
      <c r="F3" s="13" t="s">
        <v>356</v>
      </c>
      <c r="H3" s="17"/>
    </row>
    <row r="4" spans="2:8" x14ac:dyDescent="0.3">
      <c r="B4" s="17">
        <v>45586</v>
      </c>
      <c r="C4" s="3">
        <v>30891</v>
      </c>
    </row>
    <row r="5" spans="2:8" x14ac:dyDescent="0.3">
      <c r="B5" s="17">
        <v>45712</v>
      </c>
      <c r="C5" s="3">
        <v>30446</v>
      </c>
      <c r="F5" s="14" t="s">
        <v>363</v>
      </c>
    </row>
    <row r="6" spans="2:8" x14ac:dyDescent="0.3">
      <c r="B6" s="17">
        <v>45621</v>
      </c>
      <c r="C6" s="3">
        <v>28625</v>
      </c>
    </row>
    <row r="7" spans="2:8" x14ac:dyDescent="0.3">
      <c r="B7" s="17">
        <v>45467</v>
      </c>
      <c r="C7" s="3">
        <v>28622</v>
      </c>
      <c r="F7" s="15" t="s">
        <v>400</v>
      </c>
    </row>
    <row r="8" spans="2:8" x14ac:dyDescent="0.3">
      <c r="B8" s="17">
        <v>45691</v>
      </c>
      <c r="C8" s="3">
        <v>28533</v>
      </c>
      <c r="F8" s="15" t="s">
        <v>355</v>
      </c>
    </row>
    <row r="9" spans="2:8" x14ac:dyDescent="0.3">
      <c r="B9" s="17">
        <v>45733</v>
      </c>
      <c r="C9" s="3">
        <v>28020</v>
      </c>
      <c r="F9" s="15" t="s">
        <v>373</v>
      </c>
    </row>
    <row r="10" spans="2:8" x14ac:dyDescent="0.3">
      <c r="B10" s="17">
        <v>45677</v>
      </c>
      <c r="C10" s="3">
        <v>27809</v>
      </c>
    </row>
    <row r="11" spans="2:8" x14ac:dyDescent="0.3">
      <c r="B11" s="17">
        <v>45593</v>
      </c>
      <c r="C11" s="3">
        <v>27254</v>
      </c>
      <c r="F11" s="15" t="s">
        <v>372</v>
      </c>
    </row>
    <row r="12" spans="2:8" x14ac:dyDescent="0.3">
      <c r="B12" s="17">
        <v>45446</v>
      </c>
      <c r="C12" s="3">
        <v>27203</v>
      </c>
      <c r="F12" s="15" t="s">
        <v>374</v>
      </c>
    </row>
    <row r="13" spans="2:8" x14ac:dyDescent="0.3">
      <c r="B13" s="17">
        <v>45663</v>
      </c>
      <c r="C13" s="3">
        <v>27057</v>
      </c>
      <c r="F13" s="15" t="s">
        <v>375</v>
      </c>
    </row>
    <row r="14" spans="2:8" x14ac:dyDescent="0.3">
      <c r="B14" s="17">
        <v>45516</v>
      </c>
      <c r="C14" s="3">
        <v>26686</v>
      </c>
    </row>
    <row r="15" spans="2:8" x14ac:dyDescent="0.3">
      <c r="B15" s="17">
        <v>45460</v>
      </c>
      <c r="C15" s="3">
        <v>25931</v>
      </c>
      <c r="F15" s="15" t="s">
        <v>376</v>
      </c>
    </row>
    <row r="16" spans="2:8" x14ac:dyDescent="0.3">
      <c r="B16" s="17">
        <v>45740</v>
      </c>
      <c r="C16" s="3">
        <v>25416</v>
      </c>
      <c r="F16" s="15" t="s">
        <v>377</v>
      </c>
    </row>
    <row r="17" spans="2:6" x14ac:dyDescent="0.3">
      <c r="B17" s="17">
        <v>45544</v>
      </c>
      <c r="C17" s="3">
        <v>25176</v>
      </c>
      <c r="F17" s="15" t="s">
        <v>378</v>
      </c>
    </row>
    <row r="18" spans="2:6" x14ac:dyDescent="0.3">
      <c r="B18" s="17">
        <v>45761</v>
      </c>
      <c r="C18" s="3">
        <v>24995</v>
      </c>
    </row>
    <row r="19" spans="2:6" x14ac:dyDescent="0.3">
      <c r="B19" s="17">
        <v>45656</v>
      </c>
      <c r="C19" s="3">
        <v>23870</v>
      </c>
    </row>
    <row r="20" spans="2:6" x14ac:dyDescent="0.3">
      <c r="B20" s="17">
        <v>45579</v>
      </c>
      <c r="C20" s="3">
        <v>23371</v>
      </c>
    </row>
    <row r="21" spans="2:6" x14ac:dyDescent="0.3">
      <c r="B21" s="17">
        <v>45523</v>
      </c>
      <c r="C21" s="3">
        <v>23262</v>
      </c>
    </row>
    <row r="22" spans="2:6" x14ac:dyDescent="0.3">
      <c r="B22" s="17">
        <v>45453</v>
      </c>
      <c r="C22" s="3">
        <v>23062</v>
      </c>
    </row>
    <row r="23" spans="2:6" x14ac:dyDescent="0.3">
      <c r="B23" s="17">
        <v>45684</v>
      </c>
      <c r="C23" s="3">
        <v>22692</v>
      </c>
    </row>
    <row r="24" spans="2:6" x14ac:dyDescent="0.3">
      <c r="B24" s="17">
        <v>45537</v>
      </c>
      <c r="C24" s="3">
        <v>22217</v>
      </c>
    </row>
    <row r="25" spans="2:6" x14ac:dyDescent="0.3">
      <c r="B25" s="17">
        <v>45768</v>
      </c>
      <c r="C25" s="3">
        <v>22070</v>
      </c>
    </row>
    <row r="26" spans="2:6" x14ac:dyDescent="0.3">
      <c r="B26" s="17">
        <v>45614</v>
      </c>
      <c r="C26" s="3">
        <v>21238</v>
      </c>
    </row>
    <row r="27" spans="2:6" x14ac:dyDescent="0.3">
      <c r="B27" s="17">
        <v>45530</v>
      </c>
      <c r="C27" s="3">
        <v>20800</v>
      </c>
    </row>
    <row r="28" spans="2:6" x14ac:dyDescent="0.3">
      <c r="B28" s="17">
        <v>45754</v>
      </c>
      <c r="C28" s="3">
        <v>20720</v>
      </c>
    </row>
    <row r="29" spans="2:6" x14ac:dyDescent="0.3">
      <c r="B29" s="17">
        <v>45719</v>
      </c>
      <c r="C29" s="3">
        <v>20389</v>
      </c>
    </row>
    <row r="30" spans="2:6" x14ac:dyDescent="0.3">
      <c r="B30" s="17">
        <v>45474</v>
      </c>
      <c r="C30" s="3">
        <v>19833</v>
      </c>
    </row>
    <row r="31" spans="2:6" x14ac:dyDescent="0.3">
      <c r="B31" s="17">
        <v>45607</v>
      </c>
      <c r="C31" s="3">
        <v>19751</v>
      </c>
    </row>
    <row r="32" spans="2:6" x14ac:dyDescent="0.3">
      <c r="B32" s="17">
        <v>45642</v>
      </c>
      <c r="C32" s="3">
        <v>19604</v>
      </c>
    </row>
    <row r="33" spans="2:3" x14ac:dyDescent="0.3">
      <c r="B33" s="17">
        <v>45649</v>
      </c>
      <c r="C33" s="3">
        <v>19183</v>
      </c>
    </row>
    <row r="34" spans="2:3" x14ac:dyDescent="0.3">
      <c r="B34" s="17">
        <v>45670</v>
      </c>
      <c r="C34" s="3">
        <v>18737</v>
      </c>
    </row>
    <row r="35" spans="2:3" x14ac:dyDescent="0.3">
      <c r="B35" s="17">
        <v>45481</v>
      </c>
      <c r="C35" s="3">
        <v>18529</v>
      </c>
    </row>
    <row r="36" spans="2:3" x14ac:dyDescent="0.3">
      <c r="B36" s="17">
        <v>45565</v>
      </c>
      <c r="C36" s="3">
        <v>18434</v>
      </c>
    </row>
    <row r="37" spans="2:3" x14ac:dyDescent="0.3">
      <c r="B37" s="17">
        <v>45789</v>
      </c>
      <c r="C37" s="3">
        <v>18387</v>
      </c>
    </row>
    <row r="38" spans="2:3" x14ac:dyDescent="0.3">
      <c r="B38" s="17">
        <v>45628</v>
      </c>
      <c r="C38" s="3">
        <v>18330</v>
      </c>
    </row>
    <row r="39" spans="2:3" x14ac:dyDescent="0.3">
      <c r="B39" s="17">
        <v>45558</v>
      </c>
      <c r="C39" s="3">
        <v>17982</v>
      </c>
    </row>
    <row r="40" spans="2:3" x14ac:dyDescent="0.3">
      <c r="B40" s="17">
        <v>45705</v>
      </c>
      <c r="C40" s="3">
        <v>17859</v>
      </c>
    </row>
    <row r="41" spans="2:3" x14ac:dyDescent="0.3">
      <c r="B41" s="17">
        <v>45726</v>
      </c>
      <c r="C41" s="3">
        <v>17807</v>
      </c>
    </row>
    <row r="42" spans="2:3" x14ac:dyDescent="0.3">
      <c r="B42" s="17">
        <v>45572</v>
      </c>
      <c r="C42" s="3">
        <v>17577</v>
      </c>
    </row>
    <row r="43" spans="2:3" x14ac:dyDescent="0.3">
      <c r="B43" s="17">
        <v>45775</v>
      </c>
      <c r="C43" s="3">
        <v>17449</v>
      </c>
    </row>
    <row r="44" spans="2:3" x14ac:dyDescent="0.3">
      <c r="B44" s="17">
        <v>45502</v>
      </c>
      <c r="C44" s="3">
        <v>17021</v>
      </c>
    </row>
    <row r="45" spans="2:3" x14ac:dyDescent="0.3">
      <c r="B45" s="17">
        <v>45600</v>
      </c>
      <c r="C45" s="3">
        <v>16685</v>
      </c>
    </row>
    <row r="46" spans="2:3" x14ac:dyDescent="0.3">
      <c r="B46" s="17">
        <v>45782</v>
      </c>
      <c r="C46" s="3">
        <v>16129</v>
      </c>
    </row>
    <row r="47" spans="2:3" x14ac:dyDescent="0.3">
      <c r="B47" s="17">
        <v>45635</v>
      </c>
      <c r="C47" s="3">
        <v>15842</v>
      </c>
    </row>
    <row r="48" spans="2:3" x14ac:dyDescent="0.3">
      <c r="B48" s="17">
        <v>45747</v>
      </c>
      <c r="C48" s="3">
        <v>15627</v>
      </c>
    </row>
    <row r="49" spans="2:3" x14ac:dyDescent="0.3">
      <c r="B49" s="17">
        <v>45551</v>
      </c>
      <c r="C49" s="3">
        <v>15432</v>
      </c>
    </row>
    <row r="50" spans="2:3" x14ac:dyDescent="0.3">
      <c r="B50" s="17">
        <v>45509</v>
      </c>
      <c r="C50" s="3">
        <v>14100</v>
      </c>
    </row>
    <row r="51" spans="2:3" x14ac:dyDescent="0.3">
      <c r="B51" s="17">
        <v>45488</v>
      </c>
      <c r="C51" s="3">
        <v>13885</v>
      </c>
    </row>
    <row r="52" spans="2:3" x14ac:dyDescent="0.3">
      <c r="B52" s="17">
        <v>45698</v>
      </c>
      <c r="C52" s="3">
        <v>13642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F512-59F1-4239-BEFD-D888F7D6B6CC}">
  <dimension ref="A1:AB201"/>
  <sheetViews>
    <sheetView topLeftCell="M1" workbookViewId="0">
      <selection activeCell="O77" sqref="O77"/>
    </sheetView>
  </sheetViews>
  <sheetFormatPr defaultRowHeight="14.4" x14ac:dyDescent="0.3"/>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88671875" bestFit="1" customWidth="1"/>
    <col min="7" max="7" width="21" bestFit="1" customWidth="1"/>
    <col min="8" max="8" width="18" bestFit="1" customWidth="1"/>
    <col min="9" max="9" width="11.5546875" bestFit="1" customWidth="1"/>
    <col min="11" max="11" width="17.5546875" bestFit="1" customWidth="1"/>
    <col min="12" max="12" width="10.44140625" bestFit="1" customWidth="1"/>
    <col min="13" max="13" width="18.88671875" bestFit="1" customWidth="1"/>
    <col min="14" max="15" width="11" bestFit="1" customWidth="1"/>
    <col min="16" max="16" width="12.109375" bestFit="1" customWidth="1"/>
    <col min="26" max="26" width="17.5546875" bestFit="1" customWidth="1"/>
    <col min="27" max="27" width="10.44140625" bestFit="1" customWidth="1"/>
    <col min="28" max="28" width="16.21875" bestFit="1" customWidth="1"/>
  </cols>
  <sheetData>
    <row r="1" spans="1:28" x14ac:dyDescent="0.3">
      <c r="A1" s="26" t="s">
        <v>338</v>
      </c>
      <c r="B1" s="24" t="s">
        <v>1</v>
      </c>
      <c r="C1" s="24" t="s">
        <v>339</v>
      </c>
      <c r="D1" s="24" t="s">
        <v>340</v>
      </c>
      <c r="E1" s="24" t="s">
        <v>341</v>
      </c>
      <c r="F1" s="24" t="s">
        <v>379</v>
      </c>
      <c r="G1" s="24" t="s">
        <v>342</v>
      </c>
      <c r="H1" s="24" t="s">
        <v>343</v>
      </c>
      <c r="I1" s="25" t="s">
        <v>344</v>
      </c>
      <c r="K1" s="35" t="s">
        <v>338</v>
      </c>
      <c r="L1" s="35" t="s">
        <v>1</v>
      </c>
      <c r="M1" s="35" t="s">
        <v>379</v>
      </c>
      <c r="Z1" s="35" t="s">
        <v>338</v>
      </c>
      <c r="AA1" s="35" t="s">
        <v>386</v>
      </c>
      <c r="AB1" s="35" t="s">
        <v>341</v>
      </c>
    </row>
    <row r="2" spans="1:28" x14ac:dyDescent="0.3">
      <c r="A2" s="28">
        <v>45446</v>
      </c>
      <c r="B2" t="s">
        <v>23</v>
      </c>
      <c r="C2" s="3">
        <v>4138</v>
      </c>
      <c r="D2" s="3">
        <v>361</v>
      </c>
      <c r="E2" s="3">
        <v>103777</v>
      </c>
      <c r="F2" s="3">
        <f>Insta!$C2-Insta!$D2</f>
        <v>3777</v>
      </c>
      <c r="G2" s="30">
        <v>3.6395347716738802E-2</v>
      </c>
      <c r="H2">
        <v>56.637790647253247</v>
      </c>
      <c r="I2" s="31">
        <v>23944</v>
      </c>
      <c r="K2" s="5">
        <v>45446</v>
      </c>
      <c r="M2" s="3">
        <v>3777</v>
      </c>
      <c r="Z2" s="5">
        <v>45446</v>
      </c>
      <c r="AB2" s="3">
        <v>103777</v>
      </c>
    </row>
    <row r="3" spans="1:28" hidden="1" x14ac:dyDescent="0.3">
      <c r="A3" s="28">
        <v>45446</v>
      </c>
      <c r="B3" t="s">
        <v>41</v>
      </c>
      <c r="C3" s="3">
        <v>8693</v>
      </c>
      <c r="D3" s="3">
        <v>1261</v>
      </c>
      <c r="E3" s="3">
        <v>111209</v>
      </c>
      <c r="F3" s="3">
        <f>Insta!$C3-Insta!$D3</f>
        <v>7432</v>
      </c>
      <c r="G3" s="30">
        <v>6.6829123542159405E-2</v>
      </c>
      <c r="H3">
        <v>69.475492091467416</v>
      </c>
      <c r="I3" s="31">
        <v>29873</v>
      </c>
      <c r="K3" s="5">
        <v>45446</v>
      </c>
      <c r="L3" t="s">
        <v>41</v>
      </c>
      <c r="M3" s="3">
        <v>7432</v>
      </c>
      <c r="Z3" s="5">
        <v>45446</v>
      </c>
      <c r="AB3" s="3">
        <v>111209</v>
      </c>
    </row>
    <row r="4" spans="1:28" hidden="1" x14ac:dyDescent="0.3">
      <c r="A4" s="28">
        <v>45446</v>
      </c>
      <c r="B4" t="s">
        <v>14</v>
      </c>
      <c r="C4" s="3">
        <v>9264</v>
      </c>
      <c r="D4" s="3">
        <v>1141</v>
      </c>
      <c r="E4" s="3">
        <v>119332</v>
      </c>
      <c r="F4" s="3">
        <f>Insta!$C4-Insta!$D4</f>
        <v>8123</v>
      </c>
      <c r="G4" s="30">
        <v>6.8070592967519203E-2</v>
      </c>
      <c r="H4">
        <v>92.312204605638044</v>
      </c>
      <c r="I4" s="31">
        <v>50372</v>
      </c>
      <c r="K4" s="5">
        <v>45446</v>
      </c>
      <c r="L4" t="s">
        <v>14</v>
      </c>
      <c r="M4" s="3">
        <v>8123</v>
      </c>
      <c r="Z4" s="5">
        <v>45446</v>
      </c>
      <c r="AB4" s="3">
        <v>119332</v>
      </c>
    </row>
    <row r="5" spans="1:28" hidden="1" x14ac:dyDescent="0.3">
      <c r="A5" s="28">
        <v>45446</v>
      </c>
      <c r="B5" t="s">
        <v>14</v>
      </c>
      <c r="C5" s="3">
        <v>8842</v>
      </c>
      <c r="D5" s="3">
        <v>971</v>
      </c>
      <c r="E5" s="3">
        <v>127203</v>
      </c>
      <c r="F5" s="3">
        <f>Insta!$C5-Insta!$D5</f>
        <v>7871</v>
      </c>
      <c r="G5" s="30">
        <v>6.1877471443283601E-2</v>
      </c>
      <c r="H5">
        <v>16.351815601833291</v>
      </c>
      <c r="I5" s="31">
        <v>33928</v>
      </c>
      <c r="K5" s="5">
        <v>45446</v>
      </c>
      <c r="L5" t="s">
        <v>14</v>
      </c>
      <c r="M5" s="3">
        <v>7871</v>
      </c>
      <c r="Z5" s="5">
        <v>45446</v>
      </c>
      <c r="AB5" s="3">
        <v>127203</v>
      </c>
    </row>
    <row r="6" spans="1:28" x14ac:dyDescent="0.3">
      <c r="A6" s="28">
        <v>45453</v>
      </c>
      <c r="B6" t="s">
        <v>23</v>
      </c>
      <c r="C6" s="3">
        <v>7721</v>
      </c>
      <c r="D6" s="3">
        <v>506</v>
      </c>
      <c r="E6" s="3">
        <v>134418</v>
      </c>
      <c r="F6" s="3">
        <f>Insta!$C6-Insta!$D6</f>
        <v>7215</v>
      </c>
      <c r="G6" s="30">
        <v>5.3675846984778799E-2</v>
      </c>
      <c r="H6">
        <v>35.577824398518047</v>
      </c>
      <c r="I6" s="31">
        <v>25379</v>
      </c>
      <c r="K6" s="5">
        <v>45453</v>
      </c>
      <c r="M6" s="3">
        <v>7215</v>
      </c>
      <c r="Z6" s="5">
        <v>45453</v>
      </c>
      <c r="AB6" s="3">
        <v>134418</v>
      </c>
    </row>
    <row r="7" spans="1:28" hidden="1" x14ac:dyDescent="0.3">
      <c r="A7" s="28">
        <v>45453</v>
      </c>
      <c r="B7" t="s">
        <v>14</v>
      </c>
      <c r="C7" s="3">
        <v>8002</v>
      </c>
      <c r="D7" s="3">
        <v>524</v>
      </c>
      <c r="E7" s="3">
        <v>141896</v>
      </c>
      <c r="F7" s="3">
        <f>Insta!$C7-Insta!$D7</f>
        <v>7478</v>
      </c>
      <c r="G7" s="30">
        <v>5.2700569431132702E-2</v>
      </c>
      <c r="H7">
        <v>52.064892597395271</v>
      </c>
      <c r="I7" s="31">
        <v>46751</v>
      </c>
      <c r="K7" s="5">
        <v>45453</v>
      </c>
      <c r="L7" t="s">
        <v>14</v>
      </c>
      <c r="M7" s="3">
        <v>7478</v>
      </c>
      <c r="Z7" s="5">
        <v>45453</v>
      </c>
      <c r="AB7" s="3">
        <v>141896</v>
      </c>
    </row>
    <row r="8" spans="1:28" hidden="1" x14ac:dyDescent="0.3">
      <c r="A8" s="28">
        <v>45453</v>
      </c>
      <c r="B8" t="s">
        <v>41</v>
      </c>
      <c r="C8" s="3">
        <v>5225</v>
      </c>
      <c r="D8" s="3">
        <v>291</v>
      </c>
      <c r="E8" s="3">
        <v>146830</v>
      </c>
      <c r="F8" s="3">
        <f>Insta!$C8-Insta!$D8</f>
        <v>4934</v>
      </c>
      <c r="G8" s="30">
        <v>3.3603487025812201E-2</v>
      </c>
      <c r="H8">
        <v>19.551862698358651</v>
      </c>
      <c r="I8" s="31">
        <v>44546</v>
      </c>
      <c r="K8" s="5">
        <v>45453</v>
      </c>
      <c r="L8" t="s">
        <v>41</v>
      </c>
      <c r="M8" s="3">
        <v>4934</v>
      </c>
      <c r="Z8" s="5">
        <v>45453</v>
      </c>
      <c r="AB8" s="3">
        <v>146830</v>
      </c>
    </row>
    <row r="9" spans="1:28" hidden="1" x14ac:dyDescent="0.3">
      <c r="A9" s="28">
        <v>45453</v>
      </c>
      <c r="B9" t="s">
        <v>41</v>
      </c>
      <c r="C9" s="3">
        <v>3978</v>
      </c>
      <c r="D9" s="3">
        <v>543</v>
      </c>
      <c r="E9" s="3">
        <v>150265</v>
      </c>
      <c r="F9" s="3">
        <f>Insta!$C9-Insta!$D9</f>
        <v>3435</v>
      </c>
      <c r="G9" s="30">
        <v>2.2859614680730701E-2</v>
      </c>
      <c r="H9">
        <v>49.159817655475329</v>
      </c>
      <c r="I9" s="31">
        <v>34286</v>
      </c>
      <c r="K9" s="5">
        <v>45453</v>
      </c>
      <c r="L9" t="s">
        <v>41</v>
      </c>
      <c r="M9" s="3">
        <v>3435</v>
      </c>
      <c r="Z9" s="5">
        <v>45453</v>
      </c>
      <c r="AB9" s="3">
        <v>150265</v>
      </c>
    </row>
    <row r="10" spans="1:28" x14ac:dyDescent="0.3">
      <c r="A10" s="28">
        <v>45460</v>
      </c>
      <c r="B10" t="s">
        <v>23</v>
      </c>
      <c r="C10" s="3">
        <v>8373</v>
      </c>
      <c r="D10" s="3">
        <v>921</v>
      </c>
      <c r="E10" s="3">
        <v>157717</v>
      </c>
      <c r="F10" s="3">
        <f>Insta!$C10-Insta!$D10</f>
        <v>7452</v>
      </c>
      <c r="G10" s="30">
        <v>4.7249186834646899E-2</v>
      </c>
      <c r="H10">
        <v>12.2263294381709</v>
      </c>
      <c r="I10" s="31">
        <v>15110</v>
      </c>
      <c r="K10" s="5">
        <v>45460</v>
      </c>
      <c r="M10" s="3">
        <v>7452</v>
      </c>
      <c r="Z10" s="5">
        <v>45460</v>
      </c>
      <c r="AB10" s="3">
        <v>157717</v>
      </c>
    </row>
    <row r="11" spans="1:28" hidden="1" x14ac:dyDescent="0.3">
      <c r="A11" s="28">
        <v>45460</v>
      </c>
      <c r="B11" t="s">
        <v>41</v>
      </c>
      <c r="C11" s="3">
        <v>6907</v>
      </c>
      <c r="D11" s="3">
        <v>834</v>
      </c>
      <c r="E11" s="3">
        <v>163790</v>
      </c>
      <c r="F11" s="3">
        <f>Insta!$C11-Insta!$D11</f>
        <v>6073</v>
      </c>
      <c r="G11" s="30">
        <v>3.70779656877709E-2</v>
      </c>
      <c r="H11">
        <v>54.158984064961238</v>
      </c>
      <c r="I11" s="31">
        <v>22087</v>
      </c>
      <c r="K11" s="5">
        <v>45460</v>
      </c>
      <c r="L11" t="s">
        <v>41</v>
      </c>
      <c r="M11" s="3">
        <v>6073</v>
      </c>
      <c r="Z11" s="5">
        <v>45460</v>
      </c>
      <c r="AB11" s="3">
        <v>163790</v>
      </c>
    </row>
    <row r="12" spans="1:28" hidden="1" x14ac:dyDescent="0.3">
      <c r="A12" s="28">
        <v>45460</v>
      </c>
      <c r="B12" t="s">
        <v>19</v>
      </c>
      <c r="C12" s="3">
        <v>7097</v>
      </c>
      <c r="D12" s="3">
        <v>369</v>
      </c>
      <c r="E12" s="3">
        <v>170518</v>
      </c>
      <c r="F12" s="3">
        <f>Insta!$C12-Insta!$D12</f>
        <v>6728</v>
      </c>
      <c r="G12" s="30">
        <v>3.9456245088495101E-2</v>
      </c>
      <c r="H12">
        <v>9.2506362964613711</v>
      </c>
      <c r="I12" s="31">
        <v>33762</v>
      </c>
      <c r="K12" s="5">
        <v>45460</v>
      </c>
      <c r="L12" t="s">
        <v>19</v>
      </c>
      <c r="M12" s="3">
        <v>6728</v>
      </c>
      <c r="Z12" s="5">
        <v>45460</v>
      </c>
      <c r="AB12" s="3">
        <v>170518</v>
      </c>
    </row>
    <row r="13" spans="1:28" x14ac:dyDescent="0.3">
      <c r="A13" s="28">
        <v>45460</v>
      </c>
      <c r="B13" t="s">
        <v>23</v>
      </c>
      <c r="C13" s="3">
        <v>6656</v>
      </c>
      <c r="D13" s="3">
        <v>978</v>
      </c>
      <c r="E13" s="3">
        <v>176196</v>
      </c>
      <c r="F13" s="3">
        <f>Insta!$C13-Insta!$D13</f>
        <v>5678</v>
      </c>
      <c r="G13" s="30">
        <v>3.2225476174260498E-2</v>
      </c>
      <c r="H13">
        <v>60.425889350496043</v>
      </c>
      <c r="I13" s="31">
        <v>27081</v>
      </c>
      <c r="K13" s="5">
        <v>45460</v>
      </c>
      <c r="M13" s="3">
        <v>5678</v>
      </c>
      <c r="Z13" s="5">
        <v>45460</v>
      </c>
      <c r="AB13" s="3">
        <v>176196</v>
      </c>
    </row>
    <row r="14" spans="1:28" hidden="1" x14ac:dyDescent="0.3">
      <c r="A14" s="28">
        <v>45467</v>
      </c>
      <c r="B14" t="s">
        <v>41</v>
      </c>
      <c r="C14" s="3">
        <v>9984</v>
      </c>
      <c r="D14" s="3">
        <v>1330</v>
      </c>
      <c r="E14" s="3">
        <v>184850</v>
      </c>
      <c r="F14" s="3">
        <f>Insta!$C14-Insta!$D14</f>
        <v>8654</v>
      </c>
      <c r="G14" s="30">
        <v>4.6816337571003501E-2</v>
      </c>
      <c r="H14">
        <v>57.524479307546663</v>
      </c>
      <c r="I14" s="31">
        <v>44947</v>
      </c>
      <c r="K14" s="5">
        <v>45467</v>
      </c>
      <c r="L14" t="s">
        <v>41</v>
      </c>
      <c r="M14" s="3">
        <v>8654</v>
      </c>
      <c r="Z14" s="5">
        <v>45467</v>
      </c>
      <c r="AB14" s="3">
        <v>184850</v>
      </c>
    </row>
    <row r="15" spans="1:28" x14ac:dyDescent="0.3">
      <c r="A15" s="28">
        <v>45467</v>
      </c>
      <c r="B15" t="s">
        <v>23</v>
      </c>
      <c r="C15" s="3">
        <v>5259</v>
      </c>
      <c r="D15" s="3">
        <v>374</v>
      </c>
      <c r="E15" s="3">
        <v>189735</v>
      </c>
      <c r="F15" s="3">
        <f>Insta!$C15-Insta!$D15</f>
        <v>4885</v>
      </c>
      <c r="G15" s="30">
        <v>2.5746435818378301E-2</v>
      </c>
      <c r="H15">
        <v>14.827522597306769</v>
      </c>
      <c r="I15" s="31">
        <v>19596</v>
      </c>
      <c r="K15" s="5">
        <v>45467</v>
      </c>
      <c r="M15" s="3">
        <v>4885</v>
      </c>
      <c r="Z15" s="5">
        <v>45467</v>
      </c>
      <c r="AB15" s="3">
        <v>189735</v>
      </c>
    </row>
    <row r="16" spans="1:28" hidden="1" x14ac:dyDescent="0.3">
      <c r="A16" s="28">
        <v>45467</v>
      </c>
      <c r="B16" t="s">
        <v>14</v>
      </c>
      <c r="C16" s="3">
        <v>9286</v>
      </c>
      <c r="D16" s="3">
        <v>633</v>
      </c>
      <c r="E16" s="3">
        <v>198388</v>
      </c>
      <c r="F16" s="3">
        <f>Insta!$C16-Insta!$D16</f>
        <v>8653</v>
      </c>
      <c r="G16" s="30">
        <v>4.3616549388067798E-2</v>
      </c>
      <c r="H16">
        <v>5.4343004617214756</v>
      </c>
      <c r="I16" s="31">
        <v>48019</v>
      </c>
      <c r="K16" s="5">
        <v>45467</v>
      </c>
      <c r="L16" t="s">
        <v>14</v>
      </c>
      <c r="M16" s="3">
        <v>8653</v>
      </c>
      <c r="Z16" s="5">
        <v>45467</v>
      </c>
      <c r="AB16" s="3">
        <v>198388</v>
      </c>
    </row>
    <row r="17" spans="1:28" hidden="1" x14ac:dyDescent="0.3">
      <c r="A17" s="28">
        <v>45467</v>
      </c>
      <c r="B17" t="s">
        <v>41</v>
      </c>
      <c r="C17" s="3">
        <v>6901</v>
      </c>
      <c r="D17" s="3">
        <v>471</v>
      </c>
      <c r="E17" s="3">
        <v>204818</v>
      </c>
      <c r="F17" s="3">
        <f>Insta!$C17-Insta!$D17</f>
        <v>6430</v>
      </c>
      <c r="G17" s="30">
        <v>3.1393725160874499E-2</v>
      </c>
      <c r="H17">
        <v>60.827661631301943</v>
      </c>
      <c r="I17" s="31">
        <v>52003</v>
      </c>
      <c r="K17" s="5">
        <v>45467</v>
      </c>
      <c r="L17" t="s">
        <v>41</v>
      </c>
      <c r="M17" s="3">
        <v>6430</v>
      </c>
      <c r="Z17" s="5">
        <v>45467</v>
      </c>
      <c r="AB17" s="3">
        <v>204818</v>
      </c>
    </row>
    <row r="18" spans="1:28" hidden="1" x14ac:dyDescent="0.3">
      <c r="A18" s="28">
        <v>45474</v>
      </c>
      <c r="B18" t="s">
        <v>19</v>
      </c>
      <c r="C18" s="3">
        <v>5917</v>
      </c>
      <c r="D18" s="3">
        <v>475</v>
      </c>
      <c r="E18" s="3">
        <v>210260</v>
      </c>
      <c r="F18" s="3">
        <f>Insta!$C18-Insta!$D18</f>
        <v>5442</v>
      </c>
      <c r="G18" s="30">
        <v>2.5882241034909201E-2</v>
      </c>
      <c r="H18">
        <v>17.894035955483691</v>
      </c>
      <c r="I18" s="31">
        <v>28313</v>
      </c>
      <c r="K18" s="5">
        <v>45474</v>
      </c>
      <c r="L18" t="s">
        <v>19</v>
      </c>
      <c r="M18" s="3">
        <v>5442</v>
      </c>
      <c r="Z18" s="5">
        <v>45474</v>
      </c>
      <c r="AB18" s="3">
        <v>210260</v>
      </c>
    </row>
    <row r="19" spans="1:28" hidden="1" x14ac:dyDescent="0.3">
      <c r="A19" s="28">
        <v>45474</v>
      </c>
      <c r="B19" t="s">
        <v>41</v>
      </c>
      <c r="C19" s="3">
        <v>9429</v>
      </c>
      <c r="D19" s="3">
        <v>966</v>
      </c>
      <c r="E19" s="3">
        <v>218723</v>
      </c>
      <c r="F19" s="3">
        <f>Insta!$C19-Insta!$D19</f>
        <v>8463</v>
      </c>
      <c r="G19" s="30">
        <v>3.8692775794040901E-2</v>
      </c>
      <c r="H19">
        <v>7.6914636320825887</v>
      </c>
      <c r="I19" s="31">
        <v>57639</v>
      </c>
      <c r="K19" s="5">
        <v>45474</v>
      </c>
      <c r="L19" t="s">
        <v>41</v>
      </c>
      <c r="M19" s="3">
        <v>8463</v>
      </c>
      <c r="Z19" s="5">
        <v>45474</v>
      </c>
      <c r="AB19" s="3">
        <v>218723</v>
      </c>
    </row>
    <row r="20" spans="1:28" x14ac:dyDescent="0.3">
      <c r="A20" s="28">
        <v>45474</v>
      </c>
      <c r="B20" t="s">
        <v>23</v>
      </c>
      <c r="C20" s="3">
        <v>3530</v>
      </c>
      <c r="D20" s="3">
        <v>328</v>
      </c>
      <c r="E20" s="3">
        <v>221925</v>
      </c>
      <c r="F20" s="3">
        <f>Insta!$C20-Insta!$D20</f>
        <v>3202</v>
      </c>
      <c r="G20" s="30">
        <v>1.44282978483722E-2</v>
      </c>
      <c r="H20">
        <v>12.8372197814577</v>
      </c>
      <c r="I20" s="31">
        <v>11013</v>
      </c>
      <c r="K20" s="5">
        <v>45474</v>
      </c>
      <c r="M20" s="3">
        <v>3202</v>
      </c>
      <c r="Z20" s="5">
        <v>45474</v>
      </c>
      <c r="AB20" s="3">
        <v>221925</v>
      </c>
    </row>
    <row r="21" spans="1:28" x14ac:dyDescent="0.3">
      <c r="A21" s="28">
        <v>45474</v>
      </c>
      <c r="B21" t="s">
        <v>23</v>
      </c>
      <c r="C21" s="3">
        <v>2960</v>
      </c>
      <c r="D21" s="3">
        <v>234</v>
      </c>
      <c r="E21" s="3">
        <v>224651</v>
      </c>
      <c r="F21" s="3">
        <f>Insta!$C21-Insta!$D21</f>
        <v>2726</v>
      </c>
      <c r="G21" s="30">
        <v>1.21343773230478E-2</v>
      </c>
      <c r="H21">
        <v>17.41278694508371</v>
      </c>
      <c r="I21" s="31">
        <v>59378</v>
      </c>
      <c r="K21" s="5">
        <v>45474</v>
      </c>
      <c r="M21" s="3">
        <v>2726</v>
      </c>
      <c r="Z21" s="5">
        <v>45474</v>
      </c>
      <c r="AB21" s="3">
        <v>224651</v>
      </c>
    </row>
    <row r="22" spans="1:28" hidden="1" x14ac:dyDescent="0.3">
      <c r="A22" s="28">
        <v>45481</v>
      </c>
      <c r="B22" t="s">
        <v>41</v>
      </c>
      <c r="C22" s="3">
        <v>8045</v>
      </c>
      <c r="D22" s="3">
        <v>894</v>
      </c>
      <c r="E22" s="3">
        <v>231802</v>
      </c>
      <c r="F22" s="3">
        <f>Insta!$C22-Insta!$D22</f>
        <v>7151</v>
      </c>
      <c r="G22" s="30">
        <v>3.0849604403758401E-2</v>
      </c>
      <c r="H22">
        <v>47.634187798207087</v>
      </c>
      <c r="I22" s="31">
        <v>33705</v>
      </c>
      <c r="K22" s="5">
        <v>45481</v>
      </c>
      <c r="L22" t="s">
        <v>41</v>
      </c>
      <c r="M22" s="3">
        <v>7151</v>
      </c>
      <c r="Z22" s="5">
        <v>45481</v>
      </c>
      <c r="AB22" s="3">
        <v>231802</v>
      </c>
    </row>
    <row r="23" spans="1:28" hidden="1" x14ac:dyDescent="0.3">
      <c r="A23" s="28">
        <v>45481</v>
      </c>
      <c r="B23" t="s">
        <v>19</v>
      </c>
      <c r="C23" s="3">
        <v>2048</v>
      </c>
      <c r="D23" s="3">
        <v>130</v>
      </c>
      <c r="E23" s="3">
        <v>233720</v>
      </c>
      <c r="F23" s="3">
        <f>Insta!$C23-Insta!$D23</f>
        <v>1918</v>
      </c>
      <c r="G23" s="30">
        <v>8.2064008214958097E-3</v>
      </c>
      <c r="H23">
        <v>39.284614068115687</v>
      </c>
      <c r="I23" s="31">
        <v>11828</v>
      </c>
      <c r="K23" s="5">
        <v>45481</v>
      </c>
      <c r="L23" t="s">
        <v>19</v>
      </c>
      <c r="M23" s="3">
        <v>1918</v>
      </c>
      <c r="Z23" s="5">
        <v>45481</v>
      </c>
      <c r="AB23" s="3">
        <v>233720</v>
      </c>
    </row>
    <row r="24" spans="1:28" hidden="1" x14ac:dyDescent="0.3">
      <c r="A24" s="28">
        <v>45481</v>
      </c>
      <c r="B24" t="s">
        <v>19</v>
      </c>
      <c r="C24" s="3">
        <v>6772</v>
      </c>
      <c r="D24" s="3">
        <v>536</v>
      </c>
      <c r="E24" s="3">
        <v>239956</v>
      </c>
      <c r="F24" s="3">
        <f>Insta!$C24-Insta!$D24</f>
        <v>6236</v>
      </c>
      <c r="G24" s="30">
        <v>2.5988097817933299E-2</v>
      </c>
      <c r="H24">
        <v>9.8205504342462788</v>
      </c>
      <c r="I24" s="31">
        <v>17909</v>
      </c>
      <c r="K24" s="5">
        <v>45481</v>
      </c>
      <c r="L24" t="s">
        <v>19</v>
      </c>
      <c r="M24" s="3">
        <v>6236</v>
      </c>
      <c r="Z24" s="5">
        <v>45481</v>
      </c>
      <c r="AB24" s="3">
        <v>239956</v>
      </c>
    </row>
    <row r="25" spans="1:28" hidden="1" x14ac:dyDescent="0.3">
      <c r="A25" s="28">
        <v>45481</v>
      </c>
      <c r="B25" t="s">
        <v>19</v>
      </c>
      <c r="C25" s="3">
        <v>3529</v>
      </c>
      <c r="D25" s="3">
        <v>305</v>
      </c>
      <c r="E25" s="3">
        <v>243180</v>
      </c>
      <c r="F25" s="3">
        <f>Insta!$C25-Insta!$D25</f>
        <v>3224</v>
      </c>
      <c r="G25" s="30">
        <v>1.3257669216218401E-2</v>
      </c>
      <c r="H25">
        <v>41.606628834608109</v>
      </c>
      <c r="I25" s="31">
        <v>48356</v>
      </c>
      <c r="K25" s="5">
        <v>45481</v>
      </c>
      <c r="L25" t="s">
        <v>19</v>
      </c>
      <c r="M25" s="3">
        <v>3224</v>
      </c>
      <c r="Z25" s="5">
        <v>45481</v>
      </c>
      <c r="AB25" s="3">
        <v>243180</v>
      </c>
    </row>
    <row r="26" spans="1:28" x14ac:dyDescent="0.3">
      <c r="A26" s="28">
        <v>45488</v>
      </c>
      <c r="B26" t="s">
        <v>23</v>
      </c>
      <c r="C26" s="3">
        <v>3964</v>
      </c>
      <c r="D26" s="3">
        <v>378</v>
      </c>
      <c r="E26" s="3">
        <v>246766</v>
      </c>
      <c r="F26" s="3">
        <f>Insta!$C26-Insta!$D26</f>
        <v>3586</v>
      </c>
      <c r="G26" s="30">
        <v>1.45319857678935E-2</v>
      </c>
      <c r="H26">
        <v>13.6355899921383</v>
      </c>
      <c r="I26" s="31">
        <v>23109</v>
      </c>
      <c r="K26" s="5">
        <v>45488</v>
      </c>
      <c r="M26" s="3">
        <v>3586</v>
      </c>
      <c r="Z26" s="5">
        <v>45488</v>
      </c>
      <c r="AB26" s="3">
        <v>246766</v>
      </c>
    </row>
    <row r="27" spans="1:28" hidden="1" x14ac:dyDescent="0.3">
      <c r="A27" s="28">
        <v>45488</v>
      </c>
      <c r="B27" t="s">
        <v>41</v>
      </c>
      <c r="C27" s="3">
        <v>8137</v>
      </c>
      <c r="D27" s="3">
        <v>1045</v>
      </c>
      <c r="E27" s="3">
        <v>253858</v>
      </c>
      <c r="F27" s="3">
        <f>Insta!$C27-Insta!$D27</f>
        <v>7092</v>
      </c>
      <c r="G27" s="30">
        <v>2.79368780972039E-2</v>
      </c>
      <c r="H27">
        <v>20.47246886054408</v>
      </c>
      <c r="I27" s="31">
        <v>12023</v>
      </c>
      <c r="K27" s="5">
        <v>45488</v>
      </c>
      <c r="L27" t="s">
        <v>41</v>
      </c>
      <c r="M27" s="3">
        <v>7092</v>
      </c>
      <c r="Z27" s="5">
        <v>45488</v>
      </c>
      <c r="AB27" s="3">
        <v>253858</v>
      </c>
    </row>
    <row r="28" spans="1:28" hidden="1" x14ac:dyDescent="0.3">
      <c r="A28" s="28">
        <v>45488</v>
      </c>
      <c r="B28" t="s">
        <v>14</v>
      </c>
      <c r="C28" s="3">
        <v>1963</v>
      </c>
      <c r="D28" s="3">
        <v>137</v>
      </c>
      <c r="E28" s="3">
        <v>255684</v>
      </c>
      <c r="F28" s="3">
        <f>Insta!$C28-Insta!$D28</f>
        <v>1826</v>
      </c>
      <c r="G28" s="30">
        <v>7.1416279469970799E-3</v>
      </c>
      <c r="H28">
        <v>11.2083665774941</v>
      </c>
      <c r="I28" s="31">
        <v>24537</v>
      </c>
      <c r="K28" s="5">
        <v>45488</v>
      </c>
      <c r="L28" t="s">
        <v>14</v>
      </c>
      <c r="M28" s="3">
        <v>1826</v>
      </c>
      <c r="Z28" s="5">
        <v>45488</v>
      </c>
      <c r="AB28" s="3">
        <v>255684</v>
      </c>
    </row>
    <row r="29" spans="1:28" x14ac:dyDescent="0.3">
      <c r="A29" s="28">
        <v>45488</v>
      </c>
      <c r="B29" t="s">
        <v>23</v>
      </c>
      <c r="C29" s="3">
        <v>1536</v>
      </c>
      <c r="D29" s="3">
        <v>155</v>
      </c>
      <c r="E29" s="3">
        <v>257065</v>
      </c>
      <c r="F29" s="3">
        <f>Insta!$C29-Insta!$D29</f>
        <v>1381</v>
      </c>
      <c r="G29" s="30">
        <v>5.3721821329235798E-3</v>
      </c>
      <c r="H29">
        <v>12.15762550327738</v>
      </c>
      <c r="I29" s="31">
        <v>36661</v>
      </c>
      <c r="K29" s="5">
        <v>45488</v>
      </c>
      <c r="M29" s="3">
        <v>1381</v>
      </c>
      <c r="Z29" s="5">
        <v>45488</v>
      </c>
      <c r="AB29" s="3">
        <v>257065</v>
      </c>
    </row>
    <row r="30" spans="1:28" hidden="1" x14ac:dyDescent="0.3">
      <c r="A30" s="28">
        <v>45495</v>
      </c>
      <c r="B30" t="s">
        <v>19</v>
      </c>
      <c r="C30" s="3">
        <v>8340</v>
      </c>
      <c r="D30" s="3">
        <v>911</v>
      </c>
      <c r="E30" s="3">
        <v>264494</v>
      </c>
      <c r="F30" s="3">
        <f>Insta!$C30-Insta!$D30</f>
        <v>7429</v>
      </c>
      <c r="G30" s="30">
        <v>2.8087593669421599E-2</v>
      </c>
      <c r="H30">
        <v>37.302925586213682</v>
      </c>
      <c r="I30" s="31">
        <v>48659</v>
      </c>
      <c r="K30" s="5">
        <v>45495</v>
      </c>
      <c r="L30" t="s">
        <v>19</v>
      </c>
      <c r="M30" s="3">
        <v>7429</v>
      </c>
      <c r="Z30" s="5">
        <v>45495</v>
      </c>
      <c r="AB30" s="3">
        <v>264494</v>
      </c>
    </row>
    <row r="31" spans="1:28" hidden="1" x14ac:dyDescent="0.3">
      <c r="A31" s="28">
        <v>45495</v>
      </c>
      <c r="B31" t="s">
        <v>41</v>
      </c>
      <c r="C31" s="3">
        <v>8179</v>
      </c>
      <c r="D31" s="3">
        <v>446</v>
      </c>
      <c r="E31" s="3">
        <v>272227</v>
      </c>
      <c r="F31" s="3">
        <f>Insta!$C31-Insta!$D31</f>
        <v>7733</v>
      </c>
      <c r="G31" s="30">
        <v>2.84064402134983E-2</v>
      </c>
      <c r="H31">
        <v>41.82171496581897</v>
      </c>
      <c r="I31" s="31">
        <v>43848</v>
      </c>
      <c r="K31" s="5">
        <v>45495</v>
      </c>
      <c r="L31" t="s">
        <v>41</v>
      </c>
      <c r="M31" s="3">
        <v>7733</v>
      </c>
      <c r="Z31" s="5">
        <v>45495</v>
      </c>
      <c r="AB31" s="3">
        <v>272227</v>
      </c>
    </row>
    <row r="32" spans="1:28" hidden="1" x14ac:dyDescent="0.3">
      <c r="A32" s="28">
        <v>45495</v>
      </c>
      <c r="B32" t="s">
        <v>19</v>
      </c>
      <c r="C32" s="3">
        <v>8967</v>
      </c>
      <c r="D32" s="3">
        <v>993</v>
      </c>
      <c r="E32" s="3">
        <v>280201</v>
      </c>
      <c r="F32" s="3">
        <f>Insta!$C32-Insta!$D32</f>
        <v>7974</v>
      </c>
      <c r="G32" s="30">
        <v>2.8458142547671102E-2</v>
      </c>
      <c r="H32">
        <v>52.792102811910027</v>
      </c>
      <c r="I32" s="31">
        <v>47804</v>
      </c>
      <c r="K32" s="5">
        <v>45495</v>
      </c>
      <c r="L32" t="s">
        <v>19</v>
      </c>
      <c r="M32" s="3">
        <v>7974</v>
      </c>
      <c r="Z32" s="5">
        <v>45495</v>
      </c>
      <c r="AB32" s="3">
        <v>280201</v>
      </c>
    </row>
    <row r="33" spans="1:28" hidden="1" x14ac:dyDescent="0.3">
      <c r="A33" s="28">
        <v>45495</v>
      </c>
      <c r="B33" t="s">
        <v>14</v>
      </c>
      <c r="C33" s="3">
        <v>9734</v>
      </c>
      <c r="D33" s="3">
        <v>652</v>
      </c>
      <c r="E33" s="3">
        <v>289283</v>
      </c>
      <c r="F33" s="3">
        <f>Insta!$C33-Insta!$D33</f>
        <v>9082</v>
      </c>
      <c r="G33" s="30">
        <v>3.1394862470314498E-2</v>
      </c>
      <c r="H33">
        <v>49.647922622483861</v>
      </c>
      <c r="I33" s="31">
        <v>25379</v>
      </c>
      <c r="K33" s="5">
        <v>45495</v>
      </c>
      <c r="L33" t="s">
        <v>14</v>
      </c>
      <c r="M33" s="3">
        <v>9082</v>
      </c>
      <c r="Z33" s="5">
        <v>45495</v>
      </c>
      <c r="AB33" s="3">
        <v>289283</v>
      </c>
    </row>
    <row r="34" spans="1:28" hidden="1" x14ac:dyDescent="0.3">
      <c r="A34" s="28">
        <v>45502</v>
      </c>
      <c r="B34" t="s">
        <v>19</v>
      </c>
      <c r="C34" s="3">
        <v>1845</v>
      </c>
      <c r="D34" s="3">
        <v>104</v>
      </c>
      <c r="E34" s="3">
        <v>291024</v>
      </c>
      <c r="F34" s="3">
        <f>Insta!$C34-Insta!$D34</f>
        <v>1741</v>
      </c>
      <c r="G34" s="30">
        <v>5.9823244818296801E-3</v>
      </c>
      <c r="H34">
        <v>28.158158777282971</v>
      </c>
      <c r="I34" s="31">
        <v>37766</v>
      </c>
      <c r="K34" s="5">
        <v>45502</v>
      </c>
      <c r="L34" t="s">
        <v>19</v>
      </c>
      <c r="M34" s="3">
        <v>1741</v>
      </c>
      <c r="Z34" s="5">
        <v>45502</v>
      </c>
      <c r="AB34" s="3">
        <v>291024</v>
      </c>
    </row>
    <row r="35" spans="1:28" hidden="1" x14ac:dyDescent="0.3">
      <c r="A35" s="28">
        <v>45502</v>
      </c>
      <c r="B35" t="s">
        <v>19</v>
      </c>
      <c r="C35" s="3">
        <v>6777</v>
      </c>
      <c r="D35" s="3">
        <v>981</v>
      </c>
      <c r="E35" s="3">
        <v>296820</v>
      </c>
      <c r="F35" s="3">
        <f>Insta!$C35-Insta!$D35</f>
        <v>5796</v>
      </c>
      <c r="G35" s="30">
        <v>1.9526986052152799E-2</v>
      </c>
      <c r="H35">
        <v>23.920557913887201</v>
      </c>
      <c r="I35" s="31">
        <v>53590</v>
      </c>
      <c r="K35" s="5">
        <v>45502</v>
      </c>
      <c r="L35" t="s">
        <v>19</v>
      </c>
      <c r="M35" s="3">
        <v>5796</v>
      </c>
      <c r="Z35" s="5">
        <v>45502</v>
      </c>
      <c r="AB35" s="3">
        <v>296820</v>
      </c>
    </row>
    <row r="36" spans="1:28" hidden="1" x14ac:dyDescent="0.3">
      <c r="A36" s="28">
        <v>45502</v>
      </c>
      <c r="B36" t="s">
        <v>14</v>
      </c>
      <c r="C36" s="3">
        <v>4036</v>
      </c>
      <c r="D36" s="3">
        <v>591</v>
      </c>
      <c r="E36" s="3">
        <v>300265</v>
      </c>
      <c r="F36" s="3">
        <f>Insta!$C36-Insta!$D36</f>
        <v>3445</v>
      </c>
      <c r="G36" s="30">
        <v>1.1473198674504199E-2</v>
      </c>
      <c r="H36">
        <v>44.219272975538267</v>
      </c>
      <c r="I36" s="31">
        <v>12563</v>
      </c>
      <c r="K36" s="5">
        <v>45502</v>
      </c>
      <c r="L36" t="s">
        <v>14</v>
      </c>
      <c r="M36" s="3">
        <v>3445</v>
      </c>
      <c r="Z36" s="5">
        <v>45502</v>
      </c>
      <c r="AB36" s="3">
        <v>300265</v>
      </c>
    </row>
    <row r="37" spans="1:28" hidden="1" x14ac:dyDescent="0.3">
      <c r="A37" s="28">
        <v>45502</v>
      </c>
      <c r="B37" t="s">
        <v>41</v>
      </c>
      <c r="C37" s="3">
        <v>6947</v>
      </c>
      <c r="D37" s="3">
        <v>908</v>
      </c>
      <c r="E37" s="3">
        <v>306304</v>
      </c>
      <c r="F37" s="3">
        <f>Insta!$C37-Insta!$D37</f>
        <v>6039</v>
      </c>
      <c r="G37" s="30">
        <v>1.9715707271207701E-2</v>
      </c>
      <c r="H37">
        <v>14.117673944839121</v>
      </c>
      <c r="I37" s="31">
        <v>46060</v>
      </c>
      <c r="K37" s="5">
        <v>45502</v>
      </c>
      <c r="L37" t="s">
        <v>41</v>
      </c>
      <c r="M37" s="3">
        <v>6039</v>
      </c>
      <c r="Z37" s="5">
        <v>45502</v>
      </c>
      <c r="AB37" s="3">
        <v>306304</v>
      </c>
    </row>
    <row r="38" spans="1:28" x14ac:dyDescent="0.3">
      <c r="A38" s="28">
        <v>45509</v>
      </c>
      <c r="B38" t="s">
        <v>23</v>
      </c>
      <c r="C38" s="3">
        <v>3494</v>
      </c>
      <c r="D38" s="3">
        <v>281</v>
      </c>
      <c r="E38" s="3">
        <v>309517</v>
      </c>
      <c r="F38" s="3">
        <f>Insta!$C38-Insta!$D38</f>
        <v>3213</v>
      </c>
      <c r="G38" s="30">
        <v>1.03806899136396E-2</v>
      </c>
      <c r="H38">
        <v>27.765518533715429</v>
      </c>
      <c r="I38" s="31">
        <v>39197</v>
      </c>
      <c r="K38" s="5">
        <v>45509</v>
      </c>
      <c r="M38" s="3">
        <v>3213</v>
      </c>
      <c r="Z38" s="5">
        <v>45509</v>
      </c>
      <c r="AB38" s="3">
        <v>309517</v>
      </c>
    </row>
    <row r="39" spans="1:28" hidden="1" x14ac:dyDescent="0.3">
      <c r="A39" s="28">
        <v>45509</v>
      </c>
      <c r="B39" t="s">
        <v>41</v>
      </c>
      <c r="C39" s="3">
        <v>3719</v>
      </c>
      <c r="D39" s="3">
        <v>222</v>
      </c>
      <c r="E39" s="3">
        <v>313014</v>
      </c>
      <c r="F39" s="3">
        <f>Insta!$C39-Insta!$D39</f>
        <v>3497</v>
      </c>
      <c r="G39" s="30">
        <v>1.11720242545062E-2</v>
      </c>
      <c r="H39">
        <v>21.669318305251519</v>
      </c>
      <c r="I39" s="31">
        <v>13586</v>
      </c>
      <c r="K39" s="5">
        <v>45509</v>
      </c>
      <c r="L39" t="s">
        <v>41</v>
      </c>
      <c r="M39" s="3">
        <v>3497</v>
      </c>
      <c r="Z39" s="5">
        <v>45509</v>
      </c>
      <c r="AB39" s="3">
        <v>313014</v>
      </c>
    </row>
    <row r="40" spans="1:28" hidden="1" x14ac:dyDescent="0.3">
      <c r="A40" s="28">
        <v>45509</v>
      </c>
      <c r="B40" t="s">
        <v>14</v>
      </c>
      <c r="C40" s="3">
        <v>2884</v>
      </c>
      <c r="D40" s="3">
        <v>341</v>
      </c>
      <c r="E40" s="3">
        <v>315557</v>
      </c>
      <c r="F40" s="3">
        <f>Insta!$C40-Insta!$D40</f>
        <v>2543</v>
      </c>
      <c r="G40" s="30">
        <v>8.0587659281841292E-3</v>
      </c>
      <c r="H40">
        <v>46.999749649033298</v>
      </c>
      <c r="I40" s="31">
        <v>26087</v>
      </c>
      <c r="K40" s="5">
        <v>45509</v>
      </c>
      <c r="L40" t="s">
        <v>14</v>
      </c>
      <c r="M40" s="3">
        <v>2543</v>
      </c>
      <c r="Z40" s="5">
        <v>45509</v>
      </c>
      <c r="AB40" s="3">
        <v>315557</v>
      </c>
    </row>
    <row r="41" spans="1:28" hidden="1" x14ac:dyDescent="0.3">
      <c r="A41" s="28">
        <v>45509</v>
      </c>
      <c r="B41" t="s">
        <v>19</v>
      </c>
      <c r="C41" s="3">
        <v>5349</v>
      </c>
      <c r="D41" s="3">
        <v>502</v>
      </c>
      <c r="E41" s="3">
        <v>320404</v>
      </c>
      <c r="F41" s="3">
        <f>Insta!$C41-Insta!$D41</f>
        <v>4847</v>
      </c>
      <c r="G41" s="30">
        <v>1.51277761825695E-2</v>
      </c>
      <c r="H41">
        <v>5.2152906954969351</v>
      </c>
      <c r="I41" s="31">
        <v>58868</v>
      </c>
      <c r="K41" s="5">
        <v>45509</v>
      </c>
      <c r="L41" t="s">
        <v>19</v>
      </c>
      <c r="M41" s="3">
        <v>4847</v>
      </c>
      <c r="Z41" s="5">
        <v>45509</v>
      </c>
      <c r="AB41" s="3">
        <v>320404</v>
      </c>
    </row>
    <row r="42" spans="1:28" hidden="1" x14ac:dyDescent="0.3">
      <c r="A42" s="28">
        <v>45516</v>
      </c>
      <c r="B42" t="s">
        <v>41</v>
      </c>
      <c r="C42" s="3">
        <v>6179</v>
      </c>
      <c r="D42" s="3">
        <v>384</v>
      </c>
      <c r="E42" s="3">
        <v>326199</v>
      </c>
      <c r="F42" s="3">
        <f>Insta!$C42-Insta!$D42</f>
        <v>5795</v>
      </c>
      <c r="G42" s="30">
        <v>1.7765229200580001E-2</v>
      </c>
      <c r="H42">
        <v>14.71218489327067</v>
      </c>
      <c r="I42" s="31">
        <v>33225</v>
      </c>
      <c r="K42" s="5">
        <v>45516</v>
      </c>
      <c r="L42" t="s">
        <v>41</v>
      </c>
      <c r="M42" s="3">
        <v>5795</v>
      </c>
      <c r="Z42" s="5">
        <v>45516</v>
      </c>
      <c r="AB42" s="3">
        <v>326199</v>
      </c>
    </row>
    <row r="43" spans="1:28" x14ac:dyDescent="0.3">
      <c r="A43" s="28">
        <v>45516</v>
      </c>
      <c r="B43" t="s">
        <v>23</v>
      </c>
      <c r="C43" s="3">
        <v>7610</v>
      </c>
      <c r="D43" s="3">
        <v>757</v>
      </c>
      <c r="E43" s="3">
        <v>333052</v>
      </c>
      <c r="F43" s="3">
        <f>Insta!$C43-Insta!$D43</f>
        <v>6853</v>
      </c>
      <c r="G43" s="30">
        <v>2.0576366453286601E-2</v>
      </c>
      <c r="H43">
        <v>44.450416151231643</v>
      </c>
      <c r="I43" s="31">
        <v>39750</v>
      </c>
      <c r="K43" s="5">
        <v>45516</v>
      </c>
      <c r="M43" s="3">
        <v>6853</v>
      </c>
      <c r="Z43" s="5">
        <v>45516</v>
      </c>
      <c r="AB43" s="3">
        <v>333052</v>
      </c>
    </row>
    <row r="44" spans="1:28" hidden="1" x14ac:dyDescent="0.3">
      <c r="A44" s="28">
        <v>45516</v>
      </c>
      <c r="B44" t="s">
        <v>14</v>
      </c>
      <c r="C44" s="3">
        <v>7430</v>
      </c>
      <c r="D44" s="3">
        <v>397</v>
      </c>
      <c r="E44" s="3">
        <v>340085</v>
      </c>
      <c r="F44" s="3">
        <f>Insta!$C44-Insta!$D44</f>
        <v>7033</v>
      </c>
      <c r="G44" s="30">
        <v>2.0680124086625399E-2</v>
      </c>
      <c r="H44">
        <v>28.065042562888689</v>
      </c>
      <c r="I44" s="31">
        <v>16643</v>
      </c>
      <c r="K44" s="5">
        <v>45516</v>
      </c>
      <c r="L44" t="s">
        <v>14</v>
      </c>
      <c r="M44" s="3">
        <v>7033</v>
      </c>
      <c r="Z44" s="5">
        <v>45516</v>
      </c>
      <c r="AB44" s="3">
        <v>340085</v>
      </c>
    </row>
    <row r="45" spans="1:28" hidden="1" x14ac:dyDescent="0.3">
      <c r="A45" s="28">
        <v>45516</v>
      </c>
      <c r="B45" t="s">
        <v>41</v>
      </c>
      <c r="C45" s="3">
        <v>8154</v>
      </c>
      <c r="D45" s="3">
        <v>1149</v>
      </c>
      <c r="E45" s="3">
        <v>347090</v>
      </c>
      <c r="F45" s="3">
        <f>Insta!$C45-Insta!$D45</f>
        <v>7005</v>
      </c>
      <c r="G45" s="30">
        <v>2.0182085338096699E-2</v>
      </c>
      <c r="H45">
        <v>26.003918292085629</v>
      </c>
      <c r="I45" s="31">
        <v>37523</v>
      </c>
      <c r="K45" s="5">
        <v>45516</v>
      </c>
      <c r="L45" t="s">
        <v>41</v>
      </c>
      <c r="M45" s="3">
        <v>7005</v>
      </c>
      <c r="Z45" s="5">
        <v>45516</v>
      </c>
      <c r="AB45" s="3">
        <v>347090</v>
      </c>
    </row>
    <row r="46" spans="1:28" x14ac:dyDescent="0.3">
      <c r="A46" s="28">
        <v>45523</v>
      </c>
      <c r="B46" t="s">
        <v>23</v>
      </c>
      <c r="C46" s="3">
        <v>7488</v>
      </c>
      <c r="D46" s="3">
        <v>568</v>
      </c>
      <c r="E46" s="3">
        <v>354010</v>
      </c>
      <c r="F46" s="3">
        <f>Insta!$C46-Insta!$D46</f>
        <v>6920</v>
      </c>
      <c r="G46" s="30">
        <v>1.9547470410440401E-2</v>
      </c>
      <c r="H46">
        <v>13.47730290104799</v>
      </c>
      <c r="I46" s="31">
        <v>46727</v>
      </c>
      <c r="K46" s="5">
        <v>45523</v>
      </c>
      <c r="M46" s="3">
        <v>6920</v>
      </c>
      <c r="Z46" s="5">
        <v>45523</v>
      </c>
      <c r="AB46" s="3">
        <v>354010</v>
      </c>
    </row>
    <row r="47" spans="1:28" hidden="1" x14ac:dyDescent="0.3">
      <c r="A47" s="28">
        <v>45523</v>
      </c>
      <c r="B47" t="s">
        <v>14</v>
      </c>
      <c r="C47" s="3">
        <v>5737</v>
      </c>
      <c r="D47" s="3">
        <v>666</v>
      </c>
      <c r="E47" s="3">
        <v>359081</v>
      </c>
      <c r="F47" s="3">
        <f>Insta!$C47-Insta!$D47</f>
        <v>5071</v>
      </c>
      <c r="G47" s="30">
        <v>1.4122161852061201E-2</v>
      </c>
      <c r="H47">
        <v>4.6034181702735593</v>
      </c>
      <c r="I47" s="31">
        <v>21005</v>
      </c>
      <c r="K47" s="5">
        <v>45523</v>
      </c>
      <c r="L47" t="s">
        <v>14</v>
      </c>
      <c r="M47" s="3">
        <v>5071</v>
      </c>
      <c r="Z47" s="5">
        <v>45523</v>
      </c>
      <c r="AB47" s="3">
        <v>359081</v>
      </c>
    </row>
    <row r="48" spans="1:28" x14ac:dyDescent="0.3">
      <c r="A48" s="28">
        <v>45523</v>
      </c>
      <c r="B48" t="s">
        <v>23</v>
      </c>
      <c r="C48" s="3">
        <v>7525</v>
      </c>
      <c r="D48" s="3">
        <v>610</v>
      </c>
      <c r="E48" s="3">
        <v>365996</v>
      </c>
      <c r="F48" s="3">
        <f>Insta!$C48-Insta!$D48</f>
        <v>6915</v>
      </c>
      <c r="G48" s="30">
        <v>1.8893649110919199E-2</v>
      </c>
      <c r="H48">
        <v>5.7694619613329108</v>
      </c>
      <c r="I48" s="31">
        <v>53543</v>
      </c>
      <c r="K48" s="5">
        <v>45523</v>
      </c>
      <c r="M48" s="3">
        <v>6915</v>
      </c>
      <c r="Z48" s="5">
        <v>45523</v>
      </c>
      <c r="AB48" s="3">
        <v>365996</v>
      </c>
    </row>
    <row r="49" spans="1:28" hidden="1" x14ac:dyDescent="0.3">
      <c r="A49" s="28">
        <v>45523</v>
      </c>
      <c r="B49" t="s">
        <v>14</v>
      </c>
      <c r="C49" s="3">
        <v>4850</v>
      </c>
      <c r="D49" s="3">
        <v>494</v>
      </c>
      <c r="E49" s="3">
        <v>370352</v>
      </c>
      <c r="F49" s="3">
        <f>Insta!$C49-Insta!$D49</f>
        <v>4356</v>
      </c>
      <c r="G49" s="30">
        <v>1.1761783384455901E-2</v>
      </c>
      <c r="H49">
        <v>20.46539508359615</v>
      </c>
      <c r="I49" s="31">
        <v>10161</v>
      </c>
      <c r="K49" s="5">
        <v>45523</v>
      </c>
      <c r="L49" t="s">
        <v>14</v>
      </c>
      <c r="M49" s="3">
        <v>4356</v>
      </c>
      <c r="Z49" s="5">
        <v>45523</v>
      </c>
      <c r="AB49" s="3">
        <v>370352</v>
      </c>
    </row>
    <row r="50" spans="1:28" hidden="1" x14ac:dyDescent="0.3">
      <c r="A50" s="28">
        <v>45530</v>
      </c>
      <c r="B50" t="s">
        <v>19</v>
      </c>
      <c r="C50" s="3">
        <v>1689</v>
      </c>
      <c r="D50" s="3">
        <v>176</v>
      </c>
      <c r="E50" s="3">
        <v>371865</v>
      </c>
      <c r="F50" s="3">
        <f>Insta!$C50-Insta!$D50</f>
        <v>1513</v>
      </c>
      <c r="G50" s="30">
        <v>4.0686808384763299E-3</v>
      </c>
      <c r="H50">
        <v>38.012181840183942</v>
      </c>
      <c r="I50" s="31">
        <v>26029</v>
      </c>
      <c r="K50" s="5">
        <v>45530</v>
      </c>
      <c r="L50" t="s">
        <v>19</v>
      </c>
      <c r="M50" s="3">
        <v>1513</v>
      </c>
      <c r="Z50" s="5">
        <v>45530</v>
      </c>
      <c r="AB50" s="3">
        <v>371865</v>
      </c>
    </row>
    <row r="51" spans="1:28" hidden="1" x14ac:dyDescent="0.3">
      <c r="A51" s="28">
        <v>45530</v>
      </c>
      <c r="B51" t="s">
        <v>41</v>
      </c>
      <c r="C51" s="3">
        <v>6175</v>
      </c>
      <c r="D51" s="3">
        <v>422</v>
      </c>
      <c r="E51" s="3">
        <v>377618</v>
      </c>
      <c r="F51" s="3">
        <f>Insta!$C51-Insta!$D51</f>
        <v>5753</v>
      </c>
      <c r="G51" s="30">
        <v>1.5234972909130401E-2</v>
      </c>
      <c r="H51">
        <v>37.86101298137271</v>
      </c>
      <c r="I51" s="31">
        <v>59745</v>
      </c>
      <c r="K51" s="5">
        <v>45530</v>
      </c>
      <c r="L51" t="s">
        <v>41</v>
      </c>
      <c r="M51" s="3">
        <v>5753</v>
      </c>
      <c r="Z51" s="5">
        <v>45530</v>
      </c>
      <c r="AB51" s="3">
        <v>377618</v>
      </c>
    </row>
    <row r="52" spans="1:28" x14ac:dyDescent="0.3">
      <c r="A52" s="28">
        <v>45530</v>
      </c>
      <c r="B52" t="s">
        <v>23</v>
      </c>
      <c r="C52" s="3">
        <v>9648</v>
      </c>
      <c r="D52" s="3">
        <v>1417</v>
      </c>
      <c r="E52" s="3">
        <v>385849</v>
      </c>
      <c r="F52" s="3">
        <f>Insta!$C52-Insta!$D52</f>
        <v>8231</v>
      </c>
      <c r="G52" s="30">
        <v>2.13321791685348E-2</v>
      </c>
      <c r="H52">
        <v>3.6633501706626168</v>
      </c>
      <c r="I52" s="31">
        <v>24226</v>
      </c>
      <c r="K52" s="5">
        <v>45530</v>
      </c>
      <c r="M52" s="3">
        <v>8231</v>
      </c>
      <c r="Z52" s="5">
        <v>45530</v>
      </c>
      <c r="AB52" s="3">
        <v>385849</v>
      </c>
    </row>
    <row r="53" spans="1:28" hidden="1" x14ac:dyDescent="0.3">
      <c r="A53" s="28">
        <v>45530</v>
      </c>
      <c r="B53" t="s">
        <v>14</v>
      </c>
      <c r="C53" s="3">
        <v>6078</v>
      </c>
      <c r="D53" s="3">
        <v>775</v>
      </c>
      <c r="E53" s="3">
        <v>391152</v>
      </c>
      <c r="F53" s="3">
        <f>Insta!$C53-Insta!$D53</f>
        <v>5303</v>
      </c>
      <c r="G53" s="30">
        <v>1.35573894547388E-2</v>
      </c>
      <c r="H53">
        <v>37.760512537325639</v>
      </c>
      <c r="I53" s="31">
        <v>38731</v>
      </c>
      <c r="K53" s="5">
        <v>45530</v>
      </c>
      <c r="L53" t="s">
        <v>14</v>
      </c>
      <c r="M53" s="3">
        <v>5303</v>
      </c>
      <c r="Z53" s="5">
        <v>45530</v>
      </c>
      <c r="AB53" s="3">
        <v>391152</v>
      </c>
    </row>
    <row r="54" spans="1:28" x14ac:dyDescent="0.3">
      <c r="A54" s="28">
        <v>45537</v>
      </c>
      <c r="B54" t="s">
        <v>23</v>
      </c>
      <c r="C54" s="3">
        <v>6448</v>
      </c>
      <c r="D54" s="3">
        <v>928</v>
      </c>
      <c r="E54" s="3">
        <v>396672</v>
      </c>
      <c r="F54" s="3">
        <f>Insta!$C54-Insta!$D54</f>
        <v>5520</v>
      </c>
      <c r="G54" s="30">
        <v>1.3915779283639899E-2</v>
      </c>
      <c r="H54">
        <v>30.118586640851881</v>
      </c>
      <c r="I54" s="31">
        <v>53922</v>
      </c>
      <c r="K54" s="5">
        <v>45537</v>
      </c>
      <c r="M54" s="3">
        <v>5520</v>
      </c>
      <c r="Z54" s="5">
        <v>45537</v>
      </c>
      <c r="AB54" s="3">
        <v>396672</v>
      </c>
    </row>
    <row r="55" spans="1:28" x14ac:dyDescent="0.3">
      <c r="A55" s="28">
        <v>45537</v>
      </c>
      <c r="B55" t="s">
        <v>23</v>
      </c>
      <c r="C55" s="3">
        <v>2179</v>
      </c>
      <c r="D55" s="3">
        <v>303</v>
      </c>
      <c r="E55" s="3">
        <v>398548</v>
      </c>
      <c r="F55" s="3">
        <f>Insta!$C55-Insta!$D55</f>
        <v>1876</v>
      </c>
      <c r="G55" s="30">
        <v>4.7070867248110602E-3</v>
      </c>
      <c r="H55">
        <v>33.909842729106657</v>
      </c>
      <c r="I55" s="31">
        <v>54848</v>
      </c>
      <c r="K55" s="5">
        <v>45537</v>
      </c>
      <c r="M55" s="3">
        <v>1876</v>
      </c>
      <c r="Z55" s="5">
        <v>45537</v>
      </c>
      <c r="AB55" s="3">
        <v>398548</v>
      </c>
    </row>
    <row r="56" spans="1:28" hidden="1" x14ac:dyDescent="0.3">
      <c r="A56" s="28">
        <v>45537</v>
      </c>
      <c r="B56" t="s">
        <v>41</v>
      </c>
      <c r="C56" s="3">
        <v>7406</v>
      </c>
      <c r="D56" s="3">
        <v>813</v>
      </c>
      <c r="E56" s="3">
        <v>405141</v>
      </c>
      <c r="F56" s="3">
        <f>Insta!$C56-Insta!$D56</f>
        <v>6593</v>
      </c>
      <c r="G56" s="30">
        <v>1.62733468101229E-2</v>
      </c>
      <c r="H56">
        <v>24.457411123534769</v>
      </c>
      <c r="I56" s="31">
        <v>13390</v>
      </c>
      <c r="K56" s="5">
        <v>45537</v>
      </c>
      <c r="L56" t="s">
        <v>41</v>
      </c>
      <c r="M56" s="3">
        <v>6593</v>
      </c>
      <c r="Z56" s="5">
        <v>45537</v>
      </c>
      <c r="AB56" s="3">
        <v>405141</v>
      </c>
    </row>
    <row r="57" spans="1:28" hidden="1" x14ac:dyDescent="0.3">
      <c r="A57" s="28">
        <v>45537</v>
      </c>
      <c r="B57" t="s">
        <v>19</v>
      </c>
      <c r="C57" s="3">
        <v>9591</v>
      </c>
      <c r="D57" s="3">
        <v>1363</v>
      </c>
      <c r="E57" s="3">
        <v>413369</v>
      </c>
      <c r="F57" s="3">
        <f>Insta!$C57-Insta!$D57</f>
        <v>8228</v>
      </c>
      <c r="G57" s="30">
        <v>1.9904734026983201E-2</v>
      </c>
      <c r="H57">
        <v>10.494255737609739</v>
      </c>
      <c r="I57" s="31">
        <v>15997</v>
      </c>
      <c r="K57" s="5">
        <v>45537</v>
      </c>
      <c r="L57" t="s">
        <v>19</v>
      </c>
      <c r="M57" s="3">
        <v>8228</v>
      </c>
      <c r="Z57" s="5">
        <v>45537</v>
      </c>
      <c r="AB57" s="3">
        <v>413369</v>
      </c>
    </row>
    <row r="58" spans="1:28" x14ac:dyDescent="0.3">
      <c r="A58" s="28">
        <v>45544</v>
      </c>
      <c r="B58" t="s">
        <v>23</v>
      </c>
      <c r="C58" s="3">
        <v>7907</v>
      </c>
      <c r="D58" s="3">
        <v>465</v>
      </c>
      <c r="E58" s="3">
        <v>420811</v>
      </c>
      <c r="F58" s="3">
        <f>Insta!$C58-Insta!$D58</f>
        <v>7442</v>
      </c>
      <c r="G58" s="30">
        <v>1.76848989213685E-2</v>
      </c>
      <c r="H58">
        <v>33.257448118038738</v>
      </c>
      <c r="I58" s="31">
        <v>22693</v>
      </c>
      <c r="K58" s="5">
        <v>45544</v>
      </c>
      <c r="M58" s="3">
        <v>7442</v>
      </c>
      <c r="Z58" s="5">
        <v>45544</v>
      </c>
      <c r="AB58" s="3">
        <v>420811</v>
      </c>
    </row>
    <row r="59" spans="1:28" hidden="1" x14ac:dyDescent="0.3">
      <c r="A59" s="28">
        <v>45544</v>
      </c>
      <c r="B59" t="s">
        <v>14</v>
      </c>
      <c r="C59" s="3">
        <v>9800</v>
      </c>
      <c r="D59" s="3">
        <v>682</v>
      </c>
      <c r="E59" s="3">
        <v>429929</v>
      </c>
      <c r="F59" s="3">
        <f>Insta!$C59-Insta!$D59</f>
        <v>9118</v>
      </c>
      <c r="G59" s="30">
        <v>2.1208152974095701E-2</v>
      </c>
      <c r="H59">
        <v>6.2966210699906267</v>
      </c>
      <c r="I59" s="31">
        <v>59815</v>
      </c>
      <c r="K59" s="5">
        <v>45544</v>
      </c>
      <c r="L59" t="s">
        <v>14</v>
      </c>
      <c r="M59" s="3">
        <v>9118</v>
      </c>
      <c r="Z59" s="5">
        <v>45544</v>
      </c>
      <c r="AB59" s="3">
        <v>429929</v>
      </c>
    </row>
    <row r="60" spans="1:28" hidden="1" x14ac:dyDescent="0.3">
      <c r="A60" s="28">
        <v>45544</v>
      </c>
      <c r="B60" t="s">
        <v>14</v>
      </c>
      <c r="C60" s="3">
        <v>2638</v>
      </c>
      <c r="D60" s="3">
        <v>143</v>
      </c>
      <c r="E60" s="3">
        <v>432424</v>
      </c>
      <c r="F60" s="3">
        <f>Insta!$C60-Insta!$D60</f>
        <v>2495</v>
      </c>
      <c r="G60" s="30">
        <v>5.76980001110022E-3</v>
      </c>
      <c r="H60">
        <v>6.9547481175882924</v>
      </c>
      <c r="I60" s="31">
        <v>52092</v>
      </c>
      <c r="K60" s="5">
        <v>45544</v>
      </c>
      <c r="L60" t="s">
        <v>14</v>
      </c>
      <c r="M60" s="3">
        <v>2495</v>
      </c>
      <c r="Z60" s="5">
        <v>45544</v>
      </c>
      <c r="AB60" s="3">
        <v>432424</v>
      </c>
    </row>
    <row r="61" spans="1:28" hidden="1" x14ac:dyDescent="0.3">
      <c r="A61" s="28">
        <v>45544</v>
      </c>
      <c r="B61" t="s">
        <v>19</v>
      </c>
      <c r="C61" s="3">
        <v>6671</v>
      </c>
      <c r="D61" s="3">
        <v>550</v>
      </c>
      <c r="E61" s="3">
        <v>438545</v>
      </c>
      <c r="F61" s="3">
        <f>Insta!$C61-Insta!$D61</f>
        <v>6121</v>
      </c>
      <c r="G61" s="30">
        <v>1.3957518612685099E-2</v>
      </c>
      <c r="H61">
        <v>17.750287883797562</v>
      </c>
      <c r="I61" s="31">
        <v>10541</v>
      </c>
      <c r="K61" s="5">
        <v>45544</v>
      </c>
      <c r="L61" t="s">
        <v>19</v>
      </c>
      <c r="M61" s="3">
        <v>6121</v>
      </c>
      <c r="Z61" s="5">
        <v>45544</v>
      </c>
      <c r="AB61" s="3">
        <v>438545</v>
      </c>
    </row>
    <row r="62" spans="1:28" hidden="1" x14ac:dyDescent="0.3">
      <c r="A62" s="28">
        <v>45551</v>
      </c>
      <c r="B62" t="s">
        <v>14</v>
      </c>
      <c r="C62" s="3">
        <v>7928</v>
      </c>
      <c r="D62" s="3">
        <v>704</v>
      </c>
      <c r="E62" s="3">
        <v>445769</v>
      </c>
      <c r="F62" s="3">
        <f>Insta!$C62-Insta!$D62</f>
        <v>7224</v>
      </c>
      <c r="G62" s="30">
        <v>1.6205702953772001E-2</v>
      </c>
      <c r="H62">
        <v>11.194362999670229</v>
      </c>
      <c r="I62" s="31">
        <v>31817</v>
      </c>
      <c r="K62" s="5">
        <v>45551</v>
      </c>
      <c r="L62" t="s">
        <v>14</v>
      </c>
      <c r="M62" s="3">
        <v>7224</v>
      </c>
      <c r="Z62" s="5">
        <v>45551</v>
      </c>
      <c r="AB62" s="3">
        <v>445769</v>
      </c>
    </row>
    <row r="63" spans="1:28" hidden="1" x14ac:dyDescent="0.3">
      <c r="A63" s="28">
        <v>45551</v>
      </c>
      <c r="B63" t="s">
        <v>19</v>
      </c>
      <c r="C63" s="3">
        <v>2382</v>
      </c>
      <c r="D63" s="3">
        <v>183</v>
      </c>
      <c r="E63" s="3">
        <v>447968</v>
      </c>
      <c r="F63" s="3">
        <f>Insta!$C63-Insta!$D63</f>
        <v>2199</v>
      </c>
      <c r="G63" s="30">
        <v>4.9088327737695503E-3</v>
      </c>
      <c r="H63">
        <v>4.7335970426459033</v>
      </c>
      <c r="I63" s="31">
        <v>47861</v>
      </c>
      <c r="K63" s="5">
        <v>45551</v>
      </c>
      <c r="L63" t="s">
        <v>19</v>
      </c>
      <c r="M63" s="3">
        <v>2199</v>
      </c>
      <c r="Z63" s="5">
        <v>45551</v>
      </c>
      <c r="AB63" s="3">
        <v>447968</v>
      </c>
    </row>
    <row r="64" spans="1:28" hidden="1" x14ac:dyDescent="0.3">
      <c r="A64" s="28">
        <v>45551</v>
      </c>
      <c r="B64" t="s">
        <v>14</v>
      </c>
      <c r="C64" s="3">
        <v>2403</v>
      </c>
      <c r="D64" s="3">
        <v>319</v>
      </c>
      <c r="E64" s="3">
        <v>450052</v>
      </c>
      <c r="F64" s="3">
        <f>Insta!$C64-Insta!$D64</f>
        <v>2084</v>
      </c>
      <c r="G64" s="30">
        <v>4.63057602232631E-3</v>
      </c>
      <c r="H64">
        <v>29.92120910472568</v>
      </c>
      <c r="I64" s="31">
        <v>23428</v>
      </c>
      <c r="K64" s="5">
        <v>45551</v>
      </c>
      <c r="L64" t="s">
        <v>14</v>
      </c>
      <c r="M64" s="3">
        <v>2084</v>
      </c>
      <c r="Z64" s="5">
        <v>45551</v>
      </c>
      <c r="AB64" s="3">
        <v>450052</v>
      </c>
    </row>
    <row r="65" spans="1:28" hidden="1" x14ac:dyDescent="0.3">
      <c r="A65" s="28">
        <v>45551</v>
      </c>
      <c r="B65" t="s">
        <v>41</v>
      </c>
      <c r="C65" s="3">
        <v>4292</v>
      </c>
      <c r="D65" s="3">
        <v>367</v>
      </c>
      <c r="E65" s="3">
        <v>453977</v>
      </c>
      <c r="F65" s="3">
        <f>Insta!$C65-Insta!$D65</f>
        <v>3925</v>
      </c>
      <c r="G65" s="30">
        <v>8.6458124530537899E-3</v>
      </c>
      <c r="H65">
        <v>3.5037017293827661</v>
      </c>
      <c r="I65" s="31">
        <v>53934</v>
      </c>
      <c r="K65" s="5">
        <v>45551</v>
      </c>
      <c r="L65" t="s">
        <v>41</v>
      </c>
      <c r="M65" s="3">
        <v>3925</v>
      </c>
      <c r="Z65" s="5">
        <v>45551</v>
      </c>
      <c r="AB65" s="3">
        <v>453977</v>
      </c>
    </row>
    <row r="66" spans="1:28" x14ac:dyDescent="0.3">
      <c r="A66" s="28">
        <v>45558</v>
      </c>
      <c r="B66" t="s">
        <v>23</v>
      </c>
      <c r="C66" s="3">
        <v>1419</v>
      </c>
      <c r="D66" s="3">
        <v>110</v>
      </c>
      <c r="E66" s="3">
        <v>455286</v>
      </c>
      <c r="F66" s="3">
        <f>Insta!$C66-Insta!$D66</f>
        <v>1309</v>
      </c>
      <c r="G66" s="30">
        <v>2.8751158612388699E-3</v>
      </c>
      <c r="H66">
        <v>31.554451487636339</v>
      </c>
      <c r="I66" s="31">
        <v>58831</v>
      </c>
      <c r="K66" s="5">
        <v>45558</v>
      </c>
      <c r="M66" s="3">
        <v>1309</v>
      </c>
      <c r="Z66" s="5">
        <v>45558</v>
      </c>
      <c r="AB66" s="3">
        <v>455286</v>
      </c>
    </row>
    <row r="67" spans="1:28" hidden="1" x14ac:dyDescent="0.3">
      <c r="A67" s="28">
        <v>45558</v>
      </c>
      <c r="B67" t="s">
        <v>41</v>
      </c>
      <c r="C67" s="3">
        <v>5517</v>
      </c>
      <c r="D67" s="3">
        <v>575</v>
      </c>
      <c r="E67" s="3">
        <v>460228</v>
      </c>
      <c r="F67" s="3">
        <f>Insta!$C67-Insta!$D67</f>
        <v>4942</v>
      </c>
      <c r="G67" s="30">
        <v>1.07381558705685E-2</v>
      </c>
      <c r="H67">
        <v>29.45844233727631</v>
      </c>
      <c r="I67" s="31">
        <v>20258</v>
      </c>
      <c r="K67" s="5">
        <v>45558</v>
      </c>
      <c r="L67" t="s">
        <v>41</v>
      </c>
      <c r="M67" s="3">
        <v>4942</v>
      </c>
      <c r="Z67" s="5">
        <v>45558</v>
      </c>
      <c r="AB67" s="3">
        <v>460228</v>
      </c>
    </row>
    <row r="68" spans="1:28" x14ac:dyDescent="0.3">
      <c r="A68" s="28">
        <v>45558</v>
      </c>
      <c r="B68" t="s">
        <v>23</v>
      </c>
      <c r="C68" s="3">
        <v>4302</v>
      </c>
      <c r="D68" s="3">
        <v>275</v>
      </c>
      <c r="E68" s="3">
        <v>464255</v>
      </c>
      <c r="F68" s="3">
        <f>Insta!$C68-Insta!$D68</f>
        <v>4027</v>
      </c>
      <c r="G68" s="30">
        <v>8.6741122874282404E-3</v>
      </c>
      <c r="H68">
        <v>15.72131694865968</v>
      </c>
      <c r="I68" s="31">
        <v>26044</v>
      </c>
      <c r="K68" s="5">
        <v>45558</v>
      </c>
      <c r="M68" s="3">
        <v>4027</v>
      </c>
      <c r="Z68" s="5">
        <v>45558</v>
      </c>
      <c r="AB68" s="3">
        <v>464255</v>
      </c>
    </row>
    <row r="69" spans="1:28" x14ac:dyDescent="0.3">
      <c r="A69" s="28">
        <v>45558</v>
      </c>
      <c r="B69" t="s">
        <v>23</v>
      </c>
      <c r="C69" s="3">
        <v>8857</v>
      </c>
      <c r="D69" s="3">
        <v>1153</v>
      </c>
      <c r="E69" s="3">
        <v>471959</v>
      </c>
      <c r="F69" s="3">
        <f>Insta!$C69-Insta!$D69</f>
        <v>7704</v>
      </c>
      <c r="G69" s="30">
        <v>1.6323451825264498E-2</v>
      </c>
      <c r="H69">
        <v>19.214592793018038</v>
      </c>
      <c r="I69" s="31">
        <v>39411</v>
      </c>
      <c r="K69" s="5">
        <v>45558</v>
      </c>
      <c r="M69" s="3">
        <v>7704</v>
      </c>
      <c r="Z69" s="5">
        <v>45558</v>
      </c>
      <c r="AB69" s="3">
        <v>471959</v>
      </c>
    </row>
    <row r="70" spans="1:28" x14ac:dyDescent="0.3">
      <c r="A70" s="28">
        <v>45565</v>
      </c>
      <c r="B70" t="s">
        <v>23</v>
      </c>
      <c r="C70" s="3">
        <v>8870</v>
      </c>
      <c r="D70" s="3">
        <v>509</v>
      </c>
      <c r="E70" s="3">
        <v>480320</v>
      </c>
      <c r="F70" s="3">
        <f>Insta!$C70-Insta!$D70</f>
        <v>8361</v>
      </c>
      <c r="G70" s="30">
        <v>1.7407145236508999E-2</v>
      </c>
      <c r="H70">
        <v>25.077864756828781</v>
      </c>
      <c r="I70" s="31">
        <v>15469</v>
      </c>
      <c r="K70" s="5">
        <v>45565</v>
      </c>
      <c r="M70" s="3">
        <v>8361</v>
      </c>
      <c r="Z70" s="5">
        <v>45565</v>
      </c>
      <c r="AB70" s="3">
        <v>480320</v>
      </c>
    </row>
    <row r="71" spans="1:28" hidden="1" x14ac:dyDescent="0.3">
      <c r="A71" s="28">
        <v>45565</v>
      </c>
      <c r="B71" t="s">
        <v>41</v>
      </c>
      <c r="C71" s="3">
        <v>6693</v>
      </c>
      <c r="D71" s="3">
        <v>995</v>
      </c>
      <c r="E71" s="3">
        <v>486018</v>
      </c>
      <c r="F71" s="3">
        <f>Insta!$C71-Insta!$D71</f>
        <v>5698</v>
      </c>
      <c r="G71" s="30">
        <v>1.1723845618886499E-2</v>
      </c>
      <c r="H71">
        <v>23.761877132122681</v>
      </c>
      <c r="I71" s="31">
        <v>38854</v>
      </c>
      <c r="K71" s="5">
        <v>45565</v>
      </c>
      <c r="L71" t="s">
        <v>41</v>
      </c>
      <c r="M71" s="3">
        <v>5698</v>
      </c>
      <c r="Z71" s="5">
        <v>45565</v>
      </c>
      <c r="AB71" s="3">
        <v>486018</v>
      </c>
    </row>
    <row r="72" spans="1:28" x14ac:dyDescent="0.3">
      <c r="A72" s="28">
        <v>45565</v>
      </c>
      <c r="B72" t="s">
        <v>23</v>
      </c>
      <c r="C72" s="3">
        <v>1767</v>
      </c>
      <c r="D72" s="3">
        <v>224</v>
      </c>
      <c r="E72" s="3">
        <v>487561</v>
      </c>
      <c r="F72" s="3">
        <f>Insta!$C72-Insta!$D72</f>
        <v>1543</v>
      </c>
      <c r="G72" s="30">
        <v>3.1647322078673201E-3</v>
      </c>
      <c r="H72">
        <v>13.208603641390511</v>
      </c>
      <c r="I72" s="31">
        <v>16256</v>
      </c>
      <c r="K72" s="5">
        <v>45565</v>
      </c>
      <c r="M72" s="3">
        <v>1543</v>
      </c>
      <c r="Z72" s="5">
        <v>45565</v>
      </c>
      <c r="AB72" s="3">
        <v>487561</v>
      </c>
    </row>
    <row r="73" spans="1:28" hidden="1" x14ac:dyDescent="0.3">
      <c r="A73" s="28">
        <v>45565</v>
      </c>
      <c r="B73" t="s">
        <v>41</v>
      </c>
      <c r="C73" s="3">
        <v>3044</v>
      </c>
      <c r="D73" s="3">
        <v>212</v>
      </c>
      <c r="E73" s="3">
        <v>490393</v>
      </c>
      <c r="F73" s="3">
        <f>Insta!$C73-Insta!$D73</f>
        <v>2832</v>
      </c>
      <c r="G73" s="30">
        <v>5.7749600830354396E-3</v>
      </c>
      <c r="H73">
        <v>8.5343795690395261</v>
      </c>
      <c r="I73" s="31">
        <v>20720</v>
      </c>
      <c r="K73" s="5">
        <v>45565</v>
      </c>
      <c r="L73" t="s">
        <v>41</v>
      </c>
      <c r="M73" s="3">
        <v>2832</v>
      </c>
      <c r="Z73" s="5">
        <v>45565</v>
      </c>
      <c r="AB73" s="3">
        <v>490393</v>
      </c>
    </row>
    <row r="74" spans="1:28" hidden="1" x14ac:dyDescent="0.3">
      <c r="A74" s="28">
        <v>45572</v>
      </c>
      <c r="B74" t="s">
        <v>19</v>
      </c>
      <c r="C74" s="3">
        <v>2549</v>
      </c>
      <c r="D74" s="3">
        <v>128</v>
      </c>
      <c r="E74" s="3">
        <v>492814</v>
      </c>
      <c r="F74" s="3">
        <f>Insta!$C74-Insta!$D74</f>
        <v>2421</v>
      </c>
      <c r="G74" s="30">
        <v>4.9126039438814597E-3</v>
      </c>
      <c r="H74">
        <v>12.734216154573531</v>
      </c>
      <c r="I74" s="31">
        <v>43937</v>
      </c>
      <c r="K74" s="5">
        <v>45572</v>
      </c>
      <c r="L74" t="s">
        <v>19</v>
      </c>
      <c r="M74" s="3">
        <v>2421</v>
      </c>
      <c r="Z74" s="5">
        <v>45572</v>
      </c>
      <c r="AB74" s="3">
        <v>492814</v>
      </c>
    </row>
    <row r="75" spans="1:28" hidden="1" x14ac:dyDescent="0.3">
      <c r="A75" s="28">
        <v>45572</v>
      </c>
      <c r="B75" t="s">
        <v>14</v>
      </c>
      <c r="C75" s="3">
        <v>7140</v>
      </c>
      <c r="D75" s="3">
        <v>939</v>
      </c>
      <c r="E75" s="3">
        <v>499015</v>
      </c>
      <c r="F75" s="3">
        <f>Insta!$C75-Insta!$D75</f>
        <v>6201</v>
      </c>
      <c r="G75" s="30">
        <v>1.2426480165926901E-2</v>
      </c>
      <c r="H75">
        <v>25.120888149654821</v>
      </c>
      <c r="I75" s="31">
        <v>43598</v>
      </c>
      <c r="K75" s="5">
        <v>45572</v>
      </c>
      <c r="L75" t="s">
        <v>14</v>
      </c>
      <c r="M75" s="3">
        <v>6201</v>
      </c>
      <c r="Z75" s="5">
        <v>45572</v>
      </c>
      <c r="AB75" s="3">
        <v>499015</v>
      </c>
    </row>
    <row r="76" spans="1:28" hidden="1" x14ac:dyDescent="0.3">
      <c r="A76" s="28">
        <v>45572</v>
      </c>
      <c r="B76" t="s">
        <v>14</v>
      </c>
      <c r="C76" s="3">
        <v>4716</v>
      </c>
      <c r="D76" s="3">
        <v>569</v>
      </c>
      <c r="E76" s="3">
        <v>503162</v>
      </c>
      <c r="F76" s="3">
        <f>Insta!$C76-Insta!$D76</f>
        <v>4147</v>
      </c>
      <c r="G76" s="30">
        <v>8.2418783612434997E-3</v>
      </c>
      <c r="H76">
        <v>25.64820077827817</v>
      </c>
      <c r="I76" s="31">
        <v>11651</v>
      </c>
      <c r="K76" s="5">
        <v>45572</v>
      </c>
      <c r="L76" t="s">
        <v>14</v>
      </c>
      <c r="M76" s="3">
        <v>4147</v>
      </c>
      <c r="Z76" s="5">
        <v>45572</v>
      </c>
      <c r="AB76" s="3">
        <v>503162</v>
      </c>
    </row>
    <row r="77" spans="1:28" x14ac:dyDescent="0.3">
      <c r="A77" s="28">
        <v>45572</v>
      </c>
      <c r="B77" t="s">
        <v>23</v>
      </c>
      <c r="C77" s="3">
        <v>5481</v>
      </c>
      <c r="D77" s="3">
        <v>673</v>
      </c>
      <c r="E77" s="3">
        <v>507970</v>
      </c>
      <c r="F77" s="3">
        <f>Insta!$C77-Insta!$D77</f>
        <v>4808</v>
      </c>
      <c r="G77" s="30">
        <v>9.4651258932614106E-3</v>
      </c>
      <c r="H77">
        <v>13.08758391243577</v>
      </c>
      <c r="I77" s="31">
        <v>29194</v>
      </c>
      <c r="K77" s="5">
        <v>45572</v>
      </c>
      <c r="M77" s="3">
        <v>4808</v>
      </c>
      <c r="Z77" s="5">
        <v>45572</v>
      </c>
      <c r="AB77" s="3">
        <v>507970</v>
      </c>
    </row>
    <row r="78" spans="1:28" hidden="1" x14ac:dyDescent="0.3">
      <c r="A78" s="28">
        <v>45579</v>
      </c>
      <c r="B78" t="s">
        <v>41</v>
      </c>
      <c r="C78" s="3">
        <v>8898</v>
      </c>
      <c r="D78" s="3">
        <v>1131</v>
      </c>
      <c r="E78" s="3">
        <v>515737</v>
      </c>
      <c r="F78" s="3">
        <f>Insta!$C78-Insta!$D78</f>
        <v>7767</v>
      </c>
      <c r="G78" s="30">
        <v>1.50600015123988E-2</v>
      </c>
      <c r="H78">
        <v>2.1877429775253669</v>
      </c>
      <c r="I78" s="31">
        <v>35051</v>
      </c>
      <c r="K78" s="5">
        <v>45579</v>
      </c>
      <c r="L78" t="s">
        <v>41</v>
      </c>
      <c r="M78" s="3">
        <v>7767</v>
      </c>
      <c r="Z78" s="5">
        <v>45579</v>
      </c>
      <c r="AB78" s="3">
        <v>515737</v>
      </c>
    </row>
    <row r="79" spans="1:28" hidden="1" x14ac:dyDescent="0.3">
      <c r="A79" s="28">
        <v>45579</v>
      </c>
      <c r="B79" t="s">
        <v>14</v>
      </c>
      <c r="C79" s="3">
        <v>7548</v>
      </c>
      <c r="D79" s="3">
        <v>433</v>
      </c>
      <c r="E79" s="3">
        <v>522852</v>
      </c>
      <c r="F79" s="3">
        <f>Insta!$C79-Insta!$D79</f>
        <v>7115</v>
      </c>
      <c r="G79" s="30">
        <v>1.36080573470122E-2</v>
      </c>
      <c r="H79">
        <v>8.3562843787534522</v>
      </c>
      <c r="I79" s="31">
        <v>37386</v>
      </c>
      <c r="K79" s="5">
        <v>45579</v>
      </c>
      <c r="L79" t="s">
        <v>14</v>
      </c>
      <c r="M79" s="3">
        <v>7115</v>
      </c>
      <c r="Z79" s="5">
        <v>45579</v>
      </c>
      <c r="AB79" s="3">
        <v>522852</v>
      </c>
    </row>
    <row r="80" spans="1:28" hidden="1" x14ac:dyDescent="0.3">
      <c r="A80" s="28">
        <v>45579</v>
      </c>
      <c r="B80" t="s">
        <v>41</v>
      </c>
      <c r="C80" s="3">
        <v>3293</v>
      </c>
      <c r="D80" s="3">
        <v>282</v>
      </c>
      <c r="E80" s="3">
        <v>525863</v>
      </c>
      <c r="F80" s="3">
        <f>Insta!$C80-Insta!$D80</f>
        <v>3011</v>
      </c>
      <c r="G80" s="30">
        <v>5.7258259280459E-3</v>
      </c>
      <c r="H80">
        <v>27.040693108281051</v>
      </c>
      <c r="I80" s="31">
        <v>19518</v>
      </c>
      <c r="K80" s="5">
        <v>45579</v>
      </c>
      <c r="L80" t="s">
        <v>41</v>
      </c>
      <c r="M80" s="3">
        <v>3011</v>
      </c>
      <c r="Z80" s="5">
        <v>45579</v>
      </c>
      <c r="AB80" s="3">
        <v>525863</v>
      </c>
    </row>
    <row r="81" spans="1:28" hidden="1" x14ac:dyDescent="0.3">
      <c r="A81" s="28">
        <v>45579</v>
      </c>
      <c r="B81" t="s">
        <v>41</v>
      </c>
      <c r="C81" s="3">
        <v>5837</v>
      </c>
      <c r="D81" s="3">
        <v>359</v>
      </c>
      <c r="E81" s="3">
        <v>531341</v>
      </c>
      <c r="F81" s="3">
        <f>Insta!$C81-Insta!$D81</f>
        <v>5478</v>
      </c>
      <c r="G81" s="30">
        <v>1.03097634099383E-2</v>
      </c>
      <c r="H81">
        <v>6.8073045370110723</v>
      </c>
      <c r="I81" s="31">
        <v>56026</v>
      </c>
      <c r="K81" s="5">
        <v>45579</v>
      </c>
      <c r="L81" t="s">
        <v>41</v>
      </c>
      <c r="M81" s="3">
        <v>5478</v>
      </c>
      <c r="Z81" s="5">
        <v>45579</v>
      </c>
      <c r="AB81" s="3">
        <v>531341</v>
      </c>
    </row>
    <row r="82" spans="1:28" x14ac:dyDescent="0.3">
      <c r="A82" s="28">
        <v>45586</v>
      </c>
      <c r="B82" t="s">
        <v>23</v>
      </c>
      <c r="C82" s="3">
        <v>8758</v>
      </c>
      <c r="D82" s="3">
        <v>1193</v>
      </c>
      <c r="E82" s="3">
        <v>538906</v>
      </c>
      <c r="F82" s="3">
        <f>Insta!$C82-Insta!$D82</f>
        <v>7565</v>
      </c>
      <c r="G82" s="30">
        <v>1.40376985967868E-2</v>
      </c>
      <c r="H82">
        <v>3.4213758985797149</v>
      </c>
      <c r="I82" s="31">
        <v>26184</v>
      </c>
      <c r="K82" s="5">
        <v>45586</v>
      </c>
      <c r="M82" s="3">
        <v>7565</v>
      </c>
      <c r="Z82" s="5">
        <v>45586</v>
      </c>
      <c r="AB82" s="3">
        <v>538906</v>
      </c>
    </row>
    <row r="83" spans="1:28" hidden="1" x14ac:dyDescent="0.3">
      <c r="A83" s="28">
        <v>45586</v>
      </c>
      <c r="B83" t="s">
        <v>14</v>
      </c>
      <c r="C83" s="3">
        <v>7793</v>
      </c>
      <c r="D83" s="3">
        <v>875</v>
      </c>
      <c r="E83" s="3">
        <v>545824</v>
      </c>
      <c r="F83" s="3">
        <f>Insta!$C83-Insta!$D83</f>
        <v>6918</v>
      </c>
      <c r="G83" s="30">
        <v>1.26744151961072E-2</v>
      </c>
      <c r="H83">
        <v>5.5136820660139527</v>
      </c>
      <c r="I83" s="31">
        <v>43787</v>
      </c>
      <c r="K83" s="5">
        <v>45586</v>
      </c>
      <c r="L83" t="s">
        <v>14</v>
      </c>
      <c r="M83" s="3">
        <v>6918</v>
      </c>
      <c r="Z83" s="5">
        <v>45586</v>
      </c>
      <c r="AB83" s="3">
        <v>545824</v>
      </c>
    </row>
    <row r="84" spans="1:28" x14ac:dyDescent="0.3">
      <c r="A84" s="28">
        <v>45586</v>
      </c>
      <c r="B84" t="s">
        <v>23</v>
      </c>
      <c r="C84" s="3">
        <v>8638</v>
      </c>
      <c r="D84" s="3">
        <v>717</v>
      </c>
      <c r="E84" s="3">
        <v>553745</v>
      </c>
      <c r="F84" s="3">
        <f>Insta!$C84-Insta!$D84</f>
        <v>7921</v>
      </c>
      <c r="G84" s="30">
        <v>1.4304418098583301E-2</v>
      </c>
      <c r="H84">
        <v>26.921416897669499</v>
      </c>
      <c r="I84" s="31">
        <v>31621</v>
      </c>
      <c r="K84" s="5">
        <v>45586</v>
      </c>
      <c r="M84" s="3">
        <v>7921</v>
      </c>
      <c r="Z84" s="5">
        <v>45586</v>
      </c>
      <c r="AB84" s="3">
        <v>553745</v>
      </c>
    </row>
    <row r="85" spans="1:28" x14ac:dyDescent="0.3">
      <c r="A85" s="28">
        <v>45586</v>
      </c>
      <c r="B85" t="s">
        <v>23</v>
      </c>
      <c r="C85" s="3">
        <v>8993</v>
      </c>
      <c r="D85" s="3">
        <v>506</v>
      </c>
      <c r="E85" s="3">
        <v>562232</v>
      </c>
      <c r="F85" s="3">
        <f>Insta!$C85-Insta!$D85</f>
        <v>8487</v>
      </c>
      <c r="G85" s="30">
        <v>1.5095192020375899E-2</v>
      </c>
      <c r="H85">
        <v>3.5131404829323132</v>
      </c>
      <c r="I85" s="31">
        <v>20028</v>
      </c>
      <c r="K85" s="5">
        <v>45586</v>
      </c>
      <c r="M85" s="3">
        <v>8487</v>
      </c>
      <c r="Z85" s="5">
        <v>45586</v>
      </c>
      <c r="AB85" s="3">
        <v>562232</v>
      </c>
    </row>
    <row r="86" spans="1:28" hidden="1" x14ac:dyDescent="0.3">
      <c r="A86" s="28">
        <v>45593</v>
      </c>
      <c r="B86" t="s">
        <v>14</v>
      </c>
      <c r="C86" s="3">
        <v>7007</v>
      </c>
      <c r="D86" s="3">
        <v>568</v>
      </c>
      <c r="E86" s="3">
        <v>568671</v>
      </c>
      <c r="F86" s="3">
        <f>Insta!$C86-Insta!$D86</f>
        <v>6439</v>
      </c>
      <c r="G86" s="30">
        <v>1.13228914433829E-2</v>
      </c>
      <c r="H86">
        <v>11.50507059442103</v>
      </c>
      <c r="I86" s="31">
        <v>22448</v>
      </c>
      <c r="K86" s="5">
        <v>45593</v>
      </c>
      <c r="L86" t="s">
        <v>14</v>
      </c>
      <c r="M86" s="3">
        <v>6439</v>
      </c>
      <c r="Z86" s="5">
        <v>45593</v>
      </c>
      <c r="AB86" s="3">
        <v>568671</v>
      </c>
    </row>
    <row r="87" spans="1:28" hidden="1" x14ac:dyDescent="0.3">
      <c r="A87" s="28">
        <v>45593</v>
      </c>
      <c r="B87" t="s">
        <v>14</v>
      </c>
      <c r="C87" s="3">
        <v>6542</v>
      </c>
      <c r="D87" s="3">
        <v>539</v>
      </c>
      <c r="E87" s="3">
        <v>574674</v>
      </c>
      <c r="F87" s="3">
        <f>Insta!$C87-Insta!$D87</f>
        <v>6003</v>
      </c>
      <c r="G87" s="30">
        <v>1.04459223838211E-2</v>
      </c>
      <c r="H87">
        <v>6.4069368024305948</v>
      </c>
      <c r="I87" s="31">
        <v>55253</v>
      </c>
      <c r="K87" s="5">
        <v>45593</v>
      </c>
      <c r="L87" t="s">
        <v>14</v>
      </c>
      <c r="M87" s="3">
        <v>6003</v>
      </c>
      <c r="Z87" s="5">
        <v>45593</v>
      </c>
      <c r="AB87" s="3">
        <v>574674</v>
      </c>
    </row>
    <row r="88" spans="1:28" hidden="1" x14ac:dyDescent="0.3">
      <c r="A88" s="28">
        <v>45593</v>
      </c>
      <c r="B88" t="s">
        <v>19</v>
      </c>
      <c r="C88" s="3">
        <v>7356</v>
      </c>
      <c r="D88" s="3">
        <v>904</v>
      </c>
      <c r="E88" s="3">
        <v>581126</v>
      </c>
      <c r="F88" s="3">
        <f>Insta!$C88-Insta!$D88</f>
        <v>6452</v>
      </c>
      <c r="G88" s="30">
        <v>1.1102583604932501E-2</v>
      </c>
      <c r="H88">
        <v>17.560907617280929</v>
      </c>
      <c r="I88" s="31">
        <v>44051</v>
      </c>
      <c r="K88" s="5">
        <v>45593</v>
      </c>
      <c r="L88" t="s">
        <v>19</v>
      </c>
      <c r="M88" s="3">
        <v>6452</v>
      </c>
      <c r="Z88" s="5">
        <v>45593</v>
      </c>
      <c r="AB88" s="3">
        <v>581126</v>
      </c>
    </row>
    <row r="89" spans="1:28" hidden="1" x14ac:dyDescent="0.3">
      <c r="A89" s="28">
        <v>45593</v>
      </c>
      <c r="B89" t="s">
        <v>19</v>
      </c>
      <c r="C89" s="3">
        <v>9433</v>
      </c>
      <c r="D89" s="3">
        <v>1073</v>
      </c>
      <c r="E89" s="3">
        <v>589486</v>
      </c>
      <c r="F89" s="3">
        <f>Insta!$C89-Insta!$D89</f>
        <v>8360</v>
      </c>
      <c r="G89" s="30">
        <v>1.4181846557848699E-2</v>
      </c>
      <c r="H89">
        <v>7.2934726185185053</v>
      </c>
      <c r="I89" s="31">
        <v>59811</v>
      </c>
      <c r="K89" s="5">
        <v>45593</v>
      </c>
      <c r="L89" t="s">
        <v>19</v>
      </c>
      <c r="M89" s="3">
        <v>8360</v>
      </c>
      <c r="Z89" s="5">
        <v>45593</v>
      </c>
      <c r="AB89" s="3">
        <v>589486</v>
      </c>
    </row>
    <row r="90" spans="1:28" hidden="1" x14ac:dyDescent="0.3">
      <c r="A90" s="28">
        <v>45600</v>
      </c>
      <c r="B90" t="s">
        <v>41</v>
      </c>
      <c r="C90" s="3">
        <v>8380</v>
      </c>
      <c r="D90" s="3">
        <v>1162</v>
      </c>
      <c r="E90" s="3">
        <v>596704</v>
      </c>
      <c r="F90" s="3">
        <f>Insta!$C90-Insta!$D90</f>
        <v>7218</v>
      </c>
      <c r="G90" s="30">
        <v>1.2096449831072E-2</v>
      </c>
      <c r="H90">
        <v>18.05853488496809</v>
      </c>
      <c r="I90" s="31">
        <v>40447</v>
      </c>
      <c r="K90" s="5">
        <v>45600</v>
      </c>
      <c r="L90" t="s">
        <v>41</v>
      </c>
      <c r="M90" s="3">
        <v>7218</v>
      </c>
      <c r="Z90" s="5">
        <v>45600</v>
      </c>
      <c r="AB90" s="3">
        <v>596704</v>
      </c>
    </row>
    <row r="91" spans="1:28" hidden="1" x14ac:dyDescent="0.3">
      <c r="A91" s="28">
        <v>45600</v>
      </c>
      <c r="B91" t="s">
        <v>14</v>
      </c>
      <c r="C91" s="3">
        <v>3385</v>
      </c>
      <c r="D91" s="3">
        <v>329</v>
      </c>
      <c r="E91" s="3">
        <v>599760</v>
      </c>
      <c r="F91" s="3">
        <f>Insta!$C91-Insta!$D91</f>
        <v>3056</v>
      </c>
      <c r="G91" s="30">
        <v>5.0953714819261002E-3</v>
      </c>
      <c r="H91">
        <v>17.61788048552755</v>
      </c>
      <c r="I91" s="31">
        <v>28394</v>
      </c>
      <c r="K91" s="5">
        <v>45600</v>
      </c>
      <c r="L91" t="s">
        <v>14</v>
      </c>
      <c r="M91" s="3">
        <v>3056</v>
      </c>
      <c r="Z91" s="5">
        <v>45600</v>
      </c>
      <c r="AB91" s="3">
        <v>599760</v>
      </c>
    </row>
    <row r="92" spans="1:28" hidden="1" x14ac:dyDescent="0.3">
      <c r="A92" s="28">
        <v>45600</v>
      </c>
      <c r="B92" t="s">
        <v>19</v>
      </c>
      <c r="C92" s="3">
        <v>5268</v>
      </c>
      <c r="D92" s="3">
        <v>326</v>
      </c>
      <c r="E92" s="3">
        <v>604702</v>
      </c>
      <c r="F92" s="3">
        <f>Insta!$C92-Insta!$D92</f>
        <v>4942</v>
      </c>
      <c r="G92" s="30">
        <v>8.17262056351724E-3</v>
      </c>
      <c r="H92">
        <v>23.435841125050029</v>
      </c>
      <c r="I92" s="31">
        <v>44501</v>
      </c>
      <c r="K92" s="5">
        <v>45600</v>
      </c>
      <c r="L92" t="s">
        <v>19</v>
      </c>
      <c r="M92" s="3">
        <v>4942</v>
      </c>
      <c r="Z92" s="5">
        <v>45600</v>
      </c>
      <c r="AB92" s="3">
        <v>604702</v>
      </c>
    </row>
    <row r="93" spans="1:28" hidden="1" x14ac:dyDescent="0.3">
      <c r="A93" s="28">
        <v>45600</v>
      </c>
      <c r="B93" t="s">
        <v>41</v>
      </c>
      <c r="C93" s="3">
        <v>1671</v>
      </c>
      <c r="D93" s="3">
        <v>202</v>
      </c>
      <c r="E93" s="3">
        <v>606171</v>
      </c>
      <c r="F93" s="3">
        <f>Insta!$C93-Insta!$D93</f>
        <v>1469</v>
      </c>
      <c r="G93" s="30">
        <v>2.42340857612786E-3</v>
      </c>
      <c r="H93">
        <v>15.150015424690389</v>
      </c>
      <c r="I93" s="31">
        <v>40254</v>
      </c>
      <c r="K93" s="5">
        <v>45600</v>
      </c>
      <c r="L93" t="s">
        <v>41</v>
      </c>
      <c r="M93" s="3">
        <v>1469</v>
      </c>
      <c r="Z93" s="5">
        <v>45600</v>
      </c>
      <c r="AB93" s="3">
        <v>606171</v>
      </c>
    </row>
    <row r="94" spans="1:28" hidden="1" x14ac:dyDescent="0.3">
      <c r="A94" s="28">
        <v>45607</v>
      </c>
      <c r="B94" t="s">
        <v>41</v>
      </c>
      <c r="C94" s="3">
        <v>1163</v>
      </c>
      <c r="D94" s="3">
        <v>146</v>
      </c>
      <c r="E94" s="3">
        <v>607188</v>
      </c>
      <c r="F94" s="3">
        <f>Insta!$C94-Insta!$D94</f>
        <v>1017</v>
      </c>
      <c r="G94" s="30">
        <v>1.6749342872388799E-3</v>
      </c>
      <c r="H94">
        <v>21.77776899411715</v>
      </c>
      <c r="I94" s="31">
        <v>28509</v>
      </c>
      <c r="K94" s="5">
        <v>45607</v>
      </c>
      <c r="L94" t="s">
        <v>41</v>
      </c>
      <c r="M94" s="3">
        <v>1017</v>
      </c>
      <c r="Z94" s="5">
        <v>45607</v>
      </c>
      <c r="AB94" s="3">
        <v>607188</v>
      </c>
    </row>
    <row r="95" spans="1:28" hidden="1" x14ac:dyDescent="0.3">
      <c r="A95" s="28">
        <v>45607</v>
      </c>
      <c r="B95" t="s">
        <v>41</v>
      </c>
      <c r="C95" s="3">
        <v>9656</v>
      </c>
      <c r="D95" s="3">
        <v>1024</v>
      </c>
      <c r="E95" s="3">
        <v>615820</v>
      </c>
      <c r="F95" s="3">
        <f>Insta!$C95-Insta!$D95</f>
        <v>8632</v>
      </c>
      <c r="G95" s="30">
        <v>1.40170829138385E-2</v>
      </c>
      <c r="H95">
        <v>8.7252768666168681</v>
      </c>
      <c r="I95" s="31">
        <v>58998</v>
      </c>
      <c r="K95" s="5">
        <v>45607</v>
      </c>
      <c r="L95" t="s">
        <v>41</v>
      </c>
      <c r="M95" s="3">
        <v>8632</v>
      </c>
      <c r="Z95" s="5">
        <v>45607</v>
      </c>
      <c r="AB95" s="3">
        <v>615820</v>
      </c>
    </row>
    <row r="96" spans="1:28" hidden="1" x14ac:dyDescent="0.3">
      <c r="A96" s="28">
        <v>45607</v>
      </c>
      <c r="B96" t="s">
        <v>19</v>
      </c>
      <c r="C96" s="3">
        <v>5592</v>
      </c>
      <c r="D96" s="3">
        <v>710</v>
      </c>
      <c r="E96" s="3">
        <v>620702</v>
      </c>
      <c r="F96" s="3">
        <f>Insta!$C96-Insta!$D96</f>
        <v>4882</v>
      </c>
      <c r="G96" s="30">
        <v>7.86528801260508E-3</v>
      </c>
      <c r="H96">
        <v>9.07118069540617</v>
      </c>
      <c r="I96" s="31">
        <v>24472</v>
      </c>
      <c r="K96" s="5">
        <v>45607</v>
      </c>
      <c r="L96" t="s">
        <v>19</v>
      </c>
      <c r="M96" s="3">
        <v>4882</v>
      </c>
      <c r="Z96" s="5">
        <v>45607</v>
      </c>
      <c r="AB96" s="3">
        <v>620702</v>
      </c>
    </row>
    <row r="97" spans="1:28" hidden="1" x14ac:dyDescent="0.3">
      <c r="A97" s="28">
        <v>45607</v>
      </c>
      <c r="B97" t="s">
        <v>14</v>
      </c>
      <c r="C97" s="3">
        <v>5795</v>
      </c>
      <c r="D97" s="3">
        <v>575</v>
      </c>
      <c r="E97" s="3">
        <v>625922</v>
      </c>
      <c r="F97" s="3">
        <f>Insta!$C97-Insta!$D97</f>
        <v>5220</v>
      </c>
      <c r="G97" s="30">
        <v>8.3396972785746391E-3</v>
      </c>
      <c r="H97">
        <v>3.0908004511744269</v>
      </c>
      <c r="I97" s="31">
        <v>55657</v>
      </c>
      <c r="K97" s="5">
        <v>45607</v>
      </c>
      <c r="L97" t="s">
        <v>14</v>
      </c>
      <c r="M97" s="3">
        <v>5220</v>
      </c>
      <c r="Z97" s="5">
        <v>45607</v>
      </c>
      <c r="AB97" s="3">
        <v>625922</v>
      </c>
    </row>
    <row r="98" spans="1:28" x14ac:dyDescent="0.3">
      <c r="A98" s="28">
        <v>45614</v>
      </c>
      <c r="B98" t="s">
        <v>23</v>
      </c>
      <c r="C98" s="3">
        <v>5798</v>
      </c>
      <c r="D98" s="3">
        <v>592</v>
      </c>
      <c r="E98" s="3">
        <v>631128</v>
      </c>
      <c r="F98" s="3">
        <f>Insta!$C98-Insta!$D98</f>
        <v>5206</v>
      </c>
      <c r="G98" s="30">
        <v>8.2487229214992797E-3</v>
      </c>
      <c r="H98">
        <v>1.6774727155188811</v>
      </c>
      <c r="I98" s="31">
        <v>13471</v>
      </c>
      <c r="K98" s="5">
        <v>45614</v>
      </c>
      <c r="M98" s="3">
        <v>5206</v>
      </c>
      <c r="Z98" s="5">
        <v>45614</v>
      </c>
      <c r="AB98" s="3">
        <v>631128</v>
      </c>
    </row>
    <row r="99" spans="1:28" hidden="1" x14ac:dyDescent="0.3">
      <c r="A99" s="28">
        <v>45614</v>
      </c>
      <c r="B99" t="s">
        <v>41</v>
      </c>
      <c r="C99" s="3">
        <v>7036</v>
      </c>
      <c r="D99" s="3">
        <v>652</v>
      </c>
      <c r="E99" s="3">
        <v>637512</v>
      </c>
      <c r="F99" s="3">
        <f>Insta!$C99-Insta!$D99</f>
        <v>6384</v>
      </c>
      <c r="G99" s="30">
        <v>1.00139291495689E-2</v>
      </c>
      <c r="H99">
        <v>3.5705994553828009</v>
      </c>
      <c r="I99" s="31">
        <v>51796</v>
      </c>
      <c r="K99" s="5">
        <v>45614</v>
      </c>
      <c r="L99" t="s">
        <v>41</v>
      </c>
      <c r="M99" s="3">
        <v>6384</v>
      </c>
      <c r="Z99" s="5">
        <v>45614</v>
      </c>
      <c r="AB99" s="3">
        <v>637512</v>
      </c>
    </row>
    <row r="100" spans="1:28" hidden="1" x14ac:dyDescent="0.3">
      <c r="A100" s="28">
        <v>45614</v>
      </c>
      <c r="B100" t="s">
        <v>19</v>
      </c>
      <c r="C100" s="3">
        <v>3355</v>
      </c>
      <c r="D100" s="3">
        <v>176</v>
      </c>
      <c r="E100" s="3">
        <v>640691</v>
      </c>
      <c r="F100" s="3">
        <f>Insta!$C100-Insta!$D100</f>
        <v>3179</v>
      </c>
      <c r="G100" s="30">
        <v>4.96183027387618E-3</v>
      </c>
      <c r="H100">
        <v>12.426427091999111</v>
      </c>
      <c r="I100" s="31">
        <v>40268</v>
      </c>
      <c r="K100" s="5">
        <v>45614</v>
      </c>
      <c r="L100" t="s">
        <v>19</v>
      </c>
      <c r="M100" s="3">
        <v>3179</v>
      </c>
      <c r="Z100" s="5">
        <v>45614</v>
      </c>
      <c r="AB100" s="3">
        <v>640691</v>
      </c>
    </row>
    <row r="101" spans="1:28" hidden="1" x14ac:dyDescent="0.3">
      <c r="A101" s="28">
        <v>45614</v>
      </c>
      <c r="B101" t="s">
        <v>19</v>
      </c>
      <c r="C101" s="3">
        <v>6887</v>
      </c>
      <c r="D101" s="3">
        <v>418</v>
      </c>
      <c r="E101" s="3">
        <v>647160</v>
      </c>
      <c r="F101" s="3">
        <f>Insta!$C101-Insta!$D101</f>
        <v>6469</v>
      </c>
      <c r="G101" s="30">
        <v>9.9959824463811096E-3</v>
      </c>
      <c r="H101">
        <v>20.240280610668151</v>
      </c>
      <c r="I101" s="31">
        <v>18329</v>
      </c>
      <c r="K101" s="5">
        <v>45614</v>
      </c>
      <c r="L101" t="s">
        <v>19</v>
      </c>
      <c r="M101" s="3">
        <v>6469</v>
      </c>
      <c r="Z101" s="5">
        <v>45614</v>
      </c>
      <c r="AB101" s="3">
        <v>647160</v>
      </c>
    </row>
    <row r="102" spans="1:28" x14ac:dyDescent="0.3">
      <c r="A102" s="28">
        <v>45621</v>
      </c>
      <c r="B102" t="s">
        <v>23</v>
      </c>
      <c r="C102" s="3">
        <v>8961</v>
      </c>
      <c r="D102" s="3">
        <v>476</v>
      </c>
      <c r="E102" s="3">
        <v>655645</v>
      </c>
      <c r="F102" s="3">
        <f>Insta!$C102-Insta!$D102</f>
        <v>8485</v>
      </c>
      <c r="G102" s="30">
        <v>1.29414545981438E-2</v>
      </c>
      <c r="H102">
        <v>15.458517947974901</v>
      </c>
      <c r="I102" s="31">
        <v>44865</v>
      </c>
      <c r="K102" s="5">
        <v>45621</v>
      </c>
      <c r="M102" s="3">
        <v>8485</v>
      </c>
      <c r="Z102" s="5">
        <v>45621</v>
      </c>
      <c r="AB102" s="3">
        <v>655645</v>
      </c>
    </row>
    <row r="103" spans="1:28" x14ac:dyDescent="0.3">
      <c r="A103" s="28">
        <v>45621</v>
      </c>
      <c r="B103" t="s">
        <v>23</v>
      </c>
      <c r="C103" s="3">
        <v>6827</v>
      </c>
      <c r="D103" s="3">
        <v>775</v>
      </c>
      <c r="E103" s="3">
        <v>661697</v>
      </c>
      <c r="F103" s="3">
        <f>Insta!$C103-Insta!$D103</f>
        <v>6052</v>
      </c>
      <c r="G103" s="30">
        <v>9.1461802003031598E-3</v>
      </c>
      <c r="H103">
        <v>15.96622018839439</v>
      </c>
      <c r="I103" s="31">
        <v>56850</v>
      </c>
      <c r="K103" s="5">
        <v>45621</v>
      </c>
      <c r="M103" s="3">
        <v>6052</v>
      </c>
      <c r="Z103" s="5">
        <v>45621</v>
      </c>
      <c r="AB103" s="3">
        <v>661697</v>
      </c>
    </row>
    <row r="104" spans="1:28" hidden="1" x14ac:dyDescent="0.3">
      <c r="A104" s="28">
        <v>45621</v>
      </c>
      <c r="B104" t="s">
        <v>19</v>
      </c>
      <c r="C104" s="3">
        <v>9737</v>
      </c>
      <c r="D104" s="3">
        <v>792</v>
      </c>
      <c r="E104" s="3">
        <v>670642</v>
      </c>
      <c r="F104" s="3">
        <f>Insta!$C104-Insta!$D104</f>
        <v>8945</v>
      </c>
      <c r="G104" s="30">
        <v>1.33379657104685E-2</v>
      </c>
      <c r="H104">
        <v>5.301785453341723</v>
      </c>
      <c r="I104" s="31">
        <v>56698</v>
      </c>
      <c r="K104" s="5">
        <v>45621</v>
      </c>
      <c r="L104" t="s">
        <v>19</v>
      </c>
      <c r="M104" s="3">
        <v>8945</v>
      </c>
      <c r="Z104" s="5">
        <v>45621</v>
      </c>
      <c r="AB104" s="3">
        <v>670642</v>
      </c>
    </row>
    <row r="105" spans="1:28" hidden="1" x14ac:dyDescent="0.3">
      <c r="A105" s="28">
        <v>45621</v>
      </c>
      <c r="B105" t="s">
        <v>14</v>
      </c>
      <c r="C105" s="3">
        <v>5719</v>
      </c>
      <c r="D105" s="3">
        <v>576</v>
      </c>
      <c r="E105" s="3">
        <v>675785</v>
      </c>
      <c r="F105" s="3">
        <f>Insta!$C105-Insta!$D105</f>
        <v>5143</v>
      </c>
      <c r="G105" s="30">
        <v>7.6104086358827197E-3</v>
      </c>
      <c r="H105">
        <v>10.21656296011305</v>
      </c>
      <c r="I105" s="31">
        <v>38272</v>
      </c>
      <c r="K105" s="5">
        <v>45621</v>
      </c>
      <c r="L105" t="s">
        <v>14</v>
      </c>
      <c r="M105" s="3">
        <v>5143</v>
      </c>
      <c r="Z105" s="5">
        <v>45621</v>
      </c>
      <c r="AB105" s="3">
        <v>675785</v>
      </c>
    </row>
    <row r="106" spans="1:28" x14ac:dyDescent="0.3">
      <c r="A106" s="28">
        <v>45628</v>
      </c>
      <c r="B106" t="s">
        <v>23</v>
      </c>
      <c r="C106" s="3">
        <v>1593</v>
      </c>
      <c r="D106" s="3">
        <v>224</v>
      </c>
      <c r="E106" s="3">
        <v>677154</v>
      </c>
      <c r="F106" s="3">
        <f>Insta!$C106-Insta!$D106</f>
        <v>1369</v>
      </c>
      <c r="G106" s="30">
        <v>2.0216966893793699E-3</v>
      </c>
      <c r="H106">
        <v>4.1495730660972248</v>
      </c>
      <c r="I106" s="31">
        <v>52845</v>
      </c>
      <c r="K106" s="5">
        <v>45628</v>
      </c>
      <c r="M106" s="3">
        <v>1369</v>
      </c>
      <c r="Z106" s="5">
        <v>45628</v>
      </c>
      <c r="AB106" s="3">
        <v>677154</v>
      </c>
    </row>
    <row r="107" spans="1:28" hidden="1" x14ac:dyDescent="0.3">
      <c r="A107" s="28">
        <v>45628</v>
      </c>
      <c r="B107" t="s">
        <v>19</v>
      </c>
      <c r="C107" s="3">
        <v>5839</v>
      </c>
      <c r="D107" s="3">
        <v>437</v>
      </c>
      <c r="E107" s="3">
        <v>682556</v>
      </c>
      <c r="F107" s="3">
        <f>Insta!$C107-Insta!$D107</f>
        <v>5402</v>
      </c>
      <c r="G107" s="30">
        <v>7.9143689309009099E-3</v>
      </c>
      <c r="H107">
        <v>17.44750613869045</v>
      </c>
      <c r="I107" s="31">
        <v>16397</v>
      </c>
      <c r="K107" s="5">
        <v>45628</v>
      </c>
      <c r="L107" t="s">
        <v>19</v>
      </c>
      <c r="M107" s="3">
        <v>5402</v>
      </c>
      <c r="Z107" s="5">
        <v>45628</v>
      </c>
      <c r="AB107" s="3">
        <v>682556</v>
      </c>
    </row>
    <row r="108" spans="1:28" x14ac:dyDescent="0.3">
      <c r="A108" s="28">
        <v>45628</v>
      </c>
      <c r="B108" t="s">
        <v>23</v>
      </c>
      <c r="C108" s="3">
        <v>8394</v>
      </c>
      <c r="D108" s="3">
        <v>764</v>
      </c>
      <c r="E108" s="3">
        <v>690186</v>
      </c>
      <c r="F108" s="3">
        <f>Insta!$C108-Insta!$D108</f>
        <v>7630</v>
      </c>
      <c r="G108" s="30">
        <v>1.10549909734477E-2</v>
      </c>
      <c r="H108">
        <v>6.3556780346167558</v>
      </c>
      <c r="I108" s="31">
        <v>42373</v>
      </c>
      <c r="K108" s="5">
        <v>45628</v>
      </c>
      <c r="M108" s="3">
        <v>7630</v>
      </c>
      <c r="Z108" s="5">
        <v>45628</v>
      </c>
      <c r="AB108" s="3">
        <v>690186</v>
      </c>
    </row>
    <row r="109" spans="1:28" hidden="1" x14ac:dyDescent="0.3">
      <c r="A109" s="28">
        <v>45628</v>
      </c>
      <c r="B109" t="s">
        <v>14</v>
      </c>
      <c r="C109" s="3">
        <v>4493</v>
      </c>
      <c r="D109" s="3">
        <v>564</v>
      </c>
      <c r="E109" s="3">
        <v>694115</v>
      </c>
      <c r="F109" s="3">
        <f>Insta!$C109-Insta!$D109</f>
        <v>3929</v>
      </c>
      <c r="G109" s="30">
        <v>5.6604453152575597E-3</v>
      </c>
      <c r="H109">
        <v>16.625487131094989</v>
      </c>
      <c r="I109" s="31">
        <v>45525</v>
      </c>
      <c r="K109" s="5">
        <v>45628</v>
      </c>
      <c r="L109" t="s">
        <v>14</v>
      </c>
      <c r="M109" s="3">
        <v>3929</v>
      </c>
      <c r="Z109" s="5">
        <v>45628</v>
      </c>
      <c r="AB109" s="3">
        <v>694115</v>
      </c>
    </row>
    <row r="110" spans="1:28" hidden="1" x14ac:dyDescent="0.3">
      <c r="A110" s="28">
        <v>45635</v>
      </c>
      <c r="B110" t="s">
        <v>41</v>
      </c>
      <c r="C110" s="3">
        <v>7164</v>
      </c>
      <c r="D110" s="3">
        <v>522</v>
      </c>
      <c r="E110" s="3">
        <v>700757</v>
      </c>
      <c r="F110" s="3">
        <f>Insta!$C110-Insta!$D110</f>
        <v>6642</v>
      </c>
      <c r="G110" s="30">
        <v>9.4783213011072308E-3</v>
      </c>
      <c r="H110">
        <v>13.449169969047761</v>
      </c>
      <c r="I110" s="31">
        <v>34570</v>
      </c>
      <c r="K110" s="5">
        <v>45635</v>
      </c>
      <c r="L110" t="s">
        <v>41</v>
      </c>
      <c r="M110" s="3">
        <v>6642</v>
      </c>
      <c r="Z110" s="5">
        <v>45635</v>
      </c>
      <c r="AB110" s="3">
        <v>700757</v>
      </c>
    </row>
    <row r="111" spans="1:28" x14ac:dyDescent="0.3">
      <c r="A111" s="28">
        <v>45635</v>
      </c>
      <c r="B111" t="s">
        <v>23</v>
      </c>
      <c r="C111" s="3">
        <v>3672</v>
      </c>
      <c r="D111" s="3">
        <v>211</v>
      </c>
      <c r="E111" s="3">
        <v>704218</v>
      </c>
      <c r="F111" s="3">
        <f>Insta!$C111-Insta!$D111</f>
        <v>3461</v>
      </c>
      <c r="G111" s="30">
        <v>4.9146713091684701E-3</v>
      </c>
      <c r="H111">
        <v>12.35057894004413</v>
      </c>
      <c r="I111" s="31">
        <v>28284</v>
      </c>
      <c r="K111" s="5">
        <v>45635</v>
      </c>
      <c r="M111" s="3">
        <v>3461</v>
      </c>
      <c r="Z111" s="5">
        <v>45635</v>
      </c>
      <c r="AB111" s="3">
        <v>704218</v>
      </c>
    </row>
    <row r="112" spans="1:28" hidden="1" x14ac:dyDescent="0.3">
      <c r="A112" s="28">
        <v>45635</v>
      </c>
      <c r="B112" t="s">
        <v>14</v>
      </c>
      <c r="C112" s="3">
        <v>5200</v>
      </c>
      <c r="D112" s="3">
        <v>410</v>
      </c>
      <c r="E112" s="3">
        <v>709008</v>
      </c>
      <c r="F112" s="3">
        <f>Insta!$C112-Insta!$D112</f>
        <v>4790</v>
      </c>
      <c r="G112" s="30">
        <v>6.7559181278631598E-3</v>
      </c>
      <c r="H112">
        <v>12.913394489201821</v>
      </c>
      <c r="I112" s="31">
        <v>28994</v>
      </c>
      <c r="K112" s="5">
        <v>45635</v>
      </c>
      <c r="L112" t="s">
        <v>14</v>
      </c>
      <c r="M112" s="3">
        <v>4790</v>
      </c>
      <c r="Z112" s="5">
        <v>45635</v>
      </c>
      <c r="AB112" s="3">
        <v>709008</v>
      </c>
    </row>
    <row r="113" spans="1:28" hidden="1" x14ac:dyDescent="0.3">
      <c r="A113" s="28">
        <v>45635</v>
      </c>
      <c r="B113" t="s">
        <v>19</v>
      </c>
      <c r="C113" s="3">
        <v>1016</v>
      </c>
      <c r="D113" s="3">
        <v>67</v>
      </c>
      <c r="E113" s="3">
        <v>709957</v>
      </c>
      <c r="F113" s="3">
        <f>Insta!$C113-Insta!$D113</f>
        <v>949</v>
      </c>
      <c r="G113" s="30">
        <v>1.3367006734210699E-3</v>
      </c>
      <c r="H113">
        <v>20.774215903216671</v>
      </c>
      <c r="I113" s="31">
        <v>33284</v>
      </c>
      <c r="K113" s="5">
        <v>45635</v>
      </c>
      <c r="L113" t="s">
        <v>19</v>
      </c>
      <c r="M113" s="3">
        <v>949</v>
      </c>
      <c r="Z113" s="5">
        <v>45635</v>
      </c>
      <c r="AB113" s="3">
        <v>709957</v>
      </c>
    </row>
    <row r="114" spans="1:28" x14ac:dyDescent="0.3">
      <c r="A114" s="28">
        <v>45642</v>
      </c>
      <c r="B114" t="s">
        <v>23</v>
      </c>
      <c r="C114" s="3">
        <v>4191</v>
      </c>
      <c r="D114" s="3">
        <v>599</v>
      </c>
      <c r="E114" s="3">
        <v>713549</v>
      </c>
      <c r="F114" s="3">
        <f>Insta!$C114-Insta!$D114</f>
        <v>3592</v>
      </c>
      <c r="G114" s="30">
        <v>5.0339920594100803E-3</v>
      </c>
      <c r="H114">
        <v>11.56416728213479</v>
      </c>
      <c r="I114" s="31">
        <v>27833</v>
      </c>
      <c r="K114" s="5">
        <v>45642</v>
      </c>
      <c r="M114" s="3">
        <v>3592</v>
      </c>
      <c r="Z114" s="5">
        <v>45642</v>
      </c>
      <c r="AB114" s="3">
        <v>713549</v>
      </c>
    </row>
    <row r="115" spans="1:28" x14ac:dyDescent="0.3">
      <c r="A115" s="28">
        <v>45642</v>
      </c>
      <c r="B115" t="s">
        <v>23</v>
      </c>
      <c r="C115" s="3">
        <v>1392</v>
      </c>
      <c r="D115" s="3">
        <v>182</v>
      </c>
      <c r="E115" s="3">
        <v>714759</v>
      </c>
      <c r="F115" s="3">
        <f>Insta!$C115-Insta!$D115</f>
        <v>1210</v>
      </c>
      <c r="G115" s="30">
        <v>1.69287829883919E-3</v>
      </c>
      <c r="H115">
        <v>5.9603306848881932</v>
      </c>
      <c r="I115" s="31">
        <v>35122</v>
      </c>
      <c r="K115" s="5">
        <v>45642</v>
      </c>
      <c r="M115" s="3">
        <v>1210</v>
      </c>
      <c r="Z115" s="5">
        <v>45642</v>
      </c>
      <c r="AB115" s="3">
        <v>714759</v>
      </c>
    </row>
    <row r="116" spans="1:28" hidden="1" x14ac:dyDescent="0.3">
      <c r="A116" s="28">
        <v>45642</v>
      </c>
      <c r="B116" t="s">
        <v>19</v>
      </c>
      <c r="C116" s="3">
        <v>9616</v>
      </c>
      <c r="D116" s="3">
        <v>1089</v>
      </c>
      <c r="E116" s="3">
        <v>723286</v>
      </c>
      <c r="F116" s="3">
        <f>Insta!$C116-Insta!$D116</f>
        <v>8527</v>
      </c>
      <c r="G116" s="30">
        <v>1.17892507251627E-2</v>
      </c>
      <c r="H116">
        <v>19.25863351426683</v>
      </c>
      <c r="I116" s="31">
        <v>15017</v>
      </c>
      <c r="K116" s="5">
        <v>45642</v>
      </c>
      <c r="L116" t="s">
        <v>19</v>
      </c>
      <c r="M116" s="3">
        <v>8527</v>
      </c>
      <c r="Z116" s="5">
        <v>45642</v>
      </c>
      <c r="AB116" s="3">
        <v>723286</v>
      </c>
    </row>
    <row r="117" spans="1:28" hidden="1" x14ac:dyDescent="0.3">
      <c r="A117" s="28">
        <v>45642</v>
      </c>
      <c r="B117" t="s">
        <v>41</v>
      </c>
      <c r="C117" s="3">
        <v>7272</v>
      </c>
      <c r="D117" s="3">
        <v>997</v>
      </c>
      <c r="E117" s="3">
        <v>729561</v>
      </c>
      <c r="F117" s="3">
        <f>Insta!$C117-Insta!$D117</f>
        <v>6275</v>
      </c>
      <c r="G117" s="30">
        <v>8.6010628309353201E-3</v>
      </c>
      <c r="H117">
        <v>13.428486445958599</v>
      </c>
      <c r="I117" s="31">
        <v>26370</v>
      </c>
      <c r="K117" s="5">
        <v>45642</v>
      </c>
      <c r="L117" t="s">
        <v>41</v>
      </c>
      <c r="M117" s="3">
        <v>6275</v>
      </c>
      <c r="Z117" s="5">
        <v>45642</v>
      </c>
      <c r="AB117" s="3">
        <v>729561</v>
      </c>
    </row>
    <row r="118" spans="1:28" hidden="1" x14ac:dyDescent="0.3">
      <c r="A118" s="28">
        <v>45649</v>
      </c>
      <c r="B118" t="s">
        <v>19</v>
      </c>
      <c r="C118" s="3">
        <v>1571</v>
      </c>
      <c r="D118" s="3">
        <v>204</v>
      </c>
      <c r="E118" s="3">
        <v>730928</v>
      </c>
      <c r="F118" s="3">
        <f>Insta!$C118-Insta!$D118</f>
        <v>1367</v>
      </c>
      <c r="G118" s="30">
        <v>1.8702252479040301E-3</v>
      </c>
      <c r="H118">
        <v>19.449384891535139</v>
      </c>
      <c r="I118" s="31">
        <v>39252</v>
      </c>
      <c r="K118" s="5">
        <v>45649</v>
      </c>
      <c r="L118" t="s">
        <v>19</v>
      </c>
      <c r="M118" s="3">
        <v>1367</v>
      </c>
      <c r="Z118" s="5">
        <v>45649</v>
      </c>
      <c r="AB118" s="3">
        <v>730928</v>
      </c>
    </row>
    <row r="119" spans="1:28" x14ac:dyDescent="0.3">
      <c r="A119" s="28">
        <v>45649</v>
      </c>
      <c r="B119" t="s">
        <v>23</v>
      </c>
      <c r="C119" s="3">
        <v>4631</v>
      </c>
      <c r="D119" s="3">
        <v>317</v>
      </c>
      <c r="E119" s="3">
        <v>735242</v>
      </c>
      <c r="F119" s="3">
        <f>Insta!$C119-Insta!$D119</f>
        <v>4314</v>
      </c>
      <c r="G119" s="30">
        <v>5.8674558852731496E-3</v>
      </c>
      <c r="H119">
        <v>1.381177897889402</v>
      </c>
      <c r="I119" s="31">
        <v>17999</v>
      </c>
      <c r="K119" s="5">
        <v>45649</v>
      </c>
      <c r="M119" s="3">
        <v>4314</v>
      </c>
      <c r="Z119" s="5">
        <v>45649</v>
      </c>
      <c r="AB119" s="3">
        <v>735242</v>
      </c>
    </row>
    <row r="120" spans="1:28" hidden="1" x14ac:dyDescent="0.3">
      <c r="A120" s="28">
        <v>45649</v>
      </c>
      <c r="B120" t="s">
        <v>19</v>
      </c>
      <c r="C120" s="3">
        <v>7172</v>
      </c>
      <c r="D120" s="3">
        <v>998</v>
      </c>
      <c r="E120" s="3">
        <v>741416</v>
      </c>
      <c r="F120" s="3">
        <f>Insta!$C120-Insta!$D120</f>
        <v>6174</v>
      </c>
      <c r="G120" s="30">
        <v>8.32730882527488E-3</v>
      </c>
      <c r="H120">
        <v>18.0667803230575</v>
      </c>
      <c r="I120" s="31">
        <v>32436</v>
      </c>
      <c r="K120" s="5">
        <v>45649</v>
      </c>
      <c r="L120" t="s">
        <v>19</v>
      </c>
      <c r="M120" s="3">
        <v>6174</v>
      </c>
      <c r="Z120" s="5">
        <v>45649</v>
      </c>
      <c r="AB120" s="3">
        <v>741416</v>
      </c>
    </row>
    <row r="121" spans="1:28" hidden="1" x14ac:dyDescent="0.3">
      <c r="A121" s="28">
        <v>45649</v>
      </c>
      <c r="B121" t="s">
        <v>14</v>
      </c>
      <c r="C121" s="3">
        <v>8177</v>
      </c>
      <c r="D121" s="3">
        <v>849</v>
      </c>
      <c r="E121" s="3">
        <v>748744</v>
      </c>
      <c r="F121" s="3">
        <f>Insta!$C121-Insta!$D121</f>
        <v>7328</v>
      </c>
      <c r="G121" s="30">
        <v>9.78705672432768E-3</v>
      </c>
      <c r="H121">
        <v>10.34986590877523</v>
      </c>
      <c r="I121" s="31">
        <v>52963</v>
      </c>
      <c r="K121" s="5">
        <v>45649</v>
      </c>
      <c r="L121" t="s">
        <v>14</v>
      </c>
      <c r="M121" s="3">
        <v>7328</v>
      </c>
      <c r="Z121" s="5">
        <v>45649</v>
      </c>
      <c r="AB121" s="3">
        <v>748744</v>
      </c>
    </row>
    <row r="122" spans="1:28" hidden="1" x14ac:dyDescent="0.3">
      <c r="A122" s="28">
        <v>45656</v>
      </c>
      <c r="B122" t="s">
        <v>19</v>
      </c>
      <c r="C122" s="3">
        <v>9433</v>
      </c>
      <c r="D122" s="3">
        <v>1233</v>
      </c>
      <c r="E122" s="3">
        <v>756944</v>
      </c>
      <c r="F122" s="3">
        <f>Insta!$C122-Insta!$D122</f>
        <v>8200</v>
      </c>
      <c r="G122" s="30">
        <v>1.08330338836162E-2</v>
      </c>
      <c r="H122">
        <v>11.391727789638329</v>
      </c>
      <c r="I122" s="31">
        <v>12096</v>
      </c>
      <c r="K122" s="5">
        <v>45656</v>
      </c>
      <c r="L122" t="s">
        <v>19</v>
      </c>
      <c r="M122" s="3">
        <v>8200</v>
      </c>
      <c r="Z122" s="5">
        <v>45656</v>
      </c>
      <c r="AB122" s="3">
        <v>756944</v>
      </c>
    </row>
    <row r="123" spans="1:28" x14ac:dyDescent="0.3">
      <c r="A123" s="28">
        <v>45656</v>
      </c>
      <c r="B123" t="s">
        <v>23</v>
      </c>
      <c r="C123" s="3">
        <v>4897</v>
      </c>
      <c r="D123" s="3">
        <v>683</v>
      </c>
      <c r="E123" s="3">
        <v>761158</v>
      </c>
      <c r="F123" s="3">
        <f>Insta!$C123-Insta!$D123</f>
        <v>4214</v>
      </c>
      <c r="G123" s="30">
        <v>5.5363012672795904E-3</v>
      </c>
      <c r="H123">
        <v>15.06231294947961</v>
      </c>
      <c r="I123" s="31">
        <v>58201</v>
      </c>
      <c r="K123" s="5">
        <v>45656</v>
      </c>
      <c r="M123" s="3">
        <v>4214</v>
      </c>
      <c r="Z123" s="5">
        <v>45656</v>
      </c>
      <c r="AB123" s="3">
        <v>761158</v>
      </c>
    </row>
    <row r="124" spans="1:28" hidden="1" x14ac:dyDescent="0.3">
      <c r="A124" s="28">
        <v>45656</v>
      </c>
      <c r="B124" t="s">
        <v>19</v>
      </c>
      <c r="C124" s="3">
        <v>9123</v>
      </c>
      <c r="D124" s="3">
        <v>746</v>
      </c>
      <c r="E124" s="3">
        <v>769535</v>
      </c>
      <c r="F124" s="3">
        <f>Insta!$C124-Insta!$D124</f>
        <v>8377</v>
      </c>
      <c r="G124" s="30">
        <v>1.0885794668208699E-2</v>
      </c>
      <c r="H124">
        <v>6.3086149427901264</v>
      </c>
      <c r="I124" s="31">
        <v>35279</v>
      </c>
      <c r="K124" s="5">
        <v>45656</v>
      </c>
      <c r="L124" t="s">
        <v>19</v>
      </c>
      <c r="M124" s="3">
        <v>8377</v>
      </c>
      <c r="Z124" s="5">
        <v>45656</v>
      </c>
      <c r="AB124" s="3">
        <v>769535</v>
      </c>
    </row>
    <row r="125" spans="1:28" hidden="1" x14ac:dyDescent="0.3">
      <c r="A125" s="28">
        <v>45656</v>
      </c>
      <c r="B125" t="s">
        <v>41</v>
      </c>
      <c r="C125" s="3">
        <v>3279</v>
      </c>
      <c r="D125" s="3">
        <v>200</v>
      </c>
      <c r="E125" s="3">
        <v>772614</v>
      </c>
      <c r="F125" s="3">
        <f>Insta!$C125-Insta!$D125</f>
        <v>3079</v>
      </c>
      <c r="G125" s="30">
        <v>3.9851724146857297E-3</v>
      </c>
      <c r="H125">
        <v>5.0212654702089274</v>
      </c>
      <c r="I125" s="31">
        <v>53363</v>
      </c>
      <c r="K125" s="5">
        <v>45656</v>
      </c>
      <c r="L125" t="s">
        <v>41</v>
      </c>
      <c r="M125" s="3">
        <v>3079</v>
      </c>
      <c r="Z125" s="5">
        <v>45656</v>
      </c>
      <c r="AB125" s="3">
        <v>772614</v>
      </c>
    </row>
    <row r="126" spans="1:28" hidden="1" x14ac:dyDescent="0.3">
      <c r="A126" s="28">
        <v>45663</v>
      </c>
      <c r="B126" t="s">
        <v>19</v>
      </c>
      <c r="C126" s="3">
        <v>9980</v>
      </c>
      <c r="D126" s="3">
        <v>726</v>
      </c>
      <c r="E126" s="3">
        <v>781868</v>
      </c>
      <c r="F126" s="3">
        <f>Insta!$C126-Insta!$D126</f>
        <v>9254</v>
      </c>
      <c r="G126" s="30">
        <v>1.18357574424327E-2</v>
      </c>
      <c r="H126">
        <v>4.0220344099003924</v>
      </c>
      <c r="I126" s="31">
        <v>58709</v>
      </c>
      <c r="K126" s="5">
        <v>45663</v>
      </c>
      <c r="L126" t="s">
        <v>19</v>
      </c>
      <c r="M126" s="3">
        <v>9254</v>
      </c>
      <c r="Z126" s="5">
        <v>45663</v>
      </c>
      <c r="AB126" s="3">
        <v>781868</v>
      </c>
    </row>
    <row r="127" spans="1:28" hidden="1" x14ac:dyDescent="0.3">
      <c r="A127" s="28">
        <v>45663</v>
      </c>
      <c r="B127" t="s">
        <v>41</v>
      </c>
      <c r="C127" s="3">
        <v>8451</v>
      </c>
      <c r="D127" s="3">
        <v>783</v>
      </c>
      <c r="E127" s="3">
        <v>789536</v>
      </c>
      <c r="F127" s="3">
        <f>Insta!$C127-Insta!$D127</f>
        <v>7668</v>
      </c>
      <c r="G127" s="30">
        <v>9.7120333968305408E-3</v>
      </c>
      <c r="H127">
        <v>12.407287318121019</v>
      </c>
      <c r="I127" s="31">
        <v>36201</v>
      </c>
      <c r="K127" s="5">
        <v>45663</v>
      </c>
      <c r="L127" t="s">
        <v>41</v>
      </c>
      <c r="M127" s="3">
        <v>7668</v>
      </c>
      <c r="Z127" s="5">
        <v>45663</v>
      </c>
      <c r="AB127" s="3">
        <v>789536</v>
      </c>
    </row>
    <row r="128" spans="1:28" hidden="1" x14ac:dyDescent="0.3">
      <c r="A128" s="28">
        <v>45663</v>
      </c>
      <c r="B128" t="s">
        <v>14</v>
      </c>
      <c r="C128" s="3">
        <v>9906</v>
      </c>
      <c r="D128" s="3">
        <v>1305</v>
      </c>
      <c r="E128" s="3">
        <v>798137</v>
      </c>
      <c r="F128" s="3">
        <f>Insta!$C128-Insta!$D128</f>
        <v>8601</v>
      </c>
      <c r="G128" s="30">
        <v>1.0776345414383701E-2</v>
      </c>
      <c r="H128">
        <v>9.1811305577864442</v>
      </c>
      <c r="I128" s="31">
        <v>29715</v>
      </c>
      <c r="K128" s="5">
        <v>45663</v>
      </c>
      <c r="L128" t="s">
        <v>14</v>
      </c>
      <c r="M128" s="3">
        <v>8601</v>
      </c>
      <c r="Z128" s="5">
        <v>45663</v>
      </c>
      <c r="AB128" s="3">
        <v>798137</v>
      </c>
    </row>
    <row r="129" spans="1:28" hidden="1" x14ac:dyDescent="0.3">
      <c r="A129" s="28">
        <v>45663</v>
      </c>
      <c r="B129" t="s">
        <v>41</v>
      </c>
      <c r="C129" s="3">
        <v>1775</v>
      </c>
      <c r="D129" s="3">
        <v>241</v>
      </c>
      <c r="E129" s="3">
        <v>799671</v>
      </c>
      <c r="F129" s="3">
        <f>Insta!$C129-Insta!$D129</f>
        <v>1534</v>
      </c>
      <c r="G129" s="30">
        <v>1.91828889630861E-3</v>
      </c>
      <c r="H129">
        <v>8.1379717408784362</v>
      </c>
      <c r="I129" s="31">
        <v>39309</v>
      </c>
      <c r="K129" s="5">
        <v>45663</v>
      </c>
      <c r="L129" t="s">
        <v>41</v>
      </c>
      <c r="M129" s="3">
        <v>1534</v>
      </c>
      <c r="Z129" s="5">
        <v>45663</v>
      </c>
      <c r="AB129" s="3">
        <v>799671</v>
      </c>
    </row>
    <row r="130" spans="1:28" hidden="1" x14ac:dyDescent="0.3">
      <c r="A130" s="28">
        <v>45670</v>
      </c>
      <c r="B130" t="s">
        <v>19</v>
      </c>
      <c r="C130" s="3">
        <v>7869</v>
      </c>
      <c r="D130" s="3">
        <v>398</v>
      </c>
      <c r="E130" s="3">
        <v>807142</v>
      </c>
      <c r="F130" s="3">
        <f>Insta!$C130-Insta!$D130</f>
        <v>7471</v>
      </c>
      <c r="G130" s="30">
        <v>9.2561160241940096E-3</v>
      </c>
      <c r="H130">
        <v>15.211945357818079</v>
      </c>
      <c r="I130" s="31">
        <v>25078</v>
      </c>
      <c r="K130" s="5">
        <v>45670</v>
      </c>
      <c r="L130" t="s">
        <v>19</v>
      </c>
      <c r="M130" s="3">
        <v>7471</v>
      </c>
      <c r="Z130" s="5">
        <v>45670</v>
      </c>
      <c r="AB130" s="3">
        <v>807142</v>
      </c>
    </row>
    <row r="131" spans="1:28" x14ac:dyDescent="0.3">
      <c r="A131" s="28">
        <v>45670</v>
      </c>
      <c r="B131" t="s">
        <v>23</v>
      </c>
      <c r="C131" s="3">
        <v>3247</v>
      </c>
      <c r="D131" s="3">
        <v>328</v>
      </c>
      <c r="E131" s="3">
        <v>810061</v>
      </c>
      <c r="F131" s="3">
        <f>Insta!$C131-Insta!$D131</f>
        <v>2919</v>
      </c>
      <c r="G131" s="30">
        <v>3.6034323341081701E-3</v>
      </c>
      <c r="H131">
        <v>13.941172331466399</v>
      </c>
      <c r="I131" s="31">
        <v>15105</v>
      </c>
      <c r="K131" s="5">
        <v>45670</v>
      </c>
      <c r="M131" s="3">
        <v>2919</v>
      </c>
      <c r="Z131" s="5">
        <v>45670</v>
      </c>
      <c r="AB131" s="3">
        <v>810061</v>
      </c>
    </row>
    <row r="132" spans="1:28" hidden="1" x14ac:dyDescent="0.3">
      <c r="A132" s="28">
        <v>45670</v>
      </c>
      <c r="B132" t="s">
        <v>41</v>
      </c>
      <c r="C132" s="3">
        <v>8088</v>
      </c>
      <c r="D132" s="3">
        <v>742</v>
      </c>
      <c r="E132" s="3">
        <v>817407</v>
      </c>
      <c r="F132" s="3">
        <f>Insta!$C132-Insta!$D132</f>
        <v>7346</v>
      </c>
      <c r="G132" s="30">
        <v>8.9869550909155403E-3</v>
      </c>
      <c r="H132">
        <v>14.664542877660701</v>
      </c>
      <c r="I132" s="31">
        <v>39312</v>
      </c>
      <c r="K132" s="5">
        <v>45670</v>
      </c>
      <c r="L132" t="s">
        <v>41</v>
      </c>
      <c r="M132" s="3">
        <v>7346</v>
      </c>
      <c r="Z132" s="5">
        <v>45670</v>
      </c>
      <c r="AB132" s="3">
        <v>817407</v>
      </c>
    </row>
    <row r="133" spans="1:28" hidden="1" x14ac:dyDescent="0.3">
      <c r="A133" s="28">
        <v>45670</v>
      </c>
      <c r="B133" t="s">
        <v>14</v>
      </c>
      <c r="C133" s="3">
        <v>1078</v>
      </c>
      <c r="D133" s="3">
        <v>77</v>
      </c>
      <c r="E133" s="3">
        <v>818408</v>
      </c>
      <c r="F133" s="3">
        <f>Insta!$C133-Insta!$D133</f>
        <v>1001</v>
      </c>
      <c r="G133" s="30">
        <v>1.22310632349635E-3</v>
      </c>
      <c r="H133">
        <v>18.236747441373989</v>
      </c>
      <c r="I133" s="31">
        <v>12839</v>
      </c>
      <c r="K133" s="5">
        <v>45670</v>
      </c>
      <c r="L133" t="s">
        <v>14</v>
      </c>
      <c r="M133" s="3">
        <v>1001</v>
      </c>
      <c r="Z133" s="5">
        <v>45670</v>
      </c>
      <c r="AB133" s="3">
        <v>818408</v>
      </c>
    </row>
    <row r="134" spans="1:28" hidden="1" x14ac:dyDescent="0.3">
      <c r="A134" s="28">
        <v>45677</v>
      </c>
      <c r="B134" t="s">
        <v>41</v>
      </c>
      <c r="C134" s="3">
        <v>9080</v>
      </c>
      <c r="D134" s="3">
        <v>562</v>
      </c>
      <c r="E134" s="3">
        <v>826926</v>
      </c>
      <c r="F134" s="3">
        <f>Insta!$C134-Insta!$D134</f>
        <v>8518</v>
      </c>
      <c r="G134" s="30">
        <v>1.03008007971693E-2</v>
      </c>
      <c r="H134">
        <v>7.1083748727213809</v>
      </c>
      <c r="I134" s="31">
        <v>13384</v>
      </c>
      <c r="K134" s="5">
        <v>45677</v>
      </c>
      <c r="L134" t="s">
        <v>41</v>
      </c>
      <c r="M134" s="3">
        <v>8518</v>
      </c>
      <c r="Z134" s="5">
        <v>45677</v>
      </c>
      <c r="AB134" s="3">
        <v>826926</v>
      </c>
    </row>
    <row r="135" spans="1:28" hidden="1" x14ac:dyDescent="0.3">
      <c r="A135" s="28">
        <v>45677</v>
      </c>
      <c r="B135" t="s">
        <v>41</v>
      </c>
      <c r="C135" s="3">
        <v>8099</v>
      </c>
      <c r="D135" s="3">
        <v>678</v>
      </c>
      <c r="E135" s="3">
        <v>834347</v>
      </c>
      <c r="F135" s="3">
        <f>Insta!$C135-Insta!$D135</f>
        <v>7421</v>
      </c>
      <c r="G135" s="30">
        <v>8.8943808751035195E-3</v>
      </c>
      <c r="H135">
        <v>7.6464588474579518</v>
      </c>
      <c r="I135" s="31">
        <v>53619</v>
      </c>
      <c r="K135" s="5">
        <v>45677</v>
      </c>
      <c r="L135" t="s">
        <v>41</v>
      </c>
      <c r="M135" s="3">
        <v>7421</v>
      </c>
      <c r="Z135" s="5">
        <v>45677</v>
      </c>
      <c r="AB135" s="3">
        <v>834347</v>
      </c>
    </row>
    <row r="136" spans="1:28" hidden="1" x14ac:dyDescent="0.3">
      <c r="A136" s="28">
        <v>45677</v>
      </c>
      <c r="B136" t="s">
        <v>41</v>
      </c>
      <c r="C136" s="3">
        <v>4926</v>
      </c>
      <c r="D136" s="3">
        <v>710</v>
      </c>
      <c r="E136" s="3">
        <v>838563</v>
      </c>
      <c r="F136" s="3">
        <f>Insta!$C136-Insta!$D136</f>
        <v>4216</v>
      </c>
      <c r="G136" s="30">
        <v>5.0276484891415398E-3</v>
      </c>
      <c r="H136">
        <v>12.96217457722318</v>
      </c>
      <c r="I136" s="31">
        <v>52821</v>
      </c>
      <c r="K136" s="5">
        <v>45677</v>
      </c>
      <c r="L136" t="s">
        <v>41</v>
      </c>
      <c r="M136" s="3">
        <v>4216</v>
      </c>
      <c r="Z136" s="5">
        <v>45677</v>
      </c>
      <c r="AB136" s="3">
        <v>838563</v>
      </c>
    </row>
    <row r="137" spans="1:28" hidden="1" x14ac:dyDescent="0.3">
      <c r="A137" s="28">
        <v>45677</v>
      </c>
      <c r="B137" t="s">
        <v>14</v>
      </c>
      <c r="C137" s="3">
        <v>8340</v>
      </c>
      <c r="D137" s="3">
        <v>686</v>
      </c>
      <c r="E137" s="3">
        <v>846217</v>
      </c>
      <c r="F137" s="3">
        <f>Insta!$C137-Insta!$D137</f>
        <v>7654</v>
      </c>
      <c r="G137" s="30">
        <v>9.04496128061715E-3</v>
      </c>
      <c r="H137">
        <v>7.201344336027284</v>
      </c>
      <c r="I137" s="31">
        <v>23493</v>
      </c>
      <c r="K137" s="5">
        <v>45677</v>
      </c>
      <c r="L137" t="s">
        <v>14</v>
      </c>
      <c r="M137" s="3">
        <v>7654</v>
      </c>
      <c r="Z137" s="5">
        <v>45677</v>
      </c>
      <c r="AB137" s="3">
        <v>846217</v>
      </c>
    </row>
    <row r="138" spans="1:28" hidden="1" x14ac:dyDescent="0.3">
      <c r="A138" s="28">
        <v>45684</v>
      </c>
      <c r="B138" t="s">
        <v>19</v>
      </c>
      <c r="C138" s="3">
        <v>8083</v>
      </c>
      <c r="D138" s="3">
        <v>823</v>
      </c>
      <c r="E138" s="3">
        <v>853477</v>
      </c>
      <c r="F138" s="3">
        <f>Insta!$C138-Insta!$D138</f>
        <v>7260</v>
      </c>
      <c r="G138" s="30">
        <v>8.5063803711172108E-3</v>
      </c>
      <c r="H138">
        <v>4.6300017457998282</v>
      </c>
      <c r="I138" s="31">
        <v>27069</v>
      </c>
      <c r="K138" s="5">
        <v>45684</v>
      </c>
      <c r="L138" t="s">
        <v>19</v>
      </c>
      <c r="M138" s="3">
        <v>7260</v>
      </c>
      <c r="Z138" s="5">
        <v>45684</v>
      </c>
      <c r="AB138" s="3">
        <v>853477</v>
      </c>
    </row>
    <row r="139" spans="1:28" hidden="1" x14ac:dyDescent="0.3">
      <c r="A139" s="28">
        <v>45684</v>
      </c>
      <c r="B139" t="s">
        <v>41</v>
      </c>
      <c r="C139" s="3">
        <v>7230</v>
      </c>
      <c r="D139" s="3">
        <v>869</v>
      </c>
      <c r="E139" s="3">
        <v>859838</v>
      </c>
      <c r="F139" s="3">
        <f>Insta!$C139-Insta!$D139</f>
        <v>6361</v>
      </c>
      <c r="G139" s="30">
        <v>7.397905186791E-3</v>
      </c>
      <c r="H139">
        <v>7.0117859410726204</v>
      </c>
      <c r="I139" s="31">
        <v>56907</v>
      </c>
      <c r="K139" s="5">
        <v>45684</v>
      </c>
      <c r="L139" t="s">
        <v>41</v>
      </c>
      <c r="M139" s="3">
        <v>6361</v>
      </c>
      <c r="Z139" s="5">
        <v>45684</v>
      </c>
      <c r="AB139" s="3">
        <v>859838</v>
      </c>
    </row>
    <row r="140" spans="1:28" hidden="1" x14ac:dyDescent="0.3">
      <c r="A140" s="28">
        <v>45684</v>
      </c>
      <c r="B140" t="s">
        <v>41</v>
      </c>
      <c r="C140" s="3">
        <v>5940</v>
      </c>
      <c r="D140" s="3">
        <v>512</v>
      </c>
      <c r="E140" s="3">
        <v>865266</v>
      </c>
      <c r="F140" s="3">
        <f>Insta!$C140-Insta!$D140</f>
        <v>5428</v>
      </c>
      <c r="G140" s="30">
        <v>6.2732154042802997E-3</v>
      </c>
      <c r="H140">
        <v>15.7972230504839</v>
      </c>
      <c r="I140" s="31">
        <v>17531</v>
      </c>
      <c r="K140" s="5">
        <v>45684</v>
      </c>
      <c r="L140" t="s">
        <v>41</v>
      </c>
      <c r="M140" s="3">
        <v>5428</v>
      </c>
      <c r="Z140" s="5">
        <v>45684</v>
      </c>
      <c r="AB140" s="3">
        <v>865266</v>
      </c>
    </row>
    <row r="141" spans="1:28" x14ac:dyDescent="0.3">
      <c r="A141" s="28">
        <v>45684</v>
      </c>
      <c r="B141" t="s">
        <v>23</v>
      </c>
      <c r="C141" s="3">
        <v>4271</v>
      </c>
      <c r="D141" s="3">
        <v>628</v>
      </c>
      <c r="E141" s="3">
        <v>868909</v>
      </c>
      <c r="F141" s="3">
        <f>Insta!$C141-Insta!$D141</f>
        <v>3643</v>
      </c>
      <c r="G141" s="30">
        <v>4.1926139561219902E-3</v>
      </c>
      <c r="H141">
        <v>11.124410036033691</v>
      </c>
      <c r="I141" s="31">
        <v>47051</v>
      </c>
      <c r="K141" s="5">
        <v>45684</v>
      </c>
      <c r="M141" s="3">
        <v>3643</v>
      </c>
      <c r="Z141" s="5">
        <v>45684</v>
      </c>
      <c r="AB141" s="3">
        <v>868909</v>
      </c>
    </row>
    <row r="142" spans="1:28" hidden="1" x14ac:dyDescent="0.3">
      <c r="A142" s="28">
        <v>45691</v>
      </c>
      <c r="B142" t="s">
        <v>14</v>
      </c>
      <c r="C142" s="3">
        <v>4456</v>
      </c>
      <c r="D142" s="3">
        <v>651</v>
      </c>
      <c r="E142" s="3">
        <v>872714</v>
      </c>
      <c r="F142" s="3">
        <f>Insta!$C142-Insta!$D142</f>
        <v>3805</v>
      </c>
      <c r="G142" s="30">
        <v>4.3599621410908996E-3</v>
      </c>
      <c r="H142">
        <v>9.5052903929580594</v>
      </c>
      <c r="I142" s="31">
        <v>17736</v>
      </c>
      <c r="K142" s="5">
        <v>45691</v>
      </c>
      <c r="L142" t="s">
        <v>14</v>
      </c>
      <c r="M142" s="3">
        <v>3805</v>
      </c>
      <c r="Z142" s="5">
        <v>45691</v>
      </c>
      <c r="AB142" s="3">
        <v>872714</v>
      </c>
    </row>
    <row r="143" spans="1:28" hidden="1" x14ac:dyDescent="0.3">
      <c r="A143" s="28">
        <v>45691</v>
      </c>
      <c r="B143" t="s">
        <v>41</v>
      </c>
      <c r="C143" s="3">
        <v>8788</v>
      </c>
      <c r="D143" s="3">
        <v>660</v>
      </c>
      <c r="E143" s="3">
        <v>880842</v>
      </c>
      <c r="F143" s="3">
        <f>Insta!$C143-Insta!$D143</f>
        <v>8128</v>
      </c>
      <c r="G143" s="30">
        <v>9.2275345635198999E-3</v>
      </c>
      <c r="H143">
        <v>3.7175793161543158</v>
      </c>
      <c r="I143" s="31">
        <v>17710</v>
      </c>
      <c r="K143" s="5">
        <v>45691</v>
      </c>
      <c r="L143" t="s">
        <v>41</v>
      </c>
      <c r="M143" s="3">
        <v>8128</v>
      </c>
      <c r="Z143" s="5">
        <v>45691</v>
      </c>
      <c r="AB143" s="3">
        <v>880842</v>
      </c>
    </row>
    <row r="144" spans="1:28" hidden="1" x14ac:dyDescent="0.3">
      <c r="A144" s="28">
        <v>45691</v>
      </c>
      <c r="B144" t="s">
        <v>14</v>
      </c>
      <c r="C144" s="3">
        <v>9599</v>
      </c>
      <c r="D144" s="3">
        <v>957</v>
      </c>
      <c r="E144" s="3">
        <v>889484</v>
      </c>
      <c r="F144" s="3">
        <f>Insta!$C144-Insta!$D144</f>
        <v>8642</v>
      </c>
      <c r="G144" s="30">
        <v>9.7157453085159502E-3</v>
      </c>
      <c r="H144">
        <v>8.768004820772493</v>
      </c>
      <c r="I144" s="31">
        <v>11619</v>
      </c>
      <c r="K144" s="5">
        <v>45691</v>
      </c>
      <c r="L144" t="s">
        <v>14</v>
      </c>
      <c r="M144" s="3">
        <v>8642</v>
      </c>
      <c r="Z144" s="5">
        <v>45691</v>
      </c>
      <c r="AB144" s="3">
        <v>889484</v>
      </c>
    </row>
    <row r="145" spans="1:28" hidden="1" x14ac:dyDescent="0.3">
      <c r="A145" s="28">
        <v>45691</v>
      </c>
      <c r="B145" t="s">
        <v>41</v>
      </c>
      <c r="C145" s="3">
        <v>8650</v>
      </c>
      <c r="D145" s="3">
        <v>692</v>
      </c>
      <c r="E145" s="3">
        <v>897442</v>
      </c>
      <c r="F145" s="3">
        <f>Insta!$C145-Insta!$D145</f>
        <v>7958</v>
      </c>
      <c r="G145" s="30">
        <v>8.8674254157928897E-3</v>
      </c>
      <c r="H145">
        <v>7.6673478620345374</v>
      </c>
      <c r="I145" s="31">
        <v>23975</v>
      </c>
      <c r="K145" s="5">
        <v>45691</v>
      </c>
      <c r="L145" t="s">
        <v>41</v>
      </c>
      <c r="M145" s="3">
        <v>7958</v>
      </c>
      <c r="Z145" s="5">
        <v>45691</v>
      </c>
      <c r="AB145" s="3">
        <v>897442</v>
      </c>
    </row>
    <row r="146" spans="1:28" hidden="1" x14ac:dyDescent="0.3">
      <c r="A146" s="28">
        <v>45698</v>
      </c>
      <c r="B146" t="s">
        <v>19</v>
      </c>
      <c r="C146" s="3">
        <v>3711</v>
      </c>
      <c r="D146" s="3">
        <v>291</v>
      </c>
      <c r="E146" s="3">
        <v>900862</v>
      </c>
      <c r="F146" s="3">
        <f>Insta!$C146-Insta!$D146</f>
        <v>3420</v>
      </c>
      <c r="G146" s="30">
        <v>3.7963639269943698E-3</v>
      </c>
      <c r="H146">
        <v>14.24879726306582</v>
      </c>
      <c r="I146" s="31">
        <v>55603</v>
      </c>
      <c r="K146" s="5">
        <v>45698</v>
      </c>
      <c r="L146" t="s">
        <v>19</v>
      </c>
      <c r="M146" s="3">
        <v>3420</v>
      </c>
      <c r="Z146" s="5">
        <v>45698</v>
      </c>
      <c r="AB146" s="3">
        <v>900862</v>
      </c>
    </row>
    <row r="147" spans="1:28" hidden="1" x14ac:dyDescent="0.3">
      <c r="A147" s="28">
        <v>45698</v>
      </c>
      <c r="B147" t="s">
        <v>19</v>
      </c>
      <c r="C147" s="3">
        <v>2668</v>
      </c>
      <c r="D147" s="3">
        <v>143</v>
      </c>
      <c r="E147" s="3">
        <v>903387</v>
      </c>
      <c r="F147" s="3">
        <f>Insta!$C147-Insta!$D147</f>
        <v>2525</v>
      </c>
      <c r="G147" s="30">
        <v>2.79503690002181E-3</v>
      </c>
      <c r="H147">
        <v>15.903372530266649</v>
      </c>
      <c r="I147" s="31">
        <v>33252</v>
      </c>
      <c r="K147" s="5">
        <v>45698</v>
      </c>
      <c r="L147" t="s">
        <v>19</v>
      </c>
      <c r="M147" s="3">
        <v>2525</v>
      </c>
      <c r="Z147" s="5">
        <v>45698</v>
      </c>
      <c r="AB147" s="3">
        <v>903387</v>
      </c>
    </row>
    <row r="148" spans="1:28" hidden="1" x14ac:dyDescent="0.3">
      <c r="A148" s="28">
        <v>45698</v>
      </c>
      <c r="B148" t="s">
        <v>41</v>
      </c>
      <c r="C148" s="3">
        <v>1147</v>
      </c>
      <c r="D148" s="3">
        <v>127</v>
      </c>
      <c r="E148" s="3">
        <v>904407</v>
      </c>
      <c r="F148" s="3">
        <f>Insta!$C148-Insta!$D148</f>
        <v>1020</v>
      </c>
      <c r="G148" s="30">
        <v>1.12781081968627E-3</v>
      </c>
      <c r="H148">
        <v>1.3997016829812241</v>
      </c>
      <c r="I148" s="31">
        <v>25261</v>
      </c>
      <c r="K148" s="5">
        <v>45698</v>
      </c>
      <c r="L148" t="s">
        <v>41</v>
      </c>
      <c r="M148" s="3">
        <v>1020</v>
      </c>
      <c r="Z148" s="5">
        <v>45698</v>
      </c>
      <c r="AB148" s="3">
        <v>904407</v>
      </c>
    </row>
    <row r="149" spans="1:28" hidden="1" x14ac:dyDescent="0.3">
      <c r="A149" s="28">
        <v>45698</v>
      </c>
      <c r="B149" t="s">
        <v>19</v>
      </c>
      <c r="C149" s="3">
        <v>7420</v>
      </c>
      <c r="D149" s="3">
        <v>743</v>
      </c>
      <c r="E149" s="3">
        <v>911084</v>
      </c>
      <c r="F149" s="3">
        <f>Insta!$C149-Insta!$D149</f>
        <v>6677</v>
      </c>
      <c r="G149" s="30">
        <v>7.3286327056561202E-3</v>
      </c>
      <c r="H149">
        <v>10.593534734448189</v>
      </c>
      <c r="I149" s="31">
        <v>11431</v>
      </c>
      <c r="K149" s="5">
        <v>45698</v>
      </c>
      <c r="L149" t="s">
        <v>19</v>
      </c>
      <c r="M149" s="3">
        <v>6677</v>
      </c>
      <c r="Z149" s="5">
        <v>45698</v>
      </c>
      <c r="AB149" s="3">
        <v>911084</v>
      </c>
    </row>
    <row r="150" spans="1:28" hidden="1" x14ac:dyDescent="0.3">
      <c r="A150" s="28">
        <v>45705</v>
      </c>
      <c r="B150" t="s">
        <v>41</v>
      </c>
      <c r="C150" s="3">
        <v>1365</v>
      </c>
      <c r="D150" s="3">
        <v>75</v>
      </c>
      <c r="E150" s="3">
        <v>912374</v>
      </c>
      <c r="F150" s="3">
        <f>Insta!$C150-Insta!$D150</f>
        <v>1290</v>
      </c>
      <c r="G150" s="30">
        <v>1.4138938637006299E-3</v>
      </c>
      <c r="H150">
        <v>9.2688963078737441</v>
      </c>
      <c r="I150" s="31">
        <v>19067</v>
      </c>
      <c r="K150" s="5">
        <v>45705</v>
      </c>
      <c r="L150" t="s">
        <v>41</v>
      </c>
      <c r="M150" s="3">
        <v>1290</v>
      </c>
      <c r="Z150" s="5">
        <v>45705</v>
      </c>
      <c r="AB150" s="3">
        <v>912374</v>
      </c>
    </row>
    <row r="151" spans="1:28" hidden="1" x14ac:dyDescent="0.3">
      <c r="A151" s="28">
        <v>45705</v>
      </c>
      <c r="B151" t="s">
        <v>19</v>
      </c>
      <c r="C151" s="3">
        <v>5531</v>
      </c>
      <c r="D151" s="3">
        <v>430</v>
      </c>
      <c r="E151" s="3">
        <v>917475</v>
      </c>
      <c r="F151" s="3">
        <f>Insta!$C151-Insta!$D151</f>
        <v>5101</v>
      </c>
      <c r="G151" s="30">
        <v>5.5598245183792498E-3</v>
      </c>
      <c r="H151">
        <v>2.7289026948963189</v>
      </c>
      <c r="I151" s="31">
        <v>47481</v>
      </c>
      <c r="K151" s="5">
        <v>45705</v>
      </c>
      <c r="L151" t="s">
        <v>19</v>
      </c>
      <c r="M151" s="3">
        <v>5101</v>
      </c>
      <c r="Z151" s="5">
        <v>45705</v>
      </c>
      <c r="AB151" s="3">
        <v>917475</v>
      </c>
    </row>
    <row r="152" spans="1:28" x14ac:dyDescent="0.3">
      <c r="A152" s="28">
        <v>45705</v>
      </c>
      <c r="B152" t="s">
        <v>23</v>
      </c>
      <c r="C152" s="3">
        <v>6330</v>
      </c>
      <c r="D152" s="3">
        <v>891</v>
      </c>
      <c r="E152" s="3">
        <v>922914</v>
      </c>
      <c r="F152" s="3">
        <f>Insta!$C152-Insta!$D152</f>
        <v>5439</v>
      </c>
      <c r="G152" s="30">
        <v>5.8932901657142503E-3</v>
      </c>
      <c r="H152">
        <v>14.789893749580139</v>
      </c>
      <c r="I152" s="31">
        <v>37037</v>
      </c>
      <c r="K152" s="5">
        <v>45705</v>
      </c>
      <c r="M152" s="3">
        <v>5439</v>
      </c>
      <c r="Z152" s="5">
        <v>45705</v>
      </c>
      <c r="AB152" s="3">
        <v>922914</v>
      </c>
    </row>
    <row r="153" spans="1:28" x14ac:dyDescent="0.3">
      <c r="A153" s="28">
        <v>45705</v>
      </c>
      <c r="B153" t="s">
        <v>23</v>
      </c>
      <c r="C153" s="3">
        <v>6510</v>
      </c>
      <c r="D153" s="3">
        <v>481</v>
      </c>
      <c r="E153" s="3">
        <v>928943</v>
      </c>
      <c r="F153" s="3">
        <f>Insta!$C153-Insta!$D153</f>
        <v>6029</v>
      </c>
      <c r="G153" s="30">
        <v>6.4901721634158397E-3</v>
      </c>
      <c r="H153">
        <v>2.3800168578696428</v>
      </c>
      <c r="I153" s="31">
        <v>19557</v>
      </c>
      <c r="K153" s="5">
        <v>45705</v>
      </c>
      <c r="M153" s="3">
        <v>6029</v>
      </c>
      <c r="Z153" s="5">
        <v>45705</v>
      </c>
      <c r="AB153" s="3">
        <v>928943</v>
      </c>
    </row>
    <row r="154" spans="1:28" x14ac:dyDescent="0.3">
      <c r="A154" s="28">
        <v>45712</v>
      </c>
      <c r="B154" t="s">
        <v>23</v>
      </c>
      <c r="C154" s="3">
        <v>9754</v>
      </c>
      <c r="D154" s="3">
        <v>629</v>
      </c>
      <c r="E154" s="3">
        <v>938068</v>
      </c>
      <c r="F154" s="3">
        <f>Insta!$C154-Insta!$D154</f>
        <v>9125</v>
      </c>
      <c r="G154" s="30">
        <v>9.7274398018054094E-3</v>
      </c>
      <c r="H154">
        <v>3.4123325814333292</v>
      </c>
      <c r="I154" s="31">
        <v>19435</v>
      </c>
      <c r="K154" s="5">
        <v>45712</v>
      </c>
      <c r="M154" s="3">
        <v>9125</v>
      </c>
      <c r="Z154" s="5">
        <v>45712</v>
      </c>
      <c r="AB154" s="3">
        <v>938068</v>
      </c>
    </row>
    <row r="155" spans="1:28" hidden="1" x14ac:dyDescent="0.3">
      <c r="A155" s="28">
        <v>45712</v>
      </c>
      <c r="B155" t="s">
        <v>14</v>
      </c>
      <c r="C155" s="3">
        <v>9964</v>
      </c>
      <c r="D155" s="3">
        <v>985</v>
      </c>
      <c r="E155" s="3">
        <v>947047</v>
      </c>
      <c r="F155" s="3">
        <f>Insta!$C155-Insta!$D155</f>
        <v>8979</v>
      </c>
      <c r="G155" s="30">
        <v>9.4810500429228992E-3</v>
      </c>
      <c r="H155">
        <v>1.9837452629066989</v>
      </c>
      <c r="I155" s="31">
        <v>47766</v>
      </c>
      <c r="K155" s="5">
        <v>45712</v>
      </c>
      <c r="L155" t="s">
        <v>14</v>
      </c>
      <c r="M155" s="3">
        <v>8979</v>
      </c>
      <c r="Z155" s="5">
        <v>45712</v>
      </c>
      <c r="AB155" s="3">
        <v>947047</v>
      </c>
    </row>
    <row r="156" spans="1:28" hidden="1" x14ac:dyDescent="0.3">
      <c r="A156" s="28">
        <v>45712</v>
      </c>
      <c r="B156" t="s">
        <v>14</v>
      </c>
      <c r="C156" s="3">
        <v>7493</v>
      </c>
      <c r="D156" s="3">
        <v>1113</v>
      </c>
      <c r="E156" s="3">
        <v>953427</v>
      </c>
      <c r="F156" s="3">
        <f>Insta!$C156-Insta!$D156</f>
        <v>6380</v>
      </c>
      <c r="G156" s="30">
        <v>6.6916502259743004E-3</v>
      </c>
      <c r="H156">
        <v>15.684892498324469</v>
      </c>
      <c r="I156" s="31">
        <v>10162</v>
      </c>
      <c r="K156" s="5">
        <v>45712</v>
      </c>
      <c r="L156" t="s">
        <v>14</v>
      </c>
      <c r="M156" s="3">
        <v>6380</v>
      </c>
      <c r="Z156" s="5">
        <v>45712</v>
      </c>
      <c r="AB156" s="3">
        <v>953427</v>
      </c>
    </row>
    <row r="157" spans="1:28" x14ac:dyDescent="0.3">
      <c r="A157" s="28">
        <v>45712</v>
      </c>
      <c r="B157" t="s">
        <v>23</v>
      </c>
      <c r="C157" s="3">
        <v>6439</v>
      </c>
      <c r="D157" s="3">
        <v>477</v>
      </c>
      <c r="E157" s="3">
        <v>959389</v>
      </c>
      <c r="F157" s="3">
        <f>Insta!$C157-Insta!$D157</f>
        <v>5962</v>
      </c>
      <c r="G157" s="30">
        <v>6.2143718554204799E-3</v>
      </c>
      <c r="H157">
        <v>7.4744446725989153</v>
      </c>
      <c r="I157" s="31">
        <v>44742</v>
      </c>
      <c r="K157" s="5">
        <v>45712</v>
      </c>
      <c r="M157" s="3">
        <v>5962</v>
      </c>
      <c r="Z157" s="5">
        <v>45712</v>
      </c>
      <c r="AB157" s="3">
        <v>959389</v>
      </c>
    </row>
    <row r="158" spans="1:28" hidden="1" x14ac:dyDescent="0.3">
      <c r="A158" s="28">
        <v>45719</v>
      </c>
      <c r="B158" t="s">
        <v>14</v>
      </c>
      <c r="C158" s="3">
        <v>7511</v>
      </c>
      <c r="D158" s="3">
        <v>880</v>
      </c>
      <c r="E158" s="3">
        <v>966020</v>
      </c>
      <c r="F158" s="3">
        <f>Insta!$C158-Insta!$D158</f>
        <v>6631</v>
      </c>
      <c r="G158" s="30">
        <v>6.8642471170369196E-3</v>
      </c>
      <c r="H158">
        <v>4.6083932009689246</v>
      </c>
      <c r="I158" s="31">
        <v>29675</v>
      </c>
      <c r="K158" s="5">
        <v>45719</v>
      </c>
      <c r="L158" t="s">
        <v>14</v>
      </c>
      <c r="M158" s="3">
        <v>6631</v>
      </c>
      <c r="Z158" s="5">
        <v>45719</v>
      </c>
      <c r="AB158" s="3">
        <v>966020</v>
      </c>
    </row>
    <row r="159" spans="1:28" hidden="1" x14ac:dyDescent="0.3">
      <c r="A159" s="28">
        <v>45719</v>
      </c>
      <c r="B159" t="s">
        <v>19</v>
      </c>
      <c r="C159" s="3">
        <v>8504</v>
      </c>
      <c r="D159" s="3">
        <v>1072</v>
      </c>
      <c r="E159" s="3">
        <v>973452</v>
      </c>
      <c r="F159" s="3">
        <f>Insta!$C159-Insta!$D159</f>
        <v>7432</v>
      </c>
      <c r="G159" s="30">
        <v>7.6346856342172E-3</v>
      </c>
      <c r="H159">
        <v>6.5651927367759271</v>
      </c>
      <c r="I159" s="31">
        <v>18461</v>
      </c>
      <c r="K159" s="5">
        <v>45719</v>
      </c>
      <c r="L159" t="s">
        <v>19</v>
      </c>
      <c r="M159" s="3">
        <v>7432</v>
      </c>
      <c r="Z159" s="5">
        <v>45719</v>
      </c>
      <c r="AB159" s="3">
        <v>973452</v>
      </c>
    </row>
    <row r="160" spans="1:28" hidden="1" x14ac:dyDescent="0.3">
      <c r="A160" s="28">
        <v>45719</v>
      </c>
      <c r="B160" t="s">
        <v>41</v>
      </c>
      <c r="C160" s="3">
        <v>2246</v>
      </c>
      <c r="D160" s="3">
        <v>165</v>
      </c>
      <c r="E160" s="3">
        <v>975533</v>
      </c>
      <c r="F160" s="3">
        <f>Insta!$C160-Insta!$D160</f>
        <v>2081</v>
      </c>
      <c r="G160" s="30">
        <v>2.1331928289458199E-3</v>
      </c>
      <c r="H160">
        <v>2.9062061457685191</v>
      </c>
      <c r="I160" s="31">
        <v>27015</v>
      </c>
      <c r="K160" s="5">
        <v>45719</v>
      </c>
      <c r="L160" t="s">
        <v>41</v>
      </c>
      <c r="M160" s="3">
        <v>2081</v>
      </c>
      <c r="Z160" s="5">
        <v>45719</v>
      </c>
      <c r="AB160" s="3">
        <v>975533</v>
      </c>
    </row>
    <row r="161" spans="1:28" hidden="1" x14ac:dyDescent="0.3">
      <c r="A161" s="28">
        <v>45719</v>
      </c>
      <c r="B161" t="s">
        <v>41</v>
      </c>
      <c r="C161" s="3">
        <v>4839</v>
      </c>
      <c r="D161" s="3">
        <v>594</v>
      </c>
      <c r="E161" s="3">
        <v>979778</v>
      </c>
      <c r="F161" s="3">
        <f>Insta!$C161-Insta!$D161</f>
        <v>4245</v>
      </c>
      <c r="G161" s="30">
        <v>4.3326141227910796E-3</v>
      </c>
      <c r="H161">
        <v>2.5803804535313102</v>
      </c>
      <c r="I161" s="31">
        <v>42591</v>
      </c>
      <c r="K161" s="5">
        <v>45719</v>
      </c>
      <c r="L161" t="s">
        <v>41</v>
      </c>
      <c r="M161" s="3">
        <v>4245</v>
      </c>
      <c r="Z161" s="5">
        <v>45719</v>
      </c>
      <c r="AB161" s="3">
        <v>979778</v>
      </c>
    </row>
    <row r="162" spans="1:28" hidden="1" x14ac:dyDescent="0.3">
      <c r="A162" s="28">
        <v>45726</v>
      </c>
      <c r="B162" t="s">
        <v>41</v>
      </c>
      <c r="C162" s="3">
        <v>9551</v>
      </c>
      <c r="D162" s="3">
        <v>828</v>
      </c>
      <c r="E162" s="3">
        <v>988501</v>
      </c>
      <c r="F162" s="3">
        <f>Insta!$C162-Insta!$D162</f>
        <v>8723</v>
      </c>
      <c r="G162" s="30">
        <v>8.8244726105487E-3</v>
      </c>
      <c r="H162">
        <v>1.525036393488727</v>
      </c>
      <c r="I162" s="31">
        <v>38047</v>
      </c>
      <c r="K162" s="5">
        <v>45726</v>
      </c>
      <c r="L162" t="s">
        <v>41</v>
      </c>
      <c r="M162" s="3">
        <v>8723</v>
      </c>
      <c r="Z162" s="5">
        <v>45726</v>
      </c>
      <c r="AB162" s="3">
        <v>988501</v>
      </c>
    </row>
    <row r="163" spans="1:28" x14ac:dyDescent="0.3">
      <c r="A163" s="28">
        <v>45726</v>
      </c>
      <c r="B163" t="s">
        <v>23</v>
      </c>
      <c r="C163" s="3">
        <v>3376</v>
      </c>
      <c r="D163" s="3">
        <v>382</v>
      </c>
      <c r="E163" s="3">
        <v>991495</v>
      </c>
      <c r="F163" s="3">
        <f>Insta!$C163-Insta!$D163</f>
        <v>2994</v>
      </c>
      <c r="G163" s="30">
        <v>3.0196823988018098E-3</v>
      </c>
      <c r="H163">
        <v>3.8694093263203548</v>
      </c>
      <c r="I163" s="31">
        <v>44782</v>
      </c>
      <c r="K163" s="5">
        <v>45726</v>
      </c>
      <c r="M163" s="3">
        <v>2994</v>
      </c>
      <c r="Z163" s="5">
        <v>45726</v>
      </c>
      <c r="AB163" s="3">
        <v>991495</v>
      </c>
    </row>
    <row r="164" spans="1:28" hidden="1" x14ac:dyDescent="0.3">
      <c r="A164" s="28">
        <v>45726</v>
      </c>
      <c r="B164" t="s">
        <v>14</v>
      </c>
      <c r="C164" s="3">
        <v>4009</v>
      </c>
      <c r="D164" s="3">
        <v>454</v>
      </c>
      <c r="E164" s="3">
        <v>995050</v>
      </c>
      <c r="F164" s="3">
        <f>Insta!$C164-Insta!$D164</f>
        <v>3555</v>
      </c>
      <c r="G164" s="30">
        <v>3.5726847897090599E-3</v>
      </c>
      <c r="H164">
        <v>2.1106477061454201</v>
      </c>
      <c r="I164" s="31">
        <v>19833</v>
      </c>
      <c r="K164" s="5">
        <v>45726</v>
      </c>
      <c r="L164" t="s">
        <v>14</v>
      </c>
      <c r="M164" s="3">
        <v>3555</v>
      </c>
      <c r="Z164" s="5">
        <v>45726</v>
      </c>
      <c r="AB164" s="3">
        <v>995050</v>
      </c>
    </row>
    <row r="165" spans="1:28" hidden="1" x14ac:dyDescent="0.3">
      <c r="A165" s="28">
        <v>45726</v>
      </c>
      <c r="B165" t="s">
        <v>19</v>
      </c>
      <c r="C165" s="3">
        <v>2827</v>
      </c>
      <c r="D165" s="3">
        <v>292</v>
      </c>
      <c r="E165" s="3">
        <v>997585</v>
      </c>
      <c r="F165" s="3">
        <f>Insta!$C165-Insta!$D165</f>
        <v>2535</v>
      </c>
      <c r="G165" s="30">
        <v>2.5411368454818402E-3</v>
      </c>
      <c r="H165">
        <v>2.4004972007397871</v>
      </c>
      <c r="I165" s="31">
        <v>17896</v>
      </c>
      <c r="K165" s="5">
        <v>45726</v>
      </c>
      <c r="L165" t="s">
        <v>19</v>
      </c>
      <c r="M165" s="3">
        <v>2535</v>
      </c>
      <c r="Z165" s="5">
        <v>45726</v>
      </c>
      <c r="AB165" s="3">
        <v>997585</v>
      </c>
    </row>
    <row r="166" spans="1:28" hidden="1" x14ac:dyDescent="0.3">
      <c r="A166" s="28">
        <v>45733</v>
      </c>
      <c r="B166" t="s">
        <v>19</v>
      </c>
      <c r="C166" s="3">
        <v>7979</v>
      </c>
      <c r="D166" s="3">
        <v>470</v>
      </c>
      <c r="E166" s="3">
        <v>1005094</v>
      </c>
      <c r="F166" s="3">
        <f>Insta!$C166-Insta!$D166</f>
        <v>7509</v>
      </c>
      <c r="G166" s="30">
        <v>7.4709430162751E-3</v>
      </c>
      <c r="H166">
        <v>10.43086517280971</v>
      </c>
      <c r="I166" s="31">
        <v>42972</v>
      </c>
      <c r="K166" s="5">
        <v>45733</v>
      </c>
      <c r="L166" t="s">
        <v>19</v>
      </c>
      <c r="M166" s="3">
        <v>7509</v>
      </c>
      <c r="Z166" s="5">
        <v>45733</v>
      </c>
      <c r="AB166" s="3">
        <v>1005094</v>
      </c>
    </row>
    <row r="167" spans="1:28" x14ac:dyDescent="0.3">
      <c r="A167" s="28">
        <v>45733</v>
      </c>
      <c r="B167" t="s">
        <v>23</v>
      </c>
      <c r="C167" s="3">
        <v>9569</v>
      </c>
      <c r="D167" s="3">
        <v>1277</v>
      </c>
      <c r="E167" s="3">
        <v>1013386</v>
      </c>
      <c r="F167" s="3">
        <f>Insta!$C167-Insta!$D167</f>
        <v>8292</v>
      </c>
      <c r="G167" s="30">
        <v>8.1824694637581408E-3</v>
      </c>
      <c r="H167">
        <v>12.45517502708741</v>
      </c>
      <c r="I167" s="31">
        <v>59733</v>
      </c>
      <c r="K167" s="5">
        <v>45733</v>
      </c>
      <c r="M167" s="3">
        <v>8292</v>
      </c>
      <c r="Z167" s="5">
        <v>45733</v>
      </c>
      <c r="AB167" s="3">
        <v>1013386</v>
      </c>
    </row>
    <row r="168" spans="1:28" hidden="1" x14ac:dyDescent="0.3">
      <c r="A168" s="28">
        <v>45733</v>
      </c>
      <c r="B168" t="s">
        <v>19</v>
      </c>
      <c r="C168" s="3">
        <v>5285</v>
      </c>
      <c r="D168" s="3">
        <v>433</v>
      </c>
      <c r="E168" s="3">
        <v>1018238</v>
      </c>
      <c r="F168" s="3">
        <f>Insta!$C168-Insta!$D168</f>
        <v>4852</v>
      </c>
      <c r="G168" s="30">
        <v>4.7650942117658203E-3</v>
      </c>
      <c r="H168">
        <v>8.7022876773406619</v>
      </c>
      <c r="I168" s="31">
        <v>51800</v>
      </c>
      <c r="K168" s="5">
        <v>45733</v>
      </c>
      <c r="L168" t="s">
        <v>19</v>
      </c>
      <c r="M168" s="3">
        <v>4852</v>
      </c>
      <c r="Z168" s="5">
        <v>45733</v>
      </c>
      <c r="AB168" s="3">
        <v>1018238</v>
      </c>
    </row>
    <row r="169" spans="1:28" hidden="1" x14ac:dyDescent="0.3">
      <c r="A169" s="28">
        <v>45733</v>
      </c>
      <c r="B169" t="s">
        <v>19</v>
      </c>
      <c r="C169" s="3">
        <v>7910</v>
      </c>
      <c r="D169" s="3">
        <v>543</v>
      </c>
      <c r="E169" s="3">
        <v>1025605</v>
      </c>
      <c r="F169" s="3">
        <f>Insta!$C169-Insta!$D169</f>
        <v>7367</v>
      </c>
      <c r="G169" s="30">
        <v>7.1830773055903598E-3</v>
      </c>
      <c r="H169">
        <v>6.0590578244060822</v>
      </c>
      <c r="I169" s="31">
        <v>40508</v>
      </c>
      <c r="K169" s="5">
        <v>45733</v>
      </c>
      <c r="L169" t="s">
        <v>19</v>
      </c>
      <c r="M169" s="3">
        <v>7367</v>
      </c>
      <c r="Z169" s="5">
        <v>45733</v>
      </c>
      <c r="AB169" s="3">
        <v>1025605</v>
      </c>
    </row>
    <row r="170" spans="1:28" hidden="1" x14ac:dyDescent="0.3">
      <c r="A170" s="28">
        <v>45740</v>
      </c>
      <c r="B170" t="s">
        <v>19</v>
      </c>
      <c r="C170" s="3">
        <v>9561</v>
      </c>
      <c r="D170" s="3">
        <v>517</v>
      </c>
      <c r="E170" s="3">
        <v>1034649</v>
      </c>
      <c r="F170" s="3">
        <f>Insta!$C170-Insta!$D170</f>
        <v>9044</v>
      </c>
      <c r="G170" s="30">
        <v>8.7411286339618595E-3</v>
      </c>
      <c r="H170">
        <v>6.4086467971263694</v>
      </c>
      <c r="I170" s="31">
        <v>15347</v>
      </c>
      <c r="K170" s="5">
        <v>45740</v>
      </c>
      <c r="L170" t="s">
        <v>19</v>
      </c>
      <c r="M170" s="3">
        <v>9044</v>
      </c>
      <c r="Z170" s="5">
        <v>45740</v>
      </c>
      <c r="AB170" s="3">
        <v>1034649</v>
      </c>
    </row>
    <row r="171" spans="1:28" hidden="1" x14ac:dyDescent="0.3">
      <c r="A171" s="28">
        <v>45740</v>
      </c>
      <c r="B171" t="s">
        <v>19</v>
      </c>
      <c r="C171" s="3">
        <v>3196</v>
      </c>
      <c r="D171" s="3">
        <v>348</v>
      </c>
      <c r="E171" s="3">
        <v>1037497</v>
      </c>
      <c r="F171" s="3">
        <f>Insta!$C171-Insta!$D171</f>
        <v>2848</v>
      </c>
      <c r="G171" s="30">
        <v>2.7450681785103999E-3</v>
      </c>
      <c r="H171">
        <v>14.03040201562029</v>
      </c>
      <c r="I171" s="31">
        <v>40314</v>
      </c>
      <c r="K171" s="5">
        <v>45740</v>
      </c>
      <c r="L171" t="s">
        <v>19</v>
      </c>
      <c r="M171" s="3">
        <v>2848</v>
      </c>
      <c r="Z171" s="5">
        <v>45740</v>
      </c>
      <c r="AB171" s="3">
        <v>1037497</v>
      </c>
    </row>
    <row r="172" spans="1:28" hidden="1" x14ac:dyDescent="0.3">
      <c r="A172" s="28">
        <v>45740</v>
      </c>
      <c r="B172" t="s">
        <v>14</v>
      </c>
      <c r="C172" s="3">
        <v>4747</v>
      </c>
      <c r="D172" s="3">
        <v>558</v>
      </c>
      <c r="E172" s="3">
        <v>1041686</v>
      </c>
      <c r="F172" s="3">
        <f>Insta!$C172-Insta!$D172</f>
        <v>4189</v>
      </c>
      <c r="G172" s="30">
        <v>4.0213653634588497E-3</v>
      </c>
      <c r="H172">
        <v>5.7680529449373434</v>
      </c>
      <c r="I172" s="31">
        <v>12643</v>
      </c>
      <c r="K172" s="5">
        <v>45740</v>
      </c>
      <c r="L172" t="s">
        <v>14</v>
      </c>
      <c r="M172" s="3">
        <v>4189</v>
      </c>
      <c r="Z172" s="5">
        <v>45740</v>
      </c>
      <c r="AB172" s="3">
        <v>1041686</v>
      </c>
    </row>
    <row r="173" spans="1:28" hidden="1" x14ac:dyDescent="0.3">
      <c r="A173" s="28">
        <v>45740</v>
      </c>
      <c r="B173" t="s">
        <v>19</v>
      </c>
      <c r="C173" s="3">
        <v>9843</v>
      </c>
      <c r="D173" s="3">
        <v>508</v>
      </c>
      <c r="E173" s="3">
        <v>1051021</v>
      </c>
      <c r="F173" s="3">
        <f>Insta!$C173-Insta!$D173</f>
        <v>9335</v>
      </c>
      <c r="G173" s="30">
        <v>8.8818396587699005E-3</v>
      </c>
      <c r="H173">
        <v>4.2080986012648651</v>
      </c>
      <c r="I173" s="31">
        <v>50785</v>
      </c>
      <c r="K173" s="5">
        <v>45740</v>
      </c>
      <c r="L173" t="s">
        <v>19</v>
      </c>
      <c r="M173" s="3">
        <v>9335</v>
      </c>
      <c r="Z173" s="5">
        <v>45740</v>
      </c>
      <c r="AB173" s="3">
        <v>1051021</v>
      </c>
    </row>
    <row r="174" spans="1:28" hidden="1" x14ac:dyDescent="0.3">
      <c r="A174" s="28">
        <v>45747</v>
      </c>
      <c r="B174" t="s">
        <v>41</v>
      </c>
      <c r="C174" s="3">
        <v>6978</v>
      </c>
      <c r="D174" s="3">
        <v>706</v>
      </c>
      <c r="E174" s="3">
        <v>1057293</v>
      </c>
      <c r="F174" s="3">
        <f>Insta!$C174-Insta!$D174</f>
        <v>6272</v>
      </c>
      <c r="G174" s="30">
        <v>5.9321304501212101E-3</v>
      </c>
      <c r="H174">
        <v>5.057443868445171</v>
      </c>
      <c r="I174" s="31">
        <v>28681</v>
      </c>
      <c r="K174" s="5">
        <v>45747</v>
      </c>
      <c r="L174" t="s">
        <v>41</v>
      </c>
      <c r="M174" s="3">
        <v>6272</v>
      </c>
      <c r="Z174" s="5">
        <v>45747</v>
      </c>
      <c r="AB174" s="3">
        <v>1057293</v>
      </c>
    </row>
    <row r="175" spans="1:28" x14ac:dyDescent="0.3">
      <c r="A175" s="28">
        <v>45747</v>
      </c>
      <c r="B175" t="s">
        <v>23</v>
      </c>
      <c r="C175" s="3">
        <v>6607</v>
      </c>
      <c r="D175" s="3">
        <v>479</v>
      </c>
      <c r="E175" s="3">
        <v>1063421</v>
      </c>
      <c r="F175" s="3">
        <f>Insta!$C175-Insta!$D175</f>
        <v>6128</v>
      </c>
      <c r="G175" s="30">
        <v>5.7625343114345098E-3</v>
      </c>
      <c r="H175">
        <v>5.5892257158735816</v>
      </c>
      <c r="I175" s="31">
        <v>48328</v>
      </c>
      <c r="K175" s="5">
        <v>45747</v>
      </c>
      <c r="M175" s="3">
        <v>6128</v>
      </c>
      <c r="Z175" s="5">
        <v>45747</v>
      </c>
      <c r="AB175" s="3">
        <v>1063421</v>
      </c>
    </row>
    <row r="176" spans="1:28" hidden="1" x14ac:dyDescent="0.3">
      <c r="A176" s="28">
        <v>45747</v>
      </c>
      <c r="B176" t="s">
        <v>14</v>
      </c>
      <c r="C176" s="3">
        <v>1769</v>
      </c>
      <c r="D176" s="3">
        <v>202</v>
      </c>
      <c r="E176" s="3">
        <v>1064988</v>
      </c>
      <c r="F176" s="3">
        <f>Insta!$C176-Insta!$D176</f>
        <v>1567</v>
      </c>
      <c r="G176" s="30">
        <v>1.47137808125538E-3</v>
      </c>
      <c r="H176">
        <v>6.5457075572682513</v>
      </c>
      <c r="I176" s="31">
        <v>25892</v>
      </c>
      <c r="K176" s="5">
        <v>45747</v>
      </c>
      <c r="L176" t="s">
        <v>14</v>
      </c>
      <c r="M176" s="3">
        <v>1567</v>
      </c>
      <c r="Z176" s="5">
        <v>45747</v>
      </c>
      <c r="AB176" s="3">
        <v>1064988</v>
      </c>
    </row>
    <row r="177" spans="1:28" hidden="1" x14ac:dyDescent="0.3">
      <c r="A177" s="28">
        <v>45747</v>
      </c>
      <c r="B177" t="s">
        <v>19</v>
      </c>
      <c r="C177" s="3">
        <v>1780</v>
      </c>
      <c r="D177" s="3">
        <v>120</v>
      </c>
      <c r="E177" s="3">
        <v>1066648</v>
      </c>
      <c r="F177" s="3">
        <f>Insta!$C177-Insta!$D177</f>
        <v>1660</v>
      </c>
      <c r="G177" s="30">
        <v>1.55627723485161E-3</v>
      </c>
      <c r="H177">
        <v>13.86474263299608</v>
      </c>
      <c r="I177" s="31">
        <v>57299</v>
      </c>
      <c r="K177" s="5">
        <v>45747</v>
      </c>
      <c r="L177" t="s">
        <v>19</v>
      </c>
      <c r="M177" s="3">
        <v>1660</v>
      </c>
      <c r="Z177" s="5">
        <v>45747</v>
      </c>
      <c r="AB177" s="3">
        <v>1066648</v>
      </c>
    </row>
    <row r="178" spans="1:28" hidden="1" x14ac:dyDescent="0.3">
      <c r="A178" s="28">
        <v>45754</v>
      </c>
      <c r="B178" t="s">
        <v>14</v>
      </c>
      <c r="C178" s="3">
        <v>7303</v>
      </c>
      <c r="D178" s="3">
        <v>869</v>
      </c>
      <c r="E178" s="3">
        <v>1073082</v>
      </c>
      <c r="F178" s="3">
        <f>Insta!$C178-Insta!$D178</f>
        <v>6434</v>
      </c>
      <c r="G178" s="30">
        <v>5.9958139266151197E-3</v>
      </c>
      <c r="H178">
        <v>8.1237966902808925</v>
      </c>
      <c r="I178" s="31">
        <v>27073</v>
      </c>
      <c r="K178" s="5">
        <v>45754</v>
      </c>
      <c r="L178" t="s">
        <v>14</v>
      </c>
      <c r="M178" s="3">
        <v>6434</v>
      </c>
      <c r="Z178" s="5">
        <v>45754</v>
      </c>
      <c r="AB178" s="3">
        <v>1073082</v>
      </c>
    </row>
    <row r="179" spans="1:28" hidden="1" x14ac:dyDescent="0.3">
      <c r="A179" s="28">
        <v>45754</v>
      </c>
      <c r="B179" t="s">
        <v>19</v>
      </c>
      <c r="C179" s="3">
        <v>4983</v>
      </c>
      <c r="D179" s="3">
        <v>441</v>
      </c>
      <c r="E179" s="3">
        <v>1077624</v>
      </c>
      <c r="F179" s="3">
        <f>Insta!$C179-Insta!$D179</f>
        <v>4542</v>
      </c>
      <c r="G179" s="30">
        <v>4.2148281775461604E-3</v>
      </c>
      <c r="H179">
        <v>6.8954477628560609</v>
      </c>
      <c r="I179" s="31">
        <v>46768</v>
      </c>
      <c r="K179" s="5">
        <v>45754</v>
      </c>
      <c r="L179" t="s">
        <v>19</v>
      </c>
      <c r="M179" s="3">
        <v>4542</v>
      </c>
      <c r="Z179" s="5">
        <v>45754</v>
      </c>
      <c r="AB179" s="3">
        <v>1077624</v>
      </c>
    </row>
    <row r="180" spans="1:28" hidden="1" x14ac:dyDescent="0.3">
      <c r="A180" s="28">
        <v>45754</v>
      </c>
      <c r="B180" t="s">
        <v>41</v>
      </c>
      <c r="C180" s="3">
        <v>9714</v>
      </c>
      <c r="D180" s="3">
        <v>1395</v>
      </c>
      <c r="E180" s="3">
        <v>1085943</v>
      </c>
      <c r="F180" s="3">
        <f>Insta!$C180-Insta!$D180</f>
        <v>8319</v>
      </c>
      <c r="G180" s="30">
        <v>7.6606230713766798E-3</v>
      </c>
      <c r="H180">
        <v>5.2243073531483697</v>
      </c>
      <c r="I180" s="31">
        <v>40682</v>
      </c>
      <c r="K180" s="5">
        <v>45754</v>
      </c>
      <c r="L180" t="s">
        <v>41</v>
      </c>
      <c r="M180" s="3">
        <v>8319</v>
      </c>
      <c r="Z180" s="5">
        <v>45754</v>
      </c>
      <c r="AB180" s="3">
        <v>1085943</v>
      </c>
    </row>
    <row r="181" spans="1:28" x14ac:dyDescent="0.3">
      <c r="A181" s="28">
        <v>45754</v>
      </c>
      <c r="B181" t="s">
        <v>23</v>
      </c>
      <c r="C181" s="3">
        <v>1521</v>
      </c>
      <c r="D181" s="3">
        <v>96</v>
      </c>
      <c r="E181" s="3">
        <v>1087368</v>
      </c>
      <c r="F181" s="3">
        <f>Insta!$C181-Insta!$D181</f>
        <v>1425</v>
      </c>
      <c r="G181" s="30">
        <v>1.31050389564526E-3</v>
      </c>
      <c r="H181">
        <v>12.709772588488899</v>
      </c>
      <c r="I181" s="31">
        <v>42262</v>
      </c>
      <c r="K181" s="5">
        <v>45754</v>
      </c>
      <c r="M181" s="3">
        <v>1425</v>
      </c>
      <c r="Z181" s="5">
        <v>45754</v>
      </c>
      <c r="AB181" s="3">
        <v>1087368</v>
      </c>
    </row>
    <row r="182" spans="1:28" hidden="1" x14ac:dyDescent="0.3">
      <c r="A182" s="28">
        <v>45761</v>
      </c>
      <c r="B182" t="s">
        <v>19</v>
      </c>
      <c r="C182" s="3">
        <v>8569</v>
      </c>
      <c r="D182" s="3">
        <v>720</v>
      </c>
      <c r="E182" s="3">
        <v>1095217</v>
      </c>
      <c r="F182" s="3">
        <f>Insta!$C182-Insta!$D182</f>
        <v>7849</v>
      </c>
      <c r="G182" s="30">
        <v>7.1666162961312703E-3</v>
      </c>
      <c r="H182">
        <v>9.589697749395782</v>
      </c>
      <c r="I182" s="31">
        <v>41358</v>
      </c>
      <c r="K182" s="5">
        <v>45761</v>
      </c>
      <c r="L182" t="s">
        <v>19</v>
      </c>
      <c r="M182" s="3">
        <v>7849</v>
      </c>
      <c r="Z182" s="5">
        <v>45761</v>
      </c>
      <c r="AB182" s="3">
        <v>1095217</v>
      </c>
    </row>
    <row r="183" spans="1:28" hidden="1" x14ac:dyDescent="0.3">
      <c r="A183" s="28">
        <v>45761</v>
      </c>
      <c r="B183" t="s">
        <v>19</v>
      </c>
      <c r="C183" s="3">
        <v>6784</v>
      </c>
      <c r="D183" s="3">
        <v>416</v>
      </c>
      <c r="E183" s="3">
        <v>1101585</v>
      </c>
      <c r="F183" s="3">
        <f>Insta!$C183-Insta!$D183</f>
        <v>6368</v>
      </c>
      <c r="G183" s="30">
        <v>5.7807613574985097E-3</v>
      </c>
      <c r="H183">
        <v>9.3041390360253633</v>
      </c>
      <c r="I183" s="31">
        <v>24289</v>
      </c>
      <c r="K183" s="5">
        <v>45761</v>
      </c>
      <c r="L183" t="s">
        <v>19</v>
      </c>
      <c r="M183" s="3">
        <v>6368</v>
      </c>
      <c r="Z183" s="5">
        <v>45761</v>
      </c>
      <c r="AB183" s="3">
        <v>1101585</v>
      </c>
    </row>
    <row r="184" spans="1:28" hidden="1" x14ac:dyDescent="0.3">
      <c r="A184" s="28">
        <v>45761</v>
      </c>
      <c r="B184" t="s">
        <v>19</v>
      </c>
      <c r="C184" s="3">
        <v>5583</v>
      </c>
      <c r="D184" s="3">
        <v>795</v>
      </c>
      <c r="E184" s="3">
        <v>1106373</v>
      </c>
      <c r="F184" s="3">
        <f>Insta!$C184-Insta!$D184</f>
        <v>4788</v>
      </c>
      <c r="G184" s="30">
        <v>4.3276544167292598E-3</v>
      </c>
      <c r="H184">
        <v>12.21550055903389</v>
      </c>
      <c r="I184" s="31">
        <v>59823</v>
      </c>
      <c r="K184" s="5">
        <v>45761</v>
      </c>
      <c r="L184" t="s">
        <v>19</v>
      </c>
      <c r="M184" s="3">
        <v>4788</v>
      </c>
      <c r="Z184" s="5">
        <v>45761</v>
      </c>
      <c r="AB184" s="3">
        <v>1106373</v>
      </c>
    </row>
    <row r="185" spans="1:28" hidden="1" x14ac:dyDescent="0.3">
      <c r="A185" s="28">
        <v>45761</v>
      </c>
      <c r="B185" t="s">
        <v>19</v>
      </c>
      <c r="C185" s="3">
        <v>6946</v>
      </c>
      <c r="D185" s="3">
        <v>956</v>
      </c>
      <c r="E185" s="3">
        <v>1112363</v>
      </c>
      <c r="F185" s="3">
        <f>Insta!$C185-Insta!$D185</f>
        <v>5990</v>
      </c>
      <c r="G185" s="30">
        <v>5.3849327962185002E-3</v>
      </c>
      <c r="H185">
        <v>1.64146056637986</v>
      </c>
      <c r="I185" s="31">
        <v>17927</v>
      </c>
      <c r="K185" s="5">
        <v>45761</v>
      </c>
      <c r="L185" t="s">
        <v>19</v>
      </c>
      <c r="M185" s="3">
        <v>5990</v>
      </c>
      <c r="Z185" s="5">
        <v>45761</v>
      </c>
      <c r="AB185" s="3">
        <v>1112363</v>
      </c>
    </row>
    <row r="186" spans="1:28" x14ac:dyDescent="0.3">
      <c r="A186" s="28">
        <v>45768</v>
      </c>
      <c r="B186" t="s">
        <v>23</v>
      </c>
      <c r="C186" s="3">
        <v>5941</v>
      </c>
      <c r="D186" s="3">
        <v>450</v>
      </c>
      <c r="E186" s="3">
        <v>1117854</v>
      </c>
      <c r="F186" s="3">
        <f>Insta!$C186-Insta!$D186</f>
        <v>5491</v>
      </c>
      <c r="G186" s="30">
        <v>4.9120904876665504E-3</v>
      </c>
      <c r="H186">
        <v>12.414411899944</v>
      </c>
      <c r="I186" s="31">
        <v>58330</v>
      </c>
      <c r="K186" s="5">
        <v>45768</v>
      </c>
      <c r="M186" s="3">
        <v>5491</v>
      </c>
      <c r="Z186" s="5">
        <v>45768</v>
      </c>
      <c r="AB186" s="3">
        <v>1117854</v>
      </c>
    </row>
    <row r="187" spans="1:28" x14ac:dyDescent="0.3">
      <c r="A187" s="28">
        <v>45768</v>
      </c>
      <c r="B187" t="s">
        <v>23</v>
      </c>
      <c r="C187" s="3">
        <v>7267</v>
      </c>
      <c r="D187" s="3">
        <v>842</v>
      </c>
      <c r="E187" s="3">
        <v>1124279</v>
      </c>
      <c r="F187" s="3">
        <f>Insta!$C187-Insta!$D187</f>
        <v>6425</v>
      </c>
      <c r="G187" s="30">
        <v>5.7147736460433796E-3</v>
      </c>
      <c r="H187">
        <v>2.2102165031989389</v>
      </c>
      <c r="I187" s="31">
        <v>11171</v>
      </c>
      <c r="K187" s="5">
        <v>45768</v>
      </c>
      <c r="M187" s="3">
        <v>6425</v>
      </c>
      <c r="Z187" s="5">
        <v>45768</v>
      </c>
      <c r="AB187" s="3">
        <v>1124279</v>
      </c>
    </row>
    <row r="188" spans="1:28" hidden="1" x14ac:dyDescent="0.3">
      <c r="A188" s="28">
        <v>45768</v>
      </c>
      <c r="B188" t="s">
        <v>41</v>
      </c>
      <c r="C188" s="3">
        <v>8128</v>
      </c>
      <c r="D188" s="3">
        <v>1070</v>
      </c>
      <c r="E188" s="3">
        <v>1131337</v>
      </c>
      <c r="F188" s="3">
        <f>Insta!$C188-Insta!$D188</f>
        <v>7058</v>
      </c>
      <c r="G188" s="30">
        <v>6.2386362330587603E-3</v>
      </c>
      <c r="H188">
        <v>8.1114645768679008</v>
      </c>
      <c r="I188" s="31">
        <v>21918</v>
      </c>
      <c r="K188" s="5">
        <v>45768</v>
      </c>
      <c r="L188" t="s">
        <v>41</v>
      </c>
      <c r="M188" s="3">
        <v>7058</v>
      </c>
      <c r="Z188" s="5">
        <v>45768</v>
      </c>
      <c r="AB188" s="3">
        <v>1131337</v>
      </c>
    </row>
    <row r="189" spans="1:28" x14ac:dyDescent="0.3">
      <c r="A189" s="28">
        <v>45768</v>
      </c>
      <c r="B189" t="s">
        <v>23</v>
      </c>
      <c r="C189" s="3">
        <v>3461</v>
      </c>
      <c r="D189" s="3">
        <v>365</v>
      </c>
      <c r="E189" s="3">
        <v>1134433</v>
      </c>
      <c r="F189" s="3">
        <f>Insta!$C189-Insta!$D189</f>
        <v>3096</v>
      </c>
      <c r="G189" s="30">
        <v>2.7291166600407401E-3</v>
      </c>
      <c r="H189">
        <v>10.23489267325616</v>
      </c>
      <c r="I189" s="31">
        <v>51903</v>
      </c>
      <c r="K189" s="5">
        <v>45768</v>
      </c>
      <c r="M189" s="3">
        <v>3096</v>
      </c>
      <c r="Z189" s="5">
        <v>45768</v>
      </c>
      <c r="AB189" s="3">
        <v>1134433</v>
      </c>
    </row>
    <row r="190" spans="1:28" hidden="1" x14ac:dyDescent="0.3">
      <c r="A190" s="28">
        <v>45775</v>
      </c>
      <c r="B190" t="s">
        <v>19</v>
      </c>
      <c r="C190" s="3">
        <v>1685</v>
      </c>
      <c r="D190" s="3">
        <v>173</v>
      </c>
      <c r="E190" s="3">
        <v>1135945</v>
      </c>
      <c r="F190" s="3">
        <f>Insta!$C190-Insta!$D190</f>
        <v>1512</v>
      </c>
      <c r="G190" s="30">
        <v>1.33105035895224E-3</v>
      </c>
      <c r="H190">
        <v>8.7776256772995165</v>
      </c>
      <c r="I190" s="31">
        <v>49110</v>
      </c>
      <c r="K190" s="5">
        <v>45775</v>
      </c>
      <c r="L190" t="s">
        <v>19</v>
      </c>
      <c r="M190" s="3">
        <v>1512</v>
      </c>
      <c r="Z190" s="5">
        <v>45775</v>
      </c>
      <c r="AB190" s="3">
        <v>1135945</v>
      </c>
    </row>
    <row r="191" spans="1:28" hidden="1" x14ac:dyDescent="0.3">
      <c r="A191" s="28">
        <v>45775</v>
      </c>
      <c r="B191" t="s">
        <v>41</v>
      </c>
      <c r="C191" s="3">
        <v>3160</v>
      </c>
      <c r="D191" s="3">
        <v>234</v>
      </c>
      <c r="E191" s="3">
        <v>1138871</v>
      </c>
      <c r="F191" s="3">
        <f>Insta!$C191-Insta!$D191</f>
        <v>2926</v>
      </c>
      <c r="G191" s="30">
        <v>2.5692110871204901E-3</v>
      </c>
      <c r="H191">
        <v>5.6959041015180816</v>
      </c>
      <c r="I191" s="31">
        <v>21929</v>
      </c>
      <c r="K191" s="5">
        <v>45775</v>
      </c>
      <c r="L191" t="s">
        <v>41</v>
      </c>
      <c r="M191" s="3">
        <v>2926</v>
      </c>
      <c r="Z191" s="5">
        <v>45775</v>
      </c>
      <c r="AB191" s="3">
        <v>1138871</v>
      </c>
    </row>
    <row r="192" spans="1:28" hidden="1" x14ac:dyDescent="0.3">
      <c r="A192" s="28">
        <v>45775</v>
      </c>
      <c r="B192" t="s">
        <v>41</v>
      </c>
      <c r="C192" s="3">
        <v>8031</v>
      </c>
      <c r="D192" s="3">
        <v>476</v>
      </c>
      <c r="E192" s="3">
        <v>1146426</v>
      </c>
      <c r="F192" s="3">
        <f>Insta!$C192-Insta!$D192</f>
        <v>7555</v>
      </c>
      <c r="G192" s="30">
        <v>6.5900459340594202E-3</v>
      </c>
      <c r="H192">
        <v>11.940413075069831</v>
      </c>
      <c r="I192" s="31">
        <v>12539</v>
      </c>
      <c r="K192" s="5">
        <v>45775</v>
      </c>
      <c r="L192" t="s">
        <v>41</v>
      </c>
      <c r="M192" s="3">
        <v>7555</v>
      </c>
      <c r="Z192" s="5">
        <v>45775</v>
      </c>
      <c r="AB192" s="3">
        <v>1146426</v>
      </c>
    </row>
    <row r="193" spans="1:28" hidden="1" x14ac:dyDescent="0.3">
      <c r="A193" s="28">
        <v>45775</v>
      </c>
      <c r="B193" t="s">
        <v>41</v>
      </c>
      <c r="C193" s="3">
        <v>6341</v>
      </c>
      <c r="D193" s="3">
        <v>885</v>
      </c>
      <c r="E193" s="3">
        <v>1151882</v>
      </c>
      <c r="F193" s="3">
        <f>Insta!$C193-Insta!$D193</f>
        <v>5456</v>
      </c>
      <c r="G193" s="30">
        <v>4.7365962832998498E-3</v>
      </c>
      <c r="H193">
        <v>6.3457020771224837</v>
      </c>
      <c r="I193" s="31">
        <v>46727</v>
      </c>
      <c r="K193" s="5">
        <v>45775</v>
      </c>
      <c r="L193" t="s">
        <v>41</v>
      </c>
      <c r="M193" s="3">
        <v>5456</v>
      </c>
      <c r="Z193" s="5">
        <v>45775</v>
      </c>
      <c r="AB193" s="3">
        <v>1151882</v>
      </c>
    </row>
    <row r="194" spans="1:28" hidden="1" x14ac:dyDescent="0.3">
      <c r="A194" s="28">
        <v>45782</v>
      </c>
      <c r="B194" t="s">
        <v>19</v>
      </c>
      <c r="C194" s="3">
        <v>1038</v>
      </c>
      <c r="D194" s="3">
        <v>145</v>
      </c>
      <c r="E194" s="3">
        <v>1152775</v>
      </c>
      <c r="F194" s="3">
        <f>Insta!$C194-Insta!$D194</f>
        <v>893</v>
      </c>
      <c r="G194" s="30">
        <v>7.7465246904209403E-4</v>
      </c>
      <c r="H194">
        <v>11.093752033137431</v>
      </c>
      <c r="I194" s="31">
        <v>55951</v>
      </c>
      <c r="K194" s="5">
        <v>45782</v>
      </c>
      <c r="L194" t="s">
        <v>19</v>
      </c>
      <c r="M194" s="3">
        <v>893</v>
      </c>
      <c r="Z194" s="5">
        <v>45782</v>
      </c>
      <c r="AB194" s="3">
        <v>1152775</v>
      </c>
    </row>
    <row r="195" spans="1:28" hidden="1" x14ac:dyDescent="0.3">
      <c r="A195" s="28">
        <v>45782</v>
      </c>
      <c r="B195" t="s">
        <v>14</v>
      </c>
      <c r="C195" s="3">
        <v>5875</v>
      </c>
      <c r="D195" s="3">
        <v>665</v>
      </c>
      <c r="E195" s="3">
        <v>1157985</v>
      </c>
      <c r="F195" s="3">
        <f>Insta!$C195-Insta!$D195</f>
        <v>5210</v>
      </c>
      <c r="G195" s="30">
        <v>4.4991947218659999E-3</v>
      </c>
      <c r="H195">
        <v>6.9871371390821126</v>
      </c>
      <c r="I195" s="31">
        <v>32669</v>
      </c>
      <c r="K195" s="5">
        <v>45782</v>
      </c>
      <c r="L195" t="s">
        <v>14</v>
      </c>
      <c r="M195" s="3">
        <v>5210</v>
      </c>
      <c r="Z195" s="5">
        <v>45782</v>
      </c>
      <c r="AB195" s="3">
        <v>1157985</v>
      </c>
    </row>
    <row r="196" spans="1:28" hidden="1" x14ac:dyDescent="0.3">
      <c r="A196" s="28">
        <v>45782</v>
      </c>
      <c r="B196" t="s">
        <v>19</v>
      </c>
      <c r="C196" s="3">
        <v>2256</v>
      </c>
      <c r="D196" s="3">
        <v>189</v>
      </c>
      <c r="E196" s="3">
        <v>1160052</v>
      </c>
      <c r="F196" s="3">
        <f>Insta!$C196-Insta!$D196</f>
        <v>2067</v>
      </c>
      <c r="G196" s="30">
        <v>1.7818166771834401E-3</v>
      </c>
      <c r="H196">
        <v>2.8935771844710412</v>
      </c>
      <c r="I196" s="31">
        <v>15432</v>
      </c>
      <c r="K196" s="5">
        <v>45782</v>
      </c>
      <c r="L196" t="s">
        <v>19</v>
      </c>
      <c r="M196" s="3">
        <v>2067</v>
      </c>
      <c r="Z196" s="5">
        <v>45782</v>
      </c>
      <c r="AB196" s="3">
        <v>1160052</v>
      </c>
    </row>
    <row r="197" spans="1:28" x14ac:dyDescent="0.3">
      <c r="A197" s="28">
        <v>45782</v>
      </c>
      <c r="B197" t="s">
        <v>23</v>
      </c>
      <c r="C197" s="3">
        <v>8697</v>
      </c>
      <c r="D197" s="3">
        <v>738</v>
      </c>
      <c r="E197" s="3">
        <v>1168011</v>
      </c>
      <c r="F197" s="3">
        <f>Insta!$C197-Insta!$D197</f>
        <v>7959</v>
      </c>
      <c r="G197" s="30">
        <v>6.8141481544266302E-3</v>
      </c>
      <c r="H197">
        <v>3.8777032065622672</v>
      </c>
      <c r="I197" s="31">
        <v>30644</v>
      </c>
      <c r="K197" s="5">
        <v>45782</v>
      </c>
      <c r="M197" s="3">
        <v>7959</v>
      </c>
      <c r="Z197" s="5">
        <v>45782</v>
      </c>
      <c r="AB197" s="3">
        <v>1168011</v>
      </c>
    </row>
    <row r="198" spans="1:28" x14ac:dyDescent="0.3">
      <c r="A198" s="28">
        <v>45789</v>
      </c>
      <c r="B198" t="s">
        <v>23</v>
      </c>
      <c r="C198" s="3">
        <v>3196</v>
      </c>
      <c r="D198" s="3">
        <v>391</v>
      </c>
      <c r="E198" s="3">
        <v>1170816</v>
      </c>
      <c r="F198" s="3">
        <f>Insta!$C198-Insta!$D198</f>
        <v>2805</v>
      </c>
      <c r="G198" s="30">
        <v>2.39576500491965E-3</v>
      </c>
      <c r="H198">
        <v>7.2439221876024931</v>
      </c>
      <c r="I198" s="31">
        <v>28745</v>
      </c>
      <c r="K198" s="5">
        <v>45789</v>
      </c>
      <c r="M198" s="3">
        <v>2805</v>
      </c>
      <c r="Z198" s="5">
        <v>45789</v>
      </c>
      <c r="AB198" s="3">
        <v>1170816</v>
      </c>
    </row>
    <row r="199" spans="1:28" hidden="1" x14ac:dyDescent="0.3">
      <c r="A199" s="28">
        <v>45789</v>
      </c>
      <c r="B199" t="s">
        <v>19</v>
      </c>
      <c r="C199" s="3">
        <v>8165</v>
      </c>
      <c r="D199" s="3">
        <v>1140</v>
      </c>
      <c r="E199" s="3">
        <v>1177841</v>
      </c>
      <c r="F199" s="3">
        <f>Insta!$C199-Insta!$D199</f>
        <v>7025</v>
      </c>
      <c r="G199" s="30">
        <v>5.9643024822535499E-3</v>
      </c>
      <c r="H199">
        <v>9.095964565675672</v>
      </c>
      <c r="I199" s="31">
        <v>38228</v>
      </c>
      <c r="K199" s="5">
        <v>45789</v>
      </c>
      <c r="L199" t="s">
        <v>19</v>
      </c>
      <c r="M199" s="3">
        <v>7025</v>
      </c>
      <c r="Z199" s="5">
        <v>45789</v>
      </c>
      <c r="AB199" s="3">
        <v>1177841</v>
      </c>
    </row>
    <row r="200" spans="1:28" hidden="1" x14ac:dyDescent="0.3">
      <c r="A200" s="28">
        <v>45789</v>
      </c>
      <c r="B200" t="s">
        <v>19</v>
      </c>
      <c r="C200" s="3">
        <v>1301</v>
      </c>
      <c r="D200" s="3">
        <v>180</v>
      </c>
      <c r="E200" s="3">
        <v>1178962</v>
      </c>
      <c r="F200" s="3">
        <f>Insta!$C200-Insta!$D200</f>
        <v>1121</v>
      </c>
      <c r="G200" s="30">
        <v>9.5083641372665096E-4</v>
      </c>
      <c r="H200">
        <v>5.2275645864752214</v>
      </c>
      <c r="I200" s="31">
        <v>44521</v>
      </c>
      <c r="K200" s="5">
        <v>45789</v>
      </c>
      <c r="L200" t="s">
        <v>19</v>
      </c>
      <c r="M200" s="3">
        <v>1121</v>
      </c>
      <c r="Z200" s="5">
        <v>45789</v>
      </c>
      <c r="AB200" s="3">
        <v>1178962</v>
      </c>
    </row>
    <row r="201" spans="1:28" hidden="1" x14ac:dyDescent="0.3">
      <c r="A201" s="29">
        <v>45789</v>
      </c>
      <c r="B201" s="27" t="s">
        <v>41</v>
      </c>
      <c r="C201" s="32">
        <v>8527</v>
      </c>
      <c r="D201" s="32">
        <v>1091</v>
      </c>
      <c r="E201" s="32">
        <v>1186398</v>
      </c>
      <c r="F201" s="32">
        <f>Insta!$C201-Insta!$D201</f>
        <v>7436</v>
      </c>
      <c r="G201" s="33">
        <v>6.2677111728104704E-3</v>
      </c>
      <c r="H201" s="27">
        <v>1.676081719625286</v>
      </c>
      <c r="I201" s="34">
        <v>41703</v>
      </c>
      <c r="K201" s="5">
        <v>45789</v>
      </c>
      <c r="L201" t="s">
        <v>41</v>
      </c>
      <c r="M201" s="3">
        <v>7436</v>
      </c>
      <c r="Z201" s="5">
        <v>45789</v>
      </c>
      <c r="AB201" s="3">
        <v>1186398</v>
      </c>
    </row>
  </sheetData>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CE4-11CE-483B-A560-089A702FC639}">
  <dimension ref="A1:Z201"/>
  <sheetViews>
    <sheetView topLeftCell="L1" workbookViewId="0">
      <selection activeCell="V73" sqref="V73"/>
    </sheetView>
  </sheetViews>
  <sheetFormatPr defaultRowHeight="14.4" x14ac:dyDescent="0.3"/>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88671875" bestFit="1" customWidth="1"/>
    <col min="7" max="7" width="21" bestFit="1" customWidth="1"/>
    <col min="8" max="8" width="18" bestFit="1" customWidth="1"/>
    <col min="9" max="9" width="11.5546875" bestFit="1" customWidth="1"/>
    <col min="11" max="11" width="17.5546875" bestFit="1" customWidth="1"/>
    <col min="12" max="12" width="10.44140625" bestFit="1" customWidth="1"/>
    <col min="13" max="13" width="18.88671875" bestFit="1" customWidth="1"/>
    <col min="14" max="15" width="8.109375" bestFit="1" customWidth="1"/>
    <col min="16" max="16" width="10.5546875" bestFit="1" customWidth="1"/>
    <col min="24" max="24" width="17.5546875" bestFit="1" customWidth="1"/>
    <col min="25" max="25" width="10.44140625" bestFit="1" customWidth="1"/>
    <col min="26" max="26" width="16.21875" bestFit="1" customWidth="1"/>
  </cols>
  <sheetData>
    <row r="1" spans="1:26" x14ac:dyDescent="0.3">
      <c r="A1" s="26" t="s">
        <v>338</v>
      </c>
      <c r="B1" s="24" t="s">
        <v>1</v>
      </c>
      <c r="C1" s="24" t="s">
        <v>339</v>
      </c>
      <c r="D1" s="24" t="s">
        <v>340</v>
      </c>
      <c r="E1" s="24" t="s">
        <v>341</v>
      </c>
      <c r="F1" s="24" t="s">
        <v>379</v>
      </c>
      <c r="G1" s="24" t="s">
        <v>342</v>
      </c>
      <c r="H1" s="24" t="s">
        <v>343</v>
      </c>
      <c r="I1" s="25" t="s">
        <v>344</v>
      </c>
      <c r="K1" s="35" t="s">
        <v>338</v>
      </c>
      <c r="L1" s="35" t="s">
        <v>386</v>
      </c>
      <c r="M1" s="35" t="s">
        <v>379</v>
      </c>
      <c r="X1" s="35" t="s">
        <v>338</v>
      </c>
      <c r="Y1" s="35" t="s">
        <v>386</v>
      </c>
      <c r="Z1" s="35" t="s">
        <v>341</v>
      </c>
    </row>
    <row r="2" spans="1:26" hidden="1" x14ac:dyDescent="0.3">
      <c r="A2" s="28">
        <v>45446</v>
      </c>
      <c r="B2" t="s">
        <v>23</v>
      </c>
      <c r="C2" s="3">
        <v>4138</v>
      </c>
      <c r="D2" s="3">
        <v>361</v>
      </c>
      <c r="E2" s="3">
        <v>103777</v>
      </c>
      <c r="F2" s="3">
        <f>Twitter!$C2-Twitter!$D2</f>
        <v>3777</v>
      </c>
      <c r="G2" s="30">
        <v>3.6395347716738802E-2</v>
      </c>
      <c r="H2">
        <v>56.637790647253247</v>
      </c>
      <c r="I2" s="31">
        <v>23944</v>
      </c>
      <c r="K2" s="5">
        <v>45446</v>
      </c>
      <c r="L2" t="s">
        <v>23</v>
      </c>
      <c r="M2" s="3">
        <v>3777</v>
      </c>
      <c r="X2" s="5">
        <v>45446</v>
      </c>
      <c r="Z2" s="3">
        <v>103777</v>
      </c>
    </row>
    <row r="3" spans="1:26" x14ac:dyDescent="0.3">
      <c r="A3" s="28">
        <v>45446</v>
      </c>
      <c r="B3" t="s">
        <v>41</v>
      </c>
      <c r="C3" s="3">
        <v>8693</v>
      </c>
      <c r="D3" s="3">
        <v>1261</v>
      </c>
      <c r="E3" s="3">
        <v>111209</v>
      </c>
      <c r="F3" s="3">
        <f>Twitter!$C3-Twitter!$D3</f>
        <v>7432</v>
      </c>
      <c r="G3" s="30">
        <v>6.6829123542159405E-2</v>
      </c>
      <c r="H3">
        <v>69.475492091467416</v>
      </c>
      <c r="I3" s="31">
        <v>29873</v>
      </c>
      <c r="K3" s="5">
        <v>45446</v>
      </c>
      <c r="M3" s="3">
        <v>7432</v>
      </c>
      <c r="X3" s="5">
        <v>45446</v>
      </c>
      <c r="Z3" s="3">
        <v>111209</v>
      </c>
    </row>
    <row r="4" spans="1:26" hidden="1" x14ac:dyDescent="0.3">
      <c r="A4" s="28">
        <v>45446</v>
      </c>
      <c r="B4" t="s">
        <v>14</v>
      </c>
      <c r="C4" s="3">
        <v>9264</v>
      </c>
      <c r="D4" s="3">
        <v>1141</v>
      </c>
      <c r="E4" s="3">
        <v>119332</v>
      </c>
      <c r="F4" s="3">
        <f>Twitter!$C4-Twitter!$D4</f>
        <v>8123</v>
      </c>
      <c r="G4" s="30">
        <v>6.8070592967519203E-2</v>
      </c>
      <c r="H4">
        <v>92.312204605638044</v>
      </c>
      <c r="I4" s="31">
        <v>50372</v>
      </c>
      <c r="K4" s="5">
        <v>45446</v>
      </c>
      <c r="L4" t="s">
        <v>14</v>
      </c>
      <c r="M4" s="3">
        <v>8123</v>
      </c>
      <c r="X4" s="5">
        <v>45446</v>
      </c>
      <c r="Z4" s="3">
        <v>119332</v>
      </c>
    </row>
    <row r="5" spans="1:26" hidden="1" x14ac:dyDescent="0.3">
      <c r="A5" s="28">
        <v>45446</v>
      </c>
      <c r="B5" t="s">
        <v>14</v>
      </c>
      <c r="C5" s="3">
        <v>8842</v>
      </c>
      <c r="D5" s="3">
        <v>971</v>
      </c>
      <c r="E5" s="3">
        <v>127203</v>
      </c>
      <c r="F5" s="3">
        <f>Twitter!$C5-Twitter!$D5</f>
        <v>7871</v>
      </c>
      <c r="G5" s="30">
        <v>6.1877471443283601E-2</v>
      </c>
      <c r="H5">
        <v>16.351815601833291</v>
      </c>
      <c r="I5" s="31">
        <v>33928</v>
      </c>
      <c r="K5" s="5">
        <v>45446</v>
      </c>
      <c r="L5" t="s">
        <v>14</v>
      </c>
      <c r="M5" s="3">
        <v>7871</v>
      </c>
      <c r="X5" s="5">
        <v>45446</v>
      </c>
      <c r="Z5" s="3">
        <v>127203</v>
      </c>
    </row>
    <row r="6" spans="1:26" hidden="1" x14ac:dyDescent="0.3">
      <c r="A6" s="28">
        <v>45453</v>
      </c>
      <c r="B6" t="s">
        <v>23</v>
      </c>
      <c r="C6" s="3">
        <v>7721</v>
      </c>
      <c r="D6" s="3">
        <v>506</v>
      </c>
      <c r="E6" s="3">
        <v>134418</v>
      </c>
      <c r="F6" s="3">
        <f>Twitter!$C6-Twitter!$D6</f>
        <v>7215</v>
      </c>
      <c r="G6" s="30">
        <v>5.3675846984778799E-2</v>
      </c>
      <c r="H6">
        <v>35.577824398518047</v>
      </c>
      <c r="I6" s="31">
        <v>25379</v>
      </c>
      <c r="K6" s="5">
        <v>45453</v>
      </c>
      <c r="L6" t="s">
        <v>23</v>
      </c>
      <c r="M6" s="3">
        <v>7215</v>
      </c>
      <c r="X6" s="5">
        <v>45453</v>
      </c>
      <c r="Z6" s="3">
        <v>134418</v>
      </c>
    </row>
    <row r="7" spans="1:26" hidden="1" x14ac:dyDescent="0.3">
      <c r="A7" s="28">
        <v>45453</v>
      </c>
      <c r="B7" t="s">
        <v>14</v>
      </c>
      <c r="C7" s="3">
        <v>8002</v>
      </c>
      <c r="D7" s="3">
        <v>524</v>
      </c>
      <c r="E7" s="3">
        <v>141896</v>
      </c>
      <c r="F7" s="3">
        <f>Twitter!$C7-Twitter!$D7</f>
        <v>7478</v>
      </c>
      <c r="G7" s="30">
        <v>5.2700569431132702E-2</v>
      </c>
      <c r="H7">
        <v>52.064892597395271</v>
      </c>
      <c r="I7" s="31">
        <v>46751</v>
      </c>
      <c r="K7" s="5">
        <v>45453</v>
      </c>
      <c r="L7" t="s">
        <v>14</v>
      </c>
      <c r="M7" s="3">
        <v>7478</v>
      </c>
      <c r="X7" s="5">
        <v>45453</v>
      </c>
      <c r="Z7" s="3">
        <v>141896</v>
      </c>
    </row>
    <row r="8" spans="1:26" x14ac:dyDescent="0.3">
      <c r="A8" s="28">
        <v>45453</v>
      </c>
      <c r="B8" t="s">
        <v>41</v>
      </c>
      <c r="C8" s="3">
        <v>5225</v>
      </c>
      <c r="D8" s="3">
        <v>291</v>
      </c>
      <c r="E8" s="3">
        <v>146830</v>
      </c>
      <c r="F8" s="3">
        <f>Twitter!$C8-Twitter!$D8</f>
        <v>4934</v>
      </c>
      <c r="G8" s="30">
        <v>3.3603487025812201E-2</v>
      </c>
      <c r="H8">
        <v>19.551862698358651</v>
      </c>
      <c r="I8" s="31">
        <v>44546</v>
      </c>
      <c r="K8" s="5">
        <v>45453</v>
      </c>
      <c r="M8" s="3">
        <v>4934</v>
      </c>
      <c r="X8" s="5">
        <v>45453</v>
      </c>
      <c r="Z8" s="3">
        <v>146830</v>
      </c>
    </row>
    <row r="9" spans="1:26" x14ac:dyDescent="0.3">
      <c r="A9" s="28">
        <v>45453</v>
      </c>
      <c r="B9" t="s">
        <v>41</v>
      </c>
      <c r="C9" s="3">
        <v>3978</v>
      </c>
      <c r="D9" s="3">
        <v>543</v>
      </c>
      <c r="E9" s="3">
        <v>150265</v>
      </c>
      <c r="F9" s="3">
        <f>Twitter!$C9-Twitter!$D9</f>
        <v>3435</v>
      </c>
      <c r="G9" s="30">
        <v>2.2859614680730701E-2</v>
      </c>
      <c r="H9">
        <v>49.159817655475329</v>
      </c>
      <c r="I9" s="31">
        <v>34286</v>
      </c>
      <c r="K9" s="5">
        <v>45453</v>
      </c>
      <c r="M9" s="3">
        <v>3435</v>
      </c>
      <c r="X9" s="5">
        <v>45453</v>
      </c>
      <c r="Z9" s="3">
        <v>150265</v>
      </c>
    </row>
    <row r="10" spans="1:26" hidden="1" x14ac:dyDescent="0.3">
      <c r="A10" s="28">
        <v>45460</v>
      </c>
      <c r="B10" t="s">
        <v>23</v>
      </c>
      <c r="C10" s="3">
        <v>8373</v>
      </c>
      <c r="D10" s="3">
        <v>921</v>
      </c>
      <c r="E10" s="3">
        <v>157717</v>
      </c>
      <c r="F10" s="3">
        <f>Twitter!$C10-Twitter!$D10</f>
        <v>7452</v>
      </c>
      <c r="G10" s="30">
        <v>4.7249186834646899E-2</v>
      </c>
      <c r="H10">
        <v>12.2263294381709</v>
      </c>
      <c r="I10" s="31">
        <v>15110</v>
      </c>
      <c r="K10" s="5">
        <v>45460</v>
      </c>
      <c r="L10" t="s">
        <v>23</v>
      </c>
      <c r="M10" s="3">
        <v>7452</v>
      </c>
      <c r="X10" s="5">
        <v>45460</v>
      </c>
      <c r="Z10" s="3">
        <v>157717</v>
      </c>
    </row>
    <row r="11" spans="1:26" x14ac:dyDescent="0.3">
      <c r="A11" s="28">
        <v>45460</v>
      </c>
      <c r="B11" t="s">
        <v>41</v>
      </c>
      <c r="C11" s="3">
        <v>6907</v>
      </c>
      <c r="D11" s="3">
        <v>834</v>
      </c>
      <c r="E11" s="3">
        <v>163790</v>
      </c>
      <c r="F11" s="3">
        <f>Twitter!$C11-Twitter!$D11</f>
        <v>6073</v>
      </c>
      <c r="G11" s="30">
        <v>3.70779656877709E-2</v>
      </c>
      <c r="H11">
        <v>54.158984064961238</v>
      </c>
      <c r="I11" s="31">
        <v>22087</v>
      </c>
      <c r="K11" s="5">
        <v>45460</v>
      </c>
      <c r="M11" s="3">
        <v>6073</v>
      </c>
      <c r="X11" s="5">
        <v>45460</v>
      </c>
      <c r="Z11" s="3">
        <v>163790</v>
      </c>
    </row>
    <row r="12" spans="1:26" hidden="1" x14ac:dyDescent="0.3">
      <c r="A12" s="28">
        <v>45460</v>
      </c>
      <c r="B12" t="s">
        <v>19</v>
      </c>
      <c r="C12" s="3">
        <v>7097</v>
      </c>
      <c r="D12" s="3">
        <v>369</v>
      </c>
      <c r="E12" s="3">
        <v>170518</v>
      </c>
      <c r="F12" s="3">
        <f>Twitter!$C12-Twitter!$D12</f>
        <v>6728</v>
      </c>
      <c r="G12" s="30">
        <v>3.9456245088495101E-2</v>
      </c>
      <c r="H12">
        <v>9.2506362964613711</v>
      </c>
      <c r="I12" s="31">
        <v>33762</v>
      </c>
      <c r="K12" s="5">
        <v>45460</v>
      </c>
      <c r="L12" t="s">
        <v>19</v>
      </c>
      <c r="M12" s="3">
        <v>6728</v>
      </c>
      <c r="X12" s="5">
        <v>45460</v>
      </c>
      <c r="Z12" s="3">
        <v>170518</v>
      </c>
    </row>
    <row r="13" spans="1:26" hidden="1" x14ac:dyDescent="0.3">
      <c r="A13" s="28">
        <v>45460</v>
      </c>
      <c r="B13" t="s">
        <v>23</v>
      </c>
      <c r="C13" s="3">
        <v>6656</v>
      </c>
      <c r="D13" s="3">
        <v>978</v>
      </c>
      <c r="E13" s="3">
        <v>176196</v>
      </c>
      <c r="F13" s="3">
        <f>Twitter!$C13-Twitter!$D13</f>
        <v>5678</v>
      </c>
      <c r="G13" s="30">
        <v>3.2225476174260498E-2</v>
      </c>
      <c r="H13">
        <v>60.425889350496043</v>
      </c>
      <c r="I13" s="31">
        <v>27081</v>
      </c>
      <c r="K13" s="5">
        <v>45460</v>
      </c>
      <c r="L13" t="s">
        <v>23</v>
      </c>
      <c r="M13" s="3">
        <v>5678</v>
      </c>
      <c r="X13" s="5">
        <v>45460</v>
      </c>
      <c r="Z13" s="3">
        <v>176196</v>
      </c>
    </row>
    <row r="14" spans="1:26" x14ac:dyDescent="0.3">
      <c r="A14" s="28">
        <v>45467</v>
      </c>
      <c r="B14" t="s">
        <v>41</v>
      </c>
      <c r="C14" s="3">
        <v>9984</v>
      </c>
      <c r="D14" s="3">
        <v>1330</v>
      </c>
      <c r="E14" s="3">
        <v>184850</v>
      </c>
      <c r="F14" s="3">
        <f>Twitter!$C14-Twitter!$D14</f>
        <v>8654</v>
      </c>
      <c r="G14" s="30">
        <v>4.6816337571003501E-2</v>
      </c>
      <c r="H14">
        <v>57.524479307546663</v>
      </c>
      <c r="I14" s="31">
        <v>44947</v>
      </c>
      <c r="K14" s="5">
        <v>45467</v>
      </c>
      <c r="M14" s="3">
        <v>8654</v>
      </c>
      <c r="X14" s="5">
        <v>45467</v>
      </c>
      <c r="Z14" s="3">
        <v>184850</v>
      </c>
    </row>
    <row r="15" spans="1:26" hidden="1" x14ac:dyDescent="0.3">
      <c r="A15" s="28">
        <v>45467</v>
      </c>
      <c r="B15" t="s">
        <v>23</v>
      </c>
      <c r="C15" s="3">
        <v>5259</v>
      </c>
      <c r="D15" s="3">
        <v>374</v>
      </c>
      <c r="E15" s="3">
        <v>189735</v>
      </c>
      <c r="F15" s="3">
        <f>Twitter!$C15-Twitter!$D15</f>
        <v>4885</v>
      </c>
      <c r="G15" s="30">
        <v>2.5746435818378301E-2</v>
      </c>
      <c r="H15">
        <v>14.827522597306769</v>
      </c>
      <c r="I15" s="31">
        <v>19596</v>
      </c>
      <c r="K15" s="5">
        <v>45467</v>
      </c>
      <c r="L15" t="s">
        <v>23</v>
      </c>
      <c r="M15" s="3">
        <v>4885</v>
      </c>
      <c r="X15" s="5">
        <v>45467</v>
      </c>
      <c r="Z15" s="3">
        <v>189735</v>
      </c>
    </row>
    <row r="16" spans="1:26" hidden="1" x14ac:dyDescent="0.3">
      <c r="A16" s="28">
        <v>45467</v>
      </c>
      <c r="B16" t="s">
        <v>14</v>
      </c>
      <c r="C16" s="3">
        <v>9286</v>
      </c>
      <c r="D16" s="3">
        <v>633</v>
      </c>
      <c r="E16" s="3">
        <v>198388</v>
      </c>
      <c r="F16" s="3">
        <f>Twitter!$C16-Twitter!$D16</f>
        <v>8653</v>
      </c>
      <c r="G16" s="30">
        <v>4.3616549388067798E-2</v>
      </c>
      <c r="H16">
        <v>5.4343004617214756</v>
      </c>
      <c r="I16" s="31">
        <v>48019</v>
      </c>
      <c r="K16" s="5">
        <v>45467</v>
      </c>
      <c r="L16" t="s">
        <v>14</v>
      </c>
      <c r="M16" s="3">
        <v>8653</v>
      </c>
      <c r="X16" s="5">
        <v>45467</v>
      </c>
      <c r="Z16" s="3">
        <v>198388</v>
      </c>
    </row>
    <row r="17" spans="1:26" x14ac:dyDescent="0.3">
      <c r="A17" s="28">
        <v>45467</v>
      </c>
      <c r="B17" t="s">
        <v>41</v>
      </c>
      <c r="C17" s="3">
        <v>6901</v>
      </c>
      <c r="D17" s="3">
        <v>471</v>
      </c>
      <c r="E17" s="3">
        <v>204818</v>
      </c>
      <c r="F17" s="3">
        <f>Twitter!$C17-Twitter!$D17</f>
        <v>6430</v>
      </c>
      <c r="G17" s="30">
        <v>3.1393725160874499E-2</v>
      </c>
      <c r="H17">
        <v>60.827661631301943</v>
      </c>
      <c r="I17" s="31">
        <v>52003</v>
      </c>
      <c r="K17" s="5">
        <v>45467</v>
      </c>
      <c r="M17" s="3">
        <v>6430</v>
      </c>
      <c r="X17" s="5">
        <v>45467</v>
      </c>
      <c r="Z17" s="3">
        <v>204818</v>
      </c>
    </row>
    <row r="18" spans="1:26" hidden="1" x14ac:dyDescent="0.3">
      <c r="A18" s="28">
        <v>45474</v>
      </c>
      <c r="B18" t="s">
        <v>19</v>
      </c>
      <c r="C18" s="3">
        <v>5917</v>
      </c>
      <c r="D18" s="3">
        <v>475</v>
      </c>
      <c r="E18" s="3">
        <v>210260</v>
      </c>
      <c r="F18" s="3">
        <f>Twitter!$C18-Twitter!$D18</f>
        <v>5442</v>
      </c>
      <c r="G18" s="30">
        <v>2.5882241034909201E-2</v>
      </c>
      <c r="H18">
        <v>17.894035955483691</v>
      </c>
      <c r="I18" s="31">
        <v>28313</v>
      </c>
      <c r="K18" s="5">
        <v>45474</v>
      </c>
      <c r="L18" t="s">
        <v>19</v>
      </c>
      <c r="M18" s="3">
        <v>5442</v>
      </c>
      <c r="X18" s="5">
        <v>45474</v>
      </c>
      <c r="Z18" s="3">
        <v>210260</v>
      </c>
    </row>
    <row r="19" spans="1:26" x14ac:dyDescent="0.3">
      <c r="A19" s="28">
        <v>45474</v>
      </c>
      <c r="B19" t="s">
        <v>41</v>
      </c>
      <c r="C19" s="3">
        <v>9429</v>
      </c>
      <c r="D19" s="3">
        <v>966</v>
      </c>
      <c r="E19" s="3">
        <v>218723</v>
      </c>
      <c r="F19" s="3">
        <f>Twitter!$C19-Twitter!$D19</f>
        <v>8463</v>
      </c>
      <c r="G19" s="30">
        <v>3.8692775794040901E-2</v>
      </c>
      <c r="H19">
        <v>7.6914636320825887</v>
      </c>
      <c r="I19" s="31">
        <v>57639</v>
      </c>
      <c r="K19" s="5">
        <v>45474</v>
      </c>
      <c r="M19" s="3">
        <v>8463</v>
      </c>
      <c r="X19" s="5">
        <v>45474</v>
      </c>
      <c r="Z19" s="3">
        <v>218723</v>
      </c>
    </row>
    <row r="20" spans="1:26" hidden="1" x14ac:dyDescent="0.3">
      <c r="A20" s="28">
        <v>45474</v>
      </c>
      <c r="B20" t="s">
        <v>23</v>
      </c>
      <c r="C20" s="3">
        <v>3530</v>
      </c>
      <c r="D20" s="3">
        <v>328</v>
      </c>
      <c r="E20" s="3">
        <v>221925</v>
      </c>
      <c r="F20" s="3">
        <f>Twitter!$C20-Twitter!$D20</f>
        <v>3202</v>
      </c>
      <c r="G20" s="30">
        <v>1.44282978483722E-2</v>
      </c>
      <c r="H20">
        <v>12.8372197814577</v>
      </c>
      <c r="I20" s="31">
        <v>11013</v>
      </c>
      <c r="K20" s="5">
        <v>45474</v>
      </c>
      <c r="L20" t="s">
        <v>23</v>
      </c>
      <c r="M20" s="3">
        <v>3202</v>
      </c>
      <c r="X20" s="5">
        <v>45474</v>
      </c>
      <c r="Z20" s="3">
        <v>221925</v>
      </c>
    </row>
    <row r="21" spans="1:26" hidden="1" x14ac:dyDescent="0.3">
      <c r="A21" s="28">
        <v>45474</v>
      </c>
      <c r="B21" t="s">
        <v>23</v>
      </c>
      <c r="C21" s="3">
        <v>2960</v>
      </c>
      <c r="D21" s="3">
        <v>234</v>
      </c>
      <c r="E21" s="3">
        <v>224651</v>
      </c>
      <c r="F21" s="3">
        <f>Twitter!$C21-Twitter!$D21</f>
        <v>2726</v>
      </c>
      <c r="G21" s="30">
        <v>1.21343773230478E-2</v>
      </c>
      <c r="H21">
        <v>17.41278694508371</v>
      </c>
      <c r="I21" s="31">
        <v>59378</v>
      </c>
      <c r="K21" s="5">
        <v>45474</v>
      </c>
      <c r="L21" t="s">
        <v>23</v>
      </c>
      <c r="M21" s="3">
        <v>2726</v>
      </c>
      <c r="X21" s="5">
        <v>45474</v>
      </c>
      <c r="Z21" s="3">
        <v>224651</v>
      </c>
    </row>
    <row r="22" spans="1:26" x14ac:dyDescent="0.3">
      <c r="A22" s="28">
        <v>45481</v>
      </c>
      <c r="B22" t="s">
        <v>41</v>
      </c>
      <c r="C22" s="3">
        <v>8045</v>
      </c>
      <c r="D22" s="3">
        <v>894</v>
      </c>
      <c r="E22" s="3">
        <v>231802</v>
      </c>
      <c r="F22" s="3">
        <f>Twitter!$C22-Twitter!$D22</f>
        <v>7151</v>
      </c>
      <c r="G22" s="30">
        <v>3.0849604403758401E-2</v>
      </c>
      <c r="H22">
        <v>47.634187798207087</v>
      </c>
      <c r="I22" s="31">
        <v>33705</v>
      </c>
      <c r="K22" s="5">
        <v>45481</v>
      </c>
      <c r="M22" s="3">
        <v>7151</v>
      </c>
      <c r="X22" s="5">
        <v>45481</v>
      </c>
      <c r="Z22" s="3">
        <v>231802</v>
      </c>
    </row>
    <row r="23" spans="1:26" hidden="1" x14ac:dyDescent="0.3">
      <c r="A23" s="28">
        <v>45481</v>
      </c>
      <c r="B23" t="s">
        <v>19</v>
      </c>
      <c r="C23" s="3">
        <v>2048</v>
      </c>
      <c r="D23" s="3">
        <v>130</v>
      </c>
      <c r="E23" s="3">
        <v>233720</v>
      </c>
      <c r="F23" s="3">
        <f>Twitter!$C23-Twitter!$D23</f>
        <v>1918</v>
      </c>
      <c r="G23" s="30">
        <v>8.2064008214958097E-3</v>
      </c>
      <c r="H23">
        <v>39.284614068115687</v>
      </c>
      <c r="I23" s="31">
        <v>11828</v>
      </c>
      <c r="K23" s="5">
        <v>45481</v>
      </c>
      <c r="L23" t="s">
        <v>19</v>
      </c>
      <c r="M23" s="3">
        <v>1918</v>
      </c>
      <c r="X23" s="5">
        <v>45481</v>
      </c>
      <c r="Z23" s="3">
        <v>233720</v>
      </c>
    </row>
    <row r="24" spans="1:26" hidden="1" x14ac:dyDescent="0.3">
      <c r="A24" s="28">
        <v>45481</v>
      </c>
      <c r="B24" t="s">
        <v>19</v>
      </c>
      <c r="C24" s="3">
        <v>6772</v>
      </c>
      <c r="D24" s="3">
        <v>536</v>
      </c>
      <c r="E24" s="3">
        <v>239956</v>
      </c>
      <c r="F24" s="3">
        <f>Twitter!$C24-Twitter!$D24</f>
        <v>6236</v>
      </c>
      <c r="G24" s="30">
        <v>2.5988097817933299E-2</v>
      </c>
      <c r="H24">
        <v>9.8205504342462788</v>
      </c>
      <c r="I24" s="31">
        <v>17909</v>
      </c>
      <c r="K24" s="5">
        <v>45481</v>
      </c>
      <c r="L24" t="s">
        <v>19</v>
      </c>
      <c r="M24" s="3">
        <v>6236</v>
      </c>
      <c r="X24" s="5">
        <v>45481</v>
      </c>
      <c r="Z24" s="3">
        <v>239956</v>
      </c>
    </row>
    <row r="25" spans="1:26" hidden="1" x14ac:dyDescent="0.3">
      <c r="A25" s="28">
        <v>45481</v>
      </c>
      <c r="B25" t="s">
        <v>19</v>
      </c>
      <c r="C25" s="3">
        <v>3529</v>
      </c>
      <c r="D25" s="3">
        <v>305</v>
      </c>
      <c r="E25" s="3">
        <v>243180</v>
      </c>
      <c r="F25" s="3">
        <f>Twitter!$C25-Twitter!$D25</f>
        <v>3224</v>
      </c>
      <c r="G25" s="30">
        <v>1.3257669216218401E-2</v>
      </c>
      <c r="H25">
        <v>41.606628834608109</v>
      </c>
      <c r="I25" s="31">
        <v>48356</v>
      </c>
      <c r="K25" s="5">
        <v>45481</v>
      </c>
      <c r="L25" t="s">
        <v>19</v>
      </c>
      <c r="M25" s="3">
        <v>3224</v>
      </c>
      <c r="X25" s="5">
        <v>45481</v>
      </c>
      <c r="Z25" s="3">
        <v>243180</v>
      </c>
    </row>
    <row r="26" spans="1:26" hidden="1" x14ac:dyDescent="0.3">
      <c r="A26" s="28">
        <v>45488</v>
      </c>
      <c r="B26" t="s">
        <v>23</v>
      </c>
      <c r="C26" s="3">
        <v>3964</v>
      </c>
      <c r="D26" s="3">
        <v>378</v>
      </c>
      <c r="E26" s="3">
        <v>246766</v>
      </c>
      <c r="F26" s="3">
        <f>Twitter!$C26-Twitter!$D26</f>
        <v>3586</v>
      </c>
      <c r="G26" s="30">
        <v>1.45319857678935E-2</v>
      </c>
      <c r="H26">
        <v>13.6355899921383</v>
      </c>
      <c r="I26" s="31">
        <v>23109</v>
      </c>
      <c r="K26" s="5">
        <v>45488</v>
      </c>
      <c r="L26" t="s">
        <v>23</v>
      </c>
      <c r="M26" s="3">
        <v>3586</v>
      </c>
      <c r="X26" s="5">
        <v>45488</v>
      </c>
      <c r="Z26" s="3">
        <v>246766</v>
      </c>
    </row>
    <row r="27" spans="1:26" x14ac:dyDescent="0.3">
      <c r="A27" s="28">
        <v>45488</v>
      </c>
      <c r="B27" t="s">
        <v>41</v>
      </c>
      <c r="C27" s="3">
        <v>8137</v>
      </c>
      <c r="D27" s="3">
        <v>1045</v>
      </c>
      <c r="E27" s="3">
        <v>253858</v>
      </c>
      <c r="F27" s="3">
        <f>Twitter!$C27-Twitter!$D27</f>
        <v>7092</v>
      </c>
      <c r="G27" s="30">
        <v>2.79368780972039E-2</v>
      </c>
      <c r="H27">
        <v>20.47246886054408</v>
      </c>
      <c r="I27" s="31">
        <v>12023</v>
      </c>
      <c r="K27" s="5">
        <v>45488</v>
      </c>
      <c r="M27" s="3">
        <v>7092</v>
      </c>
      <c r="X27" s="5">
        <v>45488</v>
      </c>
      <c r="Z27" s="3">
        <v>253858</v>
      </c>
    </row>
    <row r="28" spans="1:26" hidden="1" x14ac:dyDescent="0.3">
      <c r="A28" s="28">
        <v>45488</v>
      </c>
      <c r="B28" t="s">
        <v>14</v>
      </c>
      <c r="C28" s="3">
        <v>1963</v>
      </c>
      <c r="D28" s="3">
        <v>137</v>
      </c>
      <c r="E28" s="3">
        <v>255684</v>
      </c>
      <c r="F28" s="3">
        <f>Twitter!$C28-Twitter!$D28</f>
        <v>1826</v>
      </c>
      <c r="G28" s="30">
        <v>7.1416279469970799E-3</v>
      </c>
      <c r="H28">
        <v>11.2083665774941</v>
      </c>
      <c r="I28" s="31">
        <v>24537</v>
      </c>
      <c r="K28" s="5">
        <v>45488</v>
      </c>
      <c r="L28" t="s">
        <v>14</v>
      </c>
      <c r="M28" s="3">
        <v>1826</v>
      </c>
      <c r="X28" s="5">
        <v>45488</v>
      </c>
      <c r="Z28" s="3">
        <v>255684</v>
      </c>
    </row>
    <row r="29" spans="1:26" hidden="1" x14ac:dyDescent="0.3">
      <c r="A29" s="28">
        <v>45488</v>
      </c>
      <c r="B29" t="s">
        <v>23</v>
      </c>
      <c r="C29" s="3">
        <v>1536</v>
      </c>
      <c r="D29" s="3">
        <v>155</v>
      </c>
      <c r="E29" s="3">
        <v>257065</v>
      </c>
      <c r="F29" s="3">
        <f>Twitter!$C29-Twitter!$D29</f>
        <v>1381</v>
      </c>
      <c r="G29" s="30">
        <v>5.3721821329235798E-3</v>
      </c>
      <c r="H29">
        <v>12.15762550327738</v>
      </c>
      <c r="I29" s="31">
        <v>36661</v>
      </c>
      <c r="K29" s="5">
        <v>45488</v>
      </c>
      <c r="L29" t="s">
        <v>23</v>
      </c>
      <c r="M29" s="3">
        <v>1381</v>
      </c>
      <c r="X29" s="5">
        <v>45488</v>
      </c>
      <c r="Z29" s="3">
        <v>257065</v>
      </c>
    </row>
    <row r="30" spans="1:26" hidden="1" x14ac:dyDescent="0.3">
      <c r="A30" s="28">
        <v>45495</v>
      </c>
      <c r="B30" t="s">
        <v>19</v>
      </c>
      <c r="C30" s="3">
        <v>8340</v>
      </c>
      <c r="D30" s="3">
        <v>911</v>
      </c>
      <c r="E30" s="3">
        <v>264494</v>
      </c>
      <c r="F30" s="3">
        <f>Twitter!$C30-Twitter!$D30</f>
        <v>7429</v>
      </c>
      <c r="G30" s="30">
        <v>2.8087593669421599E-2</v>
      </c>
      <c r="H30">
        <v>37.302925586213682</v>
      </c>
      <c r="I30" s="31">
        <v>48659</v>
      </c>
      <c r="K30" s="5">
        <v>45495</v>
      </c>
      <c r="L30" t="s">
        <v>19</v>
      </c>
      <c r="M30" s="3">
        <v>7429</v>
      </c>
      <c r="X30" s="5">
        <v>45495</v>
      </c>
      <c r="Z30" s="3">
        <v>264494</v>
      </c>
    </row>
    <row r="31" spans="1:26" x14ac:dyDescent="0.3">
      <c r="A31" s="28">
        <v>45495</v>
      </c>
      <c r="B31" t="s">
        <v>41</v>
      </c>
      <c r="C31" s="3">
        <v>8179</v>
      </c>
      <c r="D31" s="3">
        <v>446</v>
      </c>
      <c r="E31" s="3">
        <v>272227</v>
      </c>
      <c r="F31" s="3">
        <f>Twitter!$C31-Twitter!$D31</f>
        <v>7733</v>
      </c>
      <c r="G31" s="30">
        <v>2.84064402134983E-2</v>
      </c>
      <c r="H31">
        <v>41.82171496581897</v>
      </c>
      <c r="I31" s="31">
        <v>43848</v>
      </c>
      <c r="K31" s="5">
        <v>45495</v>
      </c>
      <c r="M31" s="3">
        <v>7733</v>
      </c>
      <c r="X31" s="5">
        <v>45495</v>
      </c>
      <c r="Z31" s="3">
        <v>272227</v>
      </c>
    </row>
    <row r="32" spans="1:26" hidden="1" x14ac:dyDescent="0.3">
      <c r="A32" s="28">
        <v>45495</v>
      </c>
      <c r="B32" t="s">
        <v>19</v>
      </c>
      <c r="C32" s="3">
        <v>8967</v>
      </c>
      <c r="D32" s="3">
        <v>993</v>
      </c>
      <c r="E32" s="3">
        <v>280201</v>
      </c>
      <c r="F32" s="3">
        <f>Twitter!$C32-Twitter!$D32</f>
        <v>7974</v>
      </c>
      <c r="G32" s="30">
        <v>2.8458142547671102E-2</v>
      </c>
      <c r="H32">
        <v>52.792102811910027</v>
      </c>
      <c r="I32" s="31">
        <v>47804</v>
      </c>
      <c r="K32" s="5">
        <v>45495</v>
      </c>
      <c r="L32" t="s">
        <v>19</v>
      </c>
      <c r="M32" s="3">
        <v>7974</v>
      </c>
      <c r="X32" s="5">
        <v>45495</v>
      </c>
      <c r="Z32" s="3">
        <v>280201</v>
      </c>
    </row>
    <row r="33" spans="1:26" hidden="1" x14ac:dyDescent="0.3">
      <c r="A33" s="28">
        <v>45495</v>
      </c>
      <c r="B33" t="s">
        <v>14</v>
      </c>
      <c r="C33" s="3">
        <v>9734</v>
      </c>
      <c r="D33" s="3">
        <v>652</v>
      </c>
      <c r="E33" s="3">
        <v>289283</v>
      </c>
      <c r="F33" s="3">
        <f>Twitter!$C33-Twitter!$D33</f>
        <v>9082</v>
      </c>
      <c r="G33" s="30">
        <v>3.1394862470314498E-2</v>
      </c>
      <c r="H33">
        <v>49.647922622483861</v>
      </c>
      <c r="I33" s="31">
        <v>25379</v>
      </c>
      <c r="K33" s="5">
        <v>45495</v>
      </c>
      <c r="L33" t="s">
        <v>14</v>
      </c>
      <c r="M33" s="3">
        <v>9082</v>
      </c>
      <c r="X33" s="5">
        <v>45495</v>
      </c>
      <c r="Z33" s="3">
        <v>289283</v>
      </c>
    </row>
    <row r="34" spans="1:26" hidden="1" x14ac:dyDescent="0.3">
      <c r="A34" s="28">
        <v>45502</v>
      </c>
      <c r="B34" t="s">
        <v>19</v>
      </c>
      <c r="C34" s="3">
        <v>1845</v>
      </c>
      <c r="D34" s="3">
        <v>104</v>
      </c>
      <c r="E34" s="3">
        <v>291024</v>
      </c>
      <c r="F34" s="3">
        <f>Twitter!$C34-Twitter!$D34</f>
        <v>1741</v>
      </c>
      <c r="G34" s="30">
        <v>5.9823244818296801E-3</v>
      </c>
      <c r="H34">
        <v>28.158158777282971</v>
      </c>
      <c r="I34" s="31">
        <v>37766</v>
      </c>
      <c r="K34" s="5">
        <v>45502</v>
      </c>
      <c r="L34" t="s">
        <v>19</v>
      </c>
      <c r="M34" s="3">
        <v>1741</v>
      </c>
      <c r="X34" s="5">
        <v>45502</v>
      </c>
      <c r="Z34" s="3">
        <v>291024</v>
      </c>
    </row>
    <row r="35" spans="1:26" hidden="1" x14ac:dyDescent="0.3">
      <c r="A35" s="28">
        <v>45502</v>
      </c>
      <c r="B35" t="s">
        <v>19</v>
      </c>
      <c r="C35" s="3">
        <v>6777</v>
      </c>
      <c r="D35" s="3">
        <v>981</v>
      </c>
      <c r="E35" s="3">
        <v>296820</v>
      </c>
      <c r="F35" s="3">
        <f>Twitter!$C35-Twitter!$D35</f>
        <v>5796</v>
      </c>
      <c r="G35" s="30">
        <v>1.9526986052152799E-2</v>
      </c>
      <c r="H35">
        <v>23.920557913887201</v>
      </c>
      <c r="I35" s="31">
        <v>53590</v>
      </c>
      <c r="K35" s="5">
        <v>45502</v>
      </c>
      <c r="L35" t="s">
        <v>19</v>
      </c>
      <c r="M35" s="3">
        <v>5796</v>
      </c>
      <c r="X35" s="5">
        <v>45502</v>
      </c>
      <c r="Z35" s="3">
        <v>296820</v>
      </c>
    </row>
    <row r="36" spans="1:26" hidden="1" x14ac:dyDescent="0.3">
      <c r="A36" s="28">
        <v>45502</v>
      </c>
      <c r="B36" t="s">
        <v>14</v>
      </c>
      <c r="C36" s="3">
        <v>4036</v>
      </c>
      <c r="D36" s="3">
        <v>591</v>
      </c>
      <c r="E36" s="3">
        <v>300265</v>
      </c>
      <c r="F36" s="3">
        <f>Twitter!$C36-Twitter!$D36</f>
        <v>3445</v>
      </c>
      <c r="G36" s="30">
        <v>1.1473198674504199E-2</v>
      </c>
      <c r="H36">
        <v>44.219272975538267</v>
      </c>
      <c r="I36" s="31">
        <v>12563</v>
      </c>
      <c r="K36" s="5">
        <v>45502</v>
      </c>
      <c r="L36" t="s">
        <v>14</v>
      </c>
      <c r="M36" s="3">
        <v>3445</v>
      </c>
      <c r="X36" s="5">
        <v>45502</v>
      </c>
      <c r="Z36" s="3">
        <v>300265</v>
      </c>
    </row>
    <row r="37" spans="1:26" x14ac:dyDescent="0.3">
      <c r="A37" s="28">
        <v>45502</v>
      </c>
      <c r="B37" t="s">
        <v>41</v>
      </c>
      <c r="C37" s="3">
        <v>6947</v>
      </c>
      <c r="D37" s="3">
        <v>908</v>
      </c>
      <c r="E37" s="3">
        <v>306304</v>
      </c>
      <c r="F37" s="3">
        <f>Twitter!$C37-Twitter!$D37</f>
        <v>6039</v>
      </c>
      <c r="G37" s="30">
        <v>1.9715707271207701E-2</v>
      </c>
      <c r="H37">
        <v>14.117673944839121</v>
      </c>
      <c r="I37" s="31">
        <v>46060</v>
      </c>
      <c r="K37" s="5">
        <v>45502</v>
      </c>
      <c r="M37" s="3">
        <v>6039</v>
      </c>
      <c r="X37" s="5">
        <v>45502</v>
      </c>
      <c r="Z37" s="3">
        <v>306304</v>
      </c>
    </row>
    <row r="38" spans="1:26" hidden="1" x14ac:dyDescent="0.3">
      <c r="A38" s="28">
        <v>45509</v>
      </c>
      <c r="B38" t="s">
        <v>23</v>
      </c>
      <c r="C38" s="3">
        <v>3494</v>
      </c>
      <c r="D38" s="3">
        <v>281</v>
      </c>
      <c r="E38" s="3">
        <v>309517</v>
      </c>
      <c r="F38" s="3">
        <f>Twitter!$C38-Twitter!$D38</f>
        <v>3213</v>
      </c>
      <c r="G38" s="30">
        <v>1.03806899136396E-2</v>
      </c>
      <c r="H38">
        <v>27.765518533715429</v>
      </c>
      <c r="I38" s="31">
        <v>39197</v>
      </c>
      <c r="K38" s="5">
        <v>45509</v>
      </c>
      <c r="L38" t="s">
        <v>23</v>
      </c>
      <c r="M38" s="3">
        <v>3213</v>
      </c>
      <c r="X38" s="5">
        <v>45509</v>
      </c>
      <c r="Z38" s="3">
        <v>309517</v>
      </c>
    </row>
    <row r="39" spans="1:26" x14ac:dyDescent="0.3">
      <c r="A39" s="28">
        <v>45509</v>
      </c>
      <c r="B39" t="s">
        <v>41</v>
      </c>
      <c r="C39" s="3">
        <v>3719</v>
      </c>
      <c r="D39" s="3">
        <v>222</v>
      </c>
      <c r="E39" s="3">
        <v>313014</v>
      </c>
      <c r="F39" s="3">
        <f>Twitter!$C39-Twitter!$D39</f>
        <v>3497</v>
      </c>
      <c r="G39" s="30">
        <v>1.11720242545062E-2</v>
      </c>
      <c r="H39">
        <v>21.669318305251519</v>
      </c>
      <c r="I39" s="31">
        <v>13586</v>
      </c>
      <c r="K39" s="5">
        <v>45509</v>
      </c>
      <c r="M39" s="3">
        <v>3497</v>
      </c>
      <c r="X39" s="5">
        <v>45509</v>
      </c>
      <c r="Z39" s="3">
        <v>313014</v>
      </c>
    </row>
    <row r="40" spans="1:26" hidden="1" x14ac:dyDescent="0.3">
      <c r="A40" s="28">
        <v>45509</v>
      </c>
      <c r="B40" t="s">
        <v>14</v>
      </c>
      <c r="C40" s="3">
        <v>2884</v>
      </c>
      <c r="D40" s="3">
        <v>341</v>
      </c>
      <c r="E40" s="3">
        <v>315557</v>
      </c>
      <c r="F40" s="3">
        <f>Twitter!$C40-Twitter!$D40</f>
        <v>2543</v>
      </c>
      <c r="G40" s="30">
        <v>8.0587659281841292E-3</v>
      </c>
      <c r="H40">
        <v>46.999749649033298</v>
      </c>
      <c r="I40" s="31">
        <v>26087</v>
      </c>
      <c r="K40" s="5">
        <v>45509</v>
      </c>
      <c r="L40" t="s">
        <v>14</v>
      </c>
      <c r="M40" s="3">
        <v>2543</v>
      </c>
      <c r="X40" s="5">
        <v>45509</v>
      </c>
      <c r="Z40" s="3">
        <v>315557</v>
      </c>
    </row>
    <row r="41" spans="1:26" hidden="1" x14ac:dyDescent="0.3">
      <c r="A41" s="28">
        <v>45509</v>
      </c>
      <c r="B41" t="s">
        <v>19</v>
      </c>
      <c r="C41" s="3">
        <v>5349</v>
      </c>
      <c r="D41" s="3">
        <v>502</v>
      </c>
      <c r="E41" s="3">
        <v>320404</v>
      </c>
      <c r="F41" s="3">
        <f>Twitter!$C41-Twitter!$D41</f>
        <v>4847</v>
      </c>
      <c r="G41" s="30">
        <v>1.51277761825695E-2</v>
      </c>
      <c r="H41">
        <v>5.2152906954969351</v>
      </c>
      <c r="I41" s="31">
        <v>58868</v>
      </c>
      <c r="K41" s="5">
        <v>45509</v>
      </c>
      <c r="L41" t="s">
        <v>19</v>
      </c>
      <c r="M41" s="3">
        <v>4847</v>
      </c>
      <c r="X41" s="5">
        <v>45509</v>
      </c>
      <c r="Z41" s="3">
        <v>320404</v>
      </c>
    </row>
    <row r="42" spans="1:26" x14ac:dyDescent="0.3">
      <c r="A42" s="28">
        <v>45516</v>
      </c>
      <c r="B42" t="s">
        <v>41</v>
      </c>
      <c r="C42" s="3">
        <v>6179</v>
      </c>
      <c r="D42" s="3">
        <v>384</v>
      </c>
      <c r="E42" s="3">
        <v>326199</v>
      </c>
      <c r="F42" s="3">
        <f>Twitter!$C42-Twitter!$D42</f>
        <v>5795</v>
      </c>
      <c r="G42" s="30">
        <v>1.7765229200580001E-2</v>
      </c>
      <c r="H42">
        <v>14.71218489327067</v>
      </c>
      <c r="I42" s="31">
        <v>33225</v>
      </c>
      <c r="K42" s="5">
        <v>45516</v>
      </c>
      <c r="M42" s="3">
        <v>5795</v>
      </c>
      <c r="X42" s="5">
        <v>45516</v>
      </c>
      <c r="Z42" s="3">
        <v>326199</v>
      </c>
    </row>
    <row r="43" spans="1:26" hidden="1" x14ac:dyDescent="0.3">
      <c r="A43" s="28">
        <v>45516</v>
      </c>
      <c r="B43" t="s">
        <v>23</v>
      </c>
      <c r="C43" s="3">
        <v>7610</v>
      </c>
      <c r="D43" s="3">
        <v>757</v>
      </c>
      <c r="E43" s="3">
        <v>333052</v>
      </c>
      <c r="F43" s="3">
        <f>Twitter!$C43-Twitter!$D43</f>
        <v>6853</v>
      </c>
      <c r="G43" s="30">
        <v>2.0576366453286601E-2</v>
      </c>
      <c r="H43">
        <v>44.450416151231643</v>
      </c>
      <c r="I43" s="31">
        <v>39750</v>
      </c>
      <c r="K43" s="5">
        <v>45516</v>
      </c>
      <c r="L43" t="s">
        <v>23</v>
      </c>
      <c r="M43" s="3">
        <v>6853</v>
      </c>
      <c r="X43" s="5">
        <v>45516</v>
      </c>
      <c r="Z43" s="3">
        <v>333052</v>
      </c>
    </row>
    <row r="44" spans="1:26" hidden="1" x14ac:dyDescent="0.3">
      <c r="A44" s="28">
        <v>45516</v>
      </c>
      <c r="B44" t="s">
        <v>14</v>
      </c>
      <c r="C44" s="3">
        <v>7430</v>
      </c>
      <c r="D44" s="3">
        <v>397</v>
      </c>
      <c r="E44" s="3">
        <v>340085</v>
      </c>
      <c r="F44" s="3">
        <f>Twitter!$C44-Twitter!$D44</f>
        <v>7033</v>
      </c>
      <c r="G44" s="30">
        <v>2.0680124086625399E-2</v>
      </c>
      <c r="H44">
        <v>28.065042562888689</v>
      </c>
      <c r="I44" s="31">
        <v>16643</v>
      </c>
      <c r="K44" s="5">
        <v>45516</v>
      </c>
      <c r="L44" t="s">
        <v>14</v>
      </c>
      <c r="M44" s="3">
        <v>7033</v>
      </c>
      <c r="X44" s="5">
        <v>45516</v>
      </c>
      <c r="Z44" s="3">
        <v>340085</v>
      </c>
    </row>
    <row r="45" spans="1:26" x14ac:dyDescent="0.3">
      <c r="A45" s="28">
        <v>45516</v>
      </c>
      <c r="B45" t="s">
        <v>41</v>
      </c>
      <c r="C45" s="3">
        <v>8154</v>
      </c>
      <c r="D45" s="3">
        <v>1149</v>
      </c>
      <c r="E45" s="3">
        <v>347090</v>
      </c>
      <c r="F45" s="3">
        <f>Twitter!$C45-Twitter!$D45</f>
        <v>7005</v>
      </c>
      <c r="G45" s="30">
        <v>2.0182085338096699E-2</v>
      </c>
      <c r="H45">
        <v>26.003918292085629</v>
      </c>
      <c r="I45" s="31">
        <v>37523</v>
      </c>
      <c r="K45" s="5">
        <v>45516</v>
      </c>
      <c r="M45" s="3">
        <v>7005</v>
      </c>
      <c r="X45" s="5">
        <v>45516</v>
      </c>
      <c r="Z45" s="3">
        <v>347090</v>
      </c>
    </row>
    <row r="46" spans="1:26" hidden="1" x14ac:dyDescent="0.3">
      <c r="A46" s="28">
        <v>45523</v>
      </c>
      <c r="B46" t="s">
        <v>23</v>
      </c>
      <c r="C46" s="3">
        <v>7488</v>
      </c>
      <c r="D46" s="3">
        <v>568</v>
      </c>
      <c r="E46" s="3">
        <v>354010</v>
      </c>
      <c r="F46" s="3">
        <f>Twitter!$C46-Twitter!$D46</f>
        <v>6920</v>
      </c>
      <c r="G46" s="30">
        <v>1.9547470410440401E-2</v>
      </c>
      <c r="H46">
        <v>13.47730290104799</v>
      </c>
      <c r="I46" s="31">
        <v>46727</v>
      </c>
      <c r="K46" s="5">
        <v>45523</v>
      </c>
      <c r="L46" t="s">
        <v>23</v>
      </c>
      <c r="M46" s="3">
        <v>6920</v>
      </c>
      <c r="X46" s="5">
        <v>45523</v>
      </c>
      <c r="Z46" s="3">
        <v>354010</v>
      </c>
    </row>
    <row r="47" spans="1:26" hidden="1" x14ac:dyDescent="0.3">
      <c r="A47" s="28">
        <v>45523</v>
      </c>
      <c r="B47" t="s">
        <v>14</v>
      </c>
      <c r="C47" s="3">
        <v>5737</v>
      </c>
      <c r="D47" s="3">
        <v>666</v>
      </c>
      <c r="E47" s="3">
        <v>359081</v>
      </c>
      <c r="F47" s="3">
        <f>Twitter!$C47-Twitter!$D47</f>
        <v>5071</v>
      </c>
      <c r="G47" s="30">
        <v>1.4122161852061201E-2</v>
      </c>
      <c r="H47">
        <v>4.6034181702735593</v>
      </c>
      <c r="I47" s="31">
        <v>21005</v>
      </c>
      <c r="K47" s="5">
        <v>45523</v>
      </c>
      <c r="L47" t="s">
        <v>14</v>
      </c>
      <c r="M47" s="3">
        <v>5071</v>
      </c>
      <c r="X47" s="5">
        <v>45523</v>
      </c>
      <c r="Z47" s="3">
        <v>359081</v>
      </c>
    </row>
    <row r="48" spans="1:26" hidden="1" x14ac:dyDescent="0.3">
      <c r="A48" s="28">
        <v>45523</v>
      </c>
      <c r="B48" t="s">
        <v>23</v>
      </c>
      <c r="C48" s="3">
        <v>7525</v>
      </c>
      <c r="D48" s="3">
        <v>610</v>
      </c>
      <c r="E48" s="3">
        <v>365996</v>
      </c>
      <c r="F48" s="3">
        <f>Twitter!$C48-Twitter!$D48</f>
        <v>6915</v>
      </c>
      <c r="G48" s="30">
        <v>1.8893649110919199E-2</v>
      </c>
      <c r="H48">
        <v>5.7694619613329108</v>
      </c>
      <c r="I48" s="31">
        <v>53543</v>
      </c>
      <c r="K48" s="5">
        <v>45523</v>
      </c>
      <c r="L48" t="s">
        <v>23</v>
      </c>
      <c r="M48" s="3">
        <v>6915</v>
      </c>
      <c r="X48" s="5">
        <v>45523</v>
      </c>
      <c r="Z48" s="3">
        <v>365996</v>
      </c>
    </row>
    <row r="49" spans="1:26" hidden="1" x14ac:dyDescent="0.3">
      <c r="A49" s="28">
        <v>45523</v>
      </c>
      <c r="B49" t="s">
        <v>14</v>
      </c>
      <c r="C49" s="3">
        <v>4850</v>
      </c>
      <c r="D49" s="3">
        <v>494</v>
      </c>
      <c r="E49" s="3">
        <v>370352</v>
      </c>
      <c r="F49" s="3">
        <f>Twitter!$C49-Twitter!$D49</f>
        <v>4356</v>
      </c>
      <c r="G49" s="30">
        <v>1.1761783384455901E-2</v>
      </c>
      <c r="H49">
        <v>20.46539508359615</v>
      </c>
      <c r="I49" s="31">
        <v>10161</v>
      </c>
      <c r="K49" s="5">
        <v>45523</v>
      </c>
      <c r="L49" t="s">
        <v>14</v>
      </c>
      <c r="M49" s="3">
        <v>4356</v>
      </c>
      <c r="X49" s="5">
        <v>45523</v>
      </c>
      <c r="Z49" s="3">
        <v>370352</v>
      </c>
    </row>
    <row r="50" spans="1:26" hidden="1" x14ac:dyDescent="0.3">
      <c r="A50" s="28">
        <v>45530</v>
      </c>
      <c r="B50" t="s">
        <v>19</v>
      </c>
      <c r="C50" s="3">
        <v>1689</v>
      </c>
      <c r="D50" s="3">
        <v>176</v>
      </c>
      <c r="E50" s="3">
        <v>371865</v>
      </c>
      <c r="F50" s="3">
        <f>Twitter!$C50-Twitter!$D50</f>
        <v>1513</v>
      </c>
      <c r="G50" s="30">
        <v>4.0686808384763299E-3</v>
      </c>
      <c r="H50">
        <v>38.012181840183942</v>
      </c>
      <c r="I50" s="31">
        <v>26029</v>
      </c>
      <c r="K50" s="5">
        <v>45530</v>
      </c>
      <c r="L50" t="s">
        <v>19</v>
      </c>
      <c r="M50" s="3">
        <v>1513</v>
      </c>
      <c r="X50" s="5">
        <v>45530</v>
      </c>
      <c r="Z50" s="3">
        <v>371865</v>
      </c>
    </row>
    <row r="51" spans="1:26" x14ac:dyDescent="0.3">
      <c r="A51" s="28">
        <v>45530</v>
      </c>
      <c r="B51" t="s">
        <v>41</v>
      </c>
      <c r="C51" s="3">
        <v>6175</v>
      </c>
      <c r="D51" s="3">
        <v>422</v>
      </c>
      <c r="E51" s="3">
        <v>377618</v>
      </c>
      <c r="F51" s="3">
        <f>Twitter!$C51-Twitter!$D51</f>
        <v>5753</v>
      </c>
      <c r="G51" s="30">
        <v>1.5234972909130401E-2</v>
      </c>
      <c r="H51">
        <v>37.86101298137271</v>
      </c>
      <c r="I51" s="31">
        <v>59745</v>
      </c>
      <c r="K51" s="5">
        <v>45530</v>
      </c>
      <c r="M51" s="3">
        <v>5753</v>
      </c>
      <c r="X51" s="5">
        <v>45530</v>
      </c>
      <c r="Z51" s="3">
        <v>377618</v>
      </c>
    </row>
    <row r="52" spans="1:26" hidden="1" x14ac:dyDescent="0.3">
      <c r="A52" s="28">
        <v>45530</v>
      </c>
      <c r="B52" t="s">
        <v>23</v>
      </c>
      <c r="C52" s="3">
        <v>9648</v>
      </c>
      <c r="D52" s="3">
        <v>1417</v>
      </c>
      <c r="E52" s="3">
        <v>385849</v>
      </c>
      <c r="F52" s="3">
        <f>Twitter!$C52-Twitter!$D52</f>
        <v>8231</v>
      </c>
      <c r="G52" s="30">
        <v>2.13321791685348E-2</v>
      </c>
      <c r="H52">
        <v>3.6633501706626168</v>
      </c>
      <c r="I52" s="31">
        <v>24226</v>
      </c>
      <c r="K52" s="5">
        <v>45530</v>
      </c>
      <c r="L52" t="s">
        <v>23</v>
      </c>
      <c r="M52" s="3">
        <v>8231</v>
      </c>
      <c r="X52" s="5">
        <v>45530</v>
      </c>
      <c r="Z52" s="3">
        <v>385849</v>
      </c>
    </row>
    <row r="53" spans="1:26" hidden="1" x14ac:dyDescent="0.3">
      <c r="A53" s="28">
        <v>45530</v>
      </c>
      <c r="B53" t="s">
        <v>14</v>
      </c>
      <c r="C53" s="3">
        <v>6078</v>
      </c>
      <c r="D53" s="3">
        <v>775</v>
      </c>
      <c r="E53" s="3">
        <v>391152</v>
      </c>
      <c r="F53" s="3">
        <f>Twitter!$C53-Twitter!$D53</f>
        <v>5303</v>
      </c>
      <c r="G53" s="30">
        <v>1.35573894547388E-2</v>
      </c>
      <c r="H53">
        <v>37.760512537325639</v>
      </c>
      <c r="I53" s="31">
        <v>38731</v>
      </c>
      <c r="K53" s="5">
        <v>45530</v>
      </c>
      <c r="L53" t="s">
        <v>14</v>
      </c>
      <c r="M53" s="3">
        <v>5303</v>
      </c>
      <c r="X53" s="5">
        <v>45530</v>
      </c>
      <c r="Z53" s="3">
        <v>391152</v>
      </c>
    </row>
    <row r="54" spans="1:26" hidden="1" x14ac:dyDescent="0.3">
      <c r="A54" s="28">
        <v>45537</v>
      </c>
      <c r="B54" t="s">
        <v>23</v>
      </c>
      <c r="C54" s="3">
        <v>6448</v>
      </c>
      <c r="D54" s="3">
        <v>928</v>
      </c>
      <c r="E54" s="3">
        <v>396672</v>
      </c>
      <c r="F54" s="3">
        <f>Twitter!$C54-Twitter!$D54</f>
        <v>5520</v>
      </c>
      <c r="G54" s="30">
        <v>1.3915779283639899E-2</v>
      </c>
      <c r="H54">
        <v>30.118586640851881</v>
      </c>
      <c r="I54" s="31">
        <v>53922</v>
      </c>
      <c r="K54" s="5">
        <v>45537</v>
      </c>
      <c r="L54" t="s">
        <v>23</v>
      </c>
      <c r="M54" s="3">
        <v>5520</v>
      </c>
      <c r="X54" s="5">
        <v>45537</v>
      </c>
      <c r="Z54" s="3">
        <v>396672</v>
      </c>
    </row>
    <row r="55" spans="1:26" hidden="1" x14ac:dyDescent="0.3">
      <c r="A55" s="28">
        <v>45537</v>
      </c>
      <c r="B55" t="s">
        <v>23</v>
      </c>
      <c r="C55" s="3">
        <v>2179</v>
      </c>
      <c r="D55" s="3">
        <v>303</v>
      </c>
      <c r="E55" s="3">
        <v>398548</v>
      </c>
      <c r="F55" s="3">
        <f>Twitter!$C55-Twitter!$D55</f>
        <v>1876</v>
      </c>
      <c r="G55" s="30">
        <v>4.7070867248110602E-3</v>
      </c>
      <c r="H55">
        <v>33.909842729106657</v>
      </c>
      <c r="I55" s="31">
        <v>54848</v>
      </c>
      <c r="K55" s="5">
        <v>45537</v>
      </c>
      <c r="L55" t="s">
        <v>23</v>
      </c>
      <c r="M55" s="3">
        <v>1876</v>
      </c>
      <c r="X55" s="5">
        <v>45537</v>
      </c>
      <c r="Z55" s="3">
        <v>398548</v>
      </c>
    </row>
    <row r="56" spans="1:26" x14ac:dyDescent="0.3">
      <c r="A56" s="28">
        <v>45537</v>
      </c>
      <c r="B56" t="s">
        <v>41</v>
      </c>
      <c r="C56" s="3">
        <v>7406</v>
      </c>
      <c r="D56" s="3">
        <v>813</v>
      </c>
      <c r="E56" s="3">
        <v>405141</v>
      </c>
      <c r="F56" s="3">
        <f>Twitter!$C56-Twitter!$D56</f>
        <v>6593</v>
      </c>
      <c r="G56" s="30">
        <v>1.62733468101229E-2</v>
      </c>
      <c r="H56">
        <v>24.457411123534769</v>
      </c>
      <c r="I56" s="31">
        <v>13390</v>
      </c>
      <c r="K56" s="5">
        <v>45537</v>
      </c>
      <c r="M56" s="3">
        <v>6593</v>
      </c>
      <c r="X56" s="5">
        <v>45537</v>
      </c>
      <c r="Z56" s="3">
        <v>405141</v>
      </c>
    </row>
    <row r="57" spans="1:26" hidden="1" x14ac:dyDescent="0.3">
      <c r="A57" s="28">
        <v>45537</v>
      </c>
      <c r="B57" t="s">
        <v>19</v>
      </c>
      <c r="C57" s="3">
        <v>9591</v>
      </c>
      <c r="D57" s="3">
        <v>1363</v>
      </c>
      <c r="E57" s="3">
        <v>413369</v>
      </c>
      <c r="F57" s="3">
        <f>Twitter!$C57-Twitter!$D57</f>
        <v>8228</v>
      </c>
      <c r="G57" s="30">
        <v>1.9904734026983201E-2</v>
      </c>
      <c r="H57">
        <v>10.494255737609739</v>
      </c>
      <c r="I57" s="31">
        <v>15997</v>
      </c>
      <c r="K57" s="5">
        <v>45537</v>
      </c>
      <c r="L57" t="s">
        <v>19</v>
      </c>
      <c r="M57" s="3">
        <v>8228</v>
      </c>
      <c r="X57" s="5">
        <v>45537</v>
      </c>
      <c r="Z57" s="3">
        <v>413369</v>
      </c>
    </row>
    <row r="58" spans="1:26" hidden="1" x14ac:dyDescent="0.3">
      <c r="A58" s="28">
        <v>45544</v>
      </c>
      <c r="B58" t="s">
        <v>23</v>
      </c>
      <c r="C58" s="3">
        <v>7907</v>
      </c>
      <c r="D58" s="3">
        <v>465</v>
      </c>
      <c r="E58" s="3">
        <v>420811</v>
      </c>
      <c r="F58" s="3">
        <f>Twitter!$C58-Twitter!$D58</f>
        <v>7442</v>
      </c>
      <c r="G58" s="30">
        <v>1.76848989213685E-2</v>
      </c>
      <c r="H58">
        <v>33.257448118038738</v>
      </c>
      <c r="I58" s="31">
        <v>22693</v>
      </c>
      <c r="K58" s="5">
        <v>45544</v>
      </c>
      <c r="L58" t="s">
        <v>23</v>
      </c>
      <c r="M58" s="3">
        <v>7442</v>
      </c>
      <c r="X58" s="5">
        <v>45544</v>
      </c>
      <c r="Z58" s="3">
        <v>420811</v>
      </c>
    </row>
    <row r="59" spans="1:26" hidden="1" x14ac:dyDescent="0.3">
      <c r="A59" s="28">
        <v>45544</v>
      </c>
      <c r="B59" t="s">
        <v>14</v>
      </c>
      <c r="C59" s="3">
        <v>9800</v>
      </c>
      <c r="D59" s="3">
        <v>682</v>
      </c>
      <c r="E59" s="3">
        <v>429929</v>
      </c>
      <c r="F59" s="3">
        <f>Twitter!$C59-Twitter!$D59</f>
        <v>9118</v>
      </c>
      <c r="G59" s="30">
        <v>2.1208152974095701E-2</v>
      </c>
      <c r="H59">
        <v>6.2966210699906267</v>
      </c>
      <c r="I59" s="31">
        <v>59815</v>
      </c>
      <c r="K59" s="5">
        <v>45544</v>
      </c>
      <c r="L59" t="s">
        <v>14</v>
      </c>
      <c r="M59" s="3">
        <v>9118</v>
      </c>
      <c r="X59" s="5">
        <v>45544</v>
      </c>
      <c r="Z59" s="3">
        <v>429929</v>
      </c>
    </row>
    <row r="60" spans="1:26" hidden="1" x14ac:dyDescent="0.3">
      <c r="A60" s="28">
        <v>45544</v>
      </c>
      <c r="B60" t="s">
        <v>14</v>
      </c>
      <c r="C60" s="3">
        <v>2638</v>
      </c>
      <c r="D60" s="3">
        <v>143</v>
      </c>
      <c r="E60" s="3">
        <v>432424</v>
      </c>
      <c r="F60" s="3">
        <f>Twitter!$C60-Twitter!$D60</f>
        <v>2495</v>
      </c>
      <c r="G60" s="30">
        <v>5.76980001110022E-3</v>
      </c>
      <c r="H60">
        <v>6.9547481175882924</v>
      </c>
      <c r="I60" s="31">
        <v>52092</v>
      </c>
      <c r="K60" s="5">
        <v>45544</v>
      </c>
      <c r="L60" t="s">
        <v>14</v>
      </c>
      <c r="M60" s="3">
        <v>2495</v>
      </c>
      <c r="X60" s="5">
        <v>45544</v>
      </c>
      <c r="Z60" s="3">
        <v>432424</v>
      </c>
    </row>
    <row r="61" spans="1:26" hidden="1" x14ac:dyDescent="0.3">
      <c r="A61" s="28">
        <v>45544</v>
      </c>
      <c r="B61" t="s">
        <v>19</v>
      </c>
      <c r="C61" s="3">
        <v>6671</v>
      </c>
      <c r="D61" s="3">
        <v>550</v>
      </c>
      <c r="E61" s="3">
        <v>438545</v>
      </c>
      <c r="F61" s="3">
        <f>Twitter!$C61-Twitter!$D61</f>
        <v>6121</v>
      </c>
      <c r="G61" s="30">
        <v>1.3957518612685099E-2</v>
      </c>
      <c r="H61">
        <v>17.750287883797562</v>
      </c>
      <c r="I61" s="31">
        <v>10541</v>
      </c>
      <c r="K61" s="5">
        <v>45544</v>
      </c>
      <c r="L61" t="s">
        <v>19</v>
      </c>
      <c r="M61" s="3">
        <v>6121</v>
      </c>
      <c r="X61" s="5">
        <v>45544</v>
      </c>
      <c r="Z61" s="3">
        <v>438545</v>
      </c>
    </row>
    <row r="62" spans="1:26" hidden="1" x14ac:dyDescent="0.3">
      <c r="A62" s="28">
        <v>45551</v>
      </c>
      <c r="B62" t="s">
        <v>14</v>
      </c>
      <c r="C62" s="3">
        <v>7928</v>
      </c>
      <c r="D62" s="3">
        <v>704</v>
      </c>
      <c r="E62" s="3">
        <v>445769</v>
      </c>
      <c r="F62" s="3">
        <f>Twitter!$C62-Twitter!$D62</f>
        <v>7224</v>
      </c>
      <c r="G62" s="30">
        <v>1.6205702953772001E-2</v>
      </c>
      <c r="H62">
        <v>11.194362999670229</v>
      </c>
      <c r="I62" s="31">
        <v>31817</v>
      </c>
      <c r="K62" s="5">
        <v>45551</v>
      </c>
      <c r="L62" t="s">
        <v>14</v>
      </c>
      <c r="M62" s="3">
        <v>7224</v>
      </c>
      <c r="X62" s="5">
        <v>45551</v>
      </c>
      <c r="Z62" s="3">
        <v>445769</v>
      </c>
    </row>
    <row r="63" spans="1:26" hidden="1" x14ac:dyDescent="0.3">
      <c r="A63" s="28">
        <v>45551</v>
      </c>
      <c r="B63" t="s">
        <v>19</v>
      </c>
      <c r="C63" s="3">
        <v>2382</v>
      </c>
      <c r="D63" s="3">
        <v>183</v>
      </c>
      <c r="E63" s="3">
        <v>447968</v>
      </c>
      <c r="F63" s="3">
        <f>Twitter!$C63-Twitter!$D63</f>
        <v>2199</v>
      </c>
      <c r="G63" s="30">
        <v>4.9088327737695503E-3</v>
      </c>
      <c r="H63">
        <v>4.7335970426459033</v>
      </c>
      <c r="I63" s="31">
        <v>47861</v>
      </c>
      <c r="K63" s="5">
        <v>45551</v>
      </c>
      <c r="L63" t="s">
        <v>19</v>
      </c>
      <c r="M63" s="3">
        <v>2199</v>
      </c>
      <c r="X63" s="5">
        <v>45551</v>
      </c>
      <c r="Z63" s="3">
        <v>447968</v>
      </c>
    </row>
    <row r="64" spans="1:26" hidden="1" x14ac:dyDescent="0.3">
      <c r="A64" s="28">
        <v>45551</v>
      </c>
      <c r="B64" t="s">
        <v>14</v>
      </c>
      <c r="C64" s="3">
        <v>2403</v>
      </c>
      <c r="D64" s="3">
        <v>319</v>
      </c>
      <c r="E64" s="3">
        <v>450052</v>
      </c>
      <c r="F64" s="3">
        <f>Twitter!$C64-Twitter!$D64</f>
        <v>2084</v>
      </c>
      <c r="G64" s="30">
        <v>4.63057602232631E-3</v>
      </c>
      <c r="H64">
        <v>29.92120910472568</v>
      </c>
      <c r="I64" s="31">
        <v>23428</v>
      </c>
      <c r="K64" s="5">
        <v>45551</v>
      </c>
      <c r="L64" t="s">
        <v>14</v>
      </c>
      <c r="M64" s="3">
        <v>2084</v>
      </c>
      <c r="X64" s="5">
        <v>45551</v>
      </c>
      <c r="Z64" s="3">
        <v>450052</v>
      </c>
    </row>
    <row r="65" spans="1:26" x14ac:dyDescent="0.3">
      <c r="A65" s="28">
        <v>45551</v>
      </c>
      <c r="B65" t="s">
        <v>41</v>
      </c>
      <c r="C65" s="3">
        <v>4292</v>
      </c>
      <c r="D65" s="3">
        <v>367</v>
      </c>
      <c r="E65" s="3">
        <v>453977</v>
      </c>
      <c r="F65" s="3">
        <f>Twitter!$C65-Twitter!$D65</f>
        <v>3925</v>
      </c>
      <c r="G65" s="30">
        <v>8.6458124530537899E-3</v>
      </c>
      <c r="H65">
        <v>3.5037017293827661</v>
      </c>
      <c r="I65" s="31">
        <v>53934</v>
      </c>
      <c r="K65" s="5">
        <v>45551</v>
      </c>
      <c r="M65" s="3">
        <v>3925</v>
      </c>
      <c r="X65" s="5">
        <v>45551</v>
      </c>
      <c r="Z65" s="3">
        <v>453977</v>
      </c>
    </row>
    <row r="66" spans="1:26" hidden="1" x14ac:dyDescent="0.3">
      <c r="A66" s="28">
        <v>45558</v>
      </c>
      <c r="B66" t="s">
        <v>23</v>
      </c>
      <c r="C66" s="3">
        <v>1419</v>
      </c>
      <c r="D66" s="3">
        <v>110</v>
      </c>
      <c r="E66" s="3">
        <v>455286</v>
      </c>
      <c r="F66" s="3">
        <f>Twitter!$C66-Twitter!$D66</f>
        <v>1309</v>
      </c>
      <c r="G66" s="30">
        <v>2.8751158612388699E-3</v>
      </c>
      <c r="H66">
        <v>31.554451487636339</v>
      </c>
      <c r="I66" s="31">
        <v>58831</v>
      </c>
      <c r="K66" s="5">
        <v>45558</v>
      </c>
      <c r="L66" t="s">
        <v>23</v>
      </c>
      <c r="M66" s="3">
        <v>1309</v>
      </c>
      <c r="X66" s="5">
        <v>45558</v>
      </c>
      <c r="Z66" s="3">
        <v>455286</v>
      </c>
    </row>
    <row r="67" spans="1:26" x14ac:dyDescent="0.3">
      <c r="A67" s="28">
        <v>45558</v>
      </c>
      <c r="B67" t="s">
        <v>41</v>
      </c>
      <c r="C67" s="3">
        <v>5517</v>
      </c>
      <c r="D67" s="3">
        <v>575</v>
      </c>
      <c r="E67" s="3">
        <v>460228</v>
      </c>
      <c r="F67" s="3">
        <f>Twitter!$C67-Twitter!$D67</f>
        <v>4942</v>
      </c>
      <c r="G67" s="30">
        <v>1.07381558705685E-2</v>
      </c>
      <c r="H67">
        <v>29.45844233727631</v>
      </c>
      <c r="I67" s="31">
        <v>20258</v>
      </c>
      <c r="K67" s="5">
        <v>45558</v>
      </c>
      <c r="M67" s="3">
        <v>4942</v>
      </c>
      <c r="X67" s="5">
        <v>45558</v>
      </c>
      <c r="Z67" s="3">
        <v>460228</v>
      </c>
    </row>
    <row r="68" spans="1:26" hidden="1" x14ac:dyDescent="0.3">
      <c r="A68" s="28">
        <v>45558</v>
      </c>
      <c r="B68" t="s">
        <v>23</v>
      </c>
      <c r="C68" s="3">
        <v>4302</v>
      </c>
      <c r="D68" s="3">
        <v>275</v>
      </c>
      <c r="E68" s="3">
        <v>464255</v>
      </c>
      <c r="F68" s="3">
        <f>Twitter!$C68-Twitter!$D68</f>
        <v>4027</v>
      </c>
      <c r="G68" s="30">
        <v>8.6741122874282404E-3</v>
      </c>
      <c r="H68">
        <v>15.72131694865968</v>
      </c>
      <c r="I68" s="31">
        <v>26044</v>
      </c>
      <c r="K68" s="5">
        <v>45558</v>
      </c>
      <c r="L68" t="s">
        <v>23</v>
      </c>
      <c r="M68" s="3">
        <v>4027</v>
      </c>
      <c r="X68" s="5">
        <v>45558</v>
      </c>
      <c r="Z68" s="3">
        <v>464255</v>
      </c>
    </row>
    <row r="69" spans="1:26" hidden="1" x14ac:dyDescent="0.3">
      <c r="A69" s="28">
        <v>45558</v>
      </c>
      <c r="B69" t="s">
        <v>23</v>
      </c>
      <c r="C69" s="3">
        <v>8857</v>
      </c>
      <c r="D69" s="3">
        <v>1153</v>
      </c>
      <c r="E69" s="3">
        <v>471959</v>
      </c>
      <c r="F69" s="3">
        <f>Twitter!$C69-Twitter!$D69</f>
        <v>7704</v>
      </c>
      <c r="G69" s="30">
        <v>1.6323451825264498E-2</v>
      </c>
      <c r="H69">
        <v>19.214592793018038</v>
      </c>
      <c r="I69" s="31">
        <v>39411</v>
      </c>
      <c r="K69" s="5">
        <v>45558</v>
      </c>
      <c r="L69" t="s">
        <v>23</v>
      </c>
      <c r="M69" s="3">
        <v>7704</v>
      </c>
      <c r="X69" s="5">
        <v>45558</v>
      </c>
      <c r="Z69" s="3">
        <v>471959</v>
      </c>
    </row>
    <row r="70" spans="1:26" hidden="1" x14ac:dyDescent="0.3">
      <c r="A70" s="28">
        <v>45565</v>
      </c>
      <c r="B70" t="s">
        <v>23</v>
      </c>
      <c r="C70" s="3">
        <v>8870</v>
      </c>
      <c r="D70" s="3">
        <v>509</v>
      </c>
      <c r="E70" s="3">
        <v>480320</v>
      </c>
      <c r="F70" s="3">
        <f>Twitter!$C70-Twitter!$D70</f>
        <v>8361</v>
      </c>
      <c r="G70" s="30">
        <v>1.7407145236508999E-2</v>
      </c>
      <c r="H70">
        <v>25.077864756828781</v>
      </c>
      <c r="I70" s="31">
        <v>15469</v>
      </c>
      <c r="K70" s="5">
        <v>45565</v>
      </c>
      <c r="L70" t="s">
        <v>23</v>
      </c>
      <c r="M70" s="3">
        <v>8361</v>
      </c>
      <c r="X70" s="5">
        <v>45565</v>
      </c>
      <c r="Z70" s="3">
        <v>480320</v>
      </c>
    </row>
    <row r="71" spans="1:26" x14ac:dyDescent="0.3">
      <c r="A71" s="28">
        <v>45565</v>
      </c>
      <c r="B71" t="s">
        <v>41</v>
      </c>
      <c r="C71" s="3">
        <v>6693</v>
      </c>
      <c r="D71" s="3">
        <v>995</v>
      </c>
      <c r="E71" s="3">
        <v>486018</v>
      </c>
      <c r="F71" s="3">
        <f>Twitter!$C71-Twitter!$D71</f>
        <v>5698</v>
      </c>
      <c r="G71" s="30">
        <v>1.1723845618886499E-2</v>
      </c>
      <c r="H71">
        <v>23.761877132122681</v>
      </c>
      <c r="I71" s="31">
        <v>38854</v>
      </c>
      <c r="K71" s="5">
        <v>45565</v>
      </c>
      <c r="M71" s="3">
        <v>5698</v>
      </c>
      <c r="X71" s="5">
        <v>45565</v>
      </c>
      <c r="Z71" s="3">
        <v>486018</v>
      </c>
    </row>
    <row r="72" spans="1:26" hidden="1" x14ac:dyDescent="0.3">
      <c r="A72" s="28">
        <v>45565</v>
      </c>
      <c r="B72" t="s">
        <v>23</v>
      </c>
      <c r="C72" s="3">
        <v>1767</v>
      </c>
      <c r="D72" s="3">
        <v>224</v>
      </c>
      <c r="E72" s="3">
        <v>487561</v>
      </c>
      <c r="F72" s="3">
        <f>Twitter!$C72-Twitter!$D72</f>
        <v>1543</v>
      </c>
      <c r="G72" s="30">
        <v>3.1647322078673201E-3</v>
      </c>
      <c r="H72">
        <v>13.208603641390511</v>
      </c>
      <c r="I72" s="31">
        <v>16256</v>
      </c>
      <c r="K72" s="5">
        <v>45565</v>
      </c>
      <c r="L72" t="s">
        <v>23</v>
      </c>
      <c r="M72" s="3">
        <v>1543</v>
      </c>
      <c r="X72" s="5">
        <v>45565</v>
      </c>
      <c r="Z72" s="3">
        <v>487561</v>
      </c>
    </row>
    <row r="73" spans="1:26" x14ac:dyDescent="0.3">
      <c r="A73" s="28">
        <v>45565</v>
      </c>
      <c r="B73" t="s">
        <v>41</v>
      </c>
      <c r="C73" s="3">
        <v>3044</v>
      </c>
      <c r="D73" s="3">
        <v>212</v>
      </c>
      <c r="E73" s="3">
        <v>490393</v>
      </c>
      <c r="F73" s="3">
        <f>Twitter!$C73-Twitter!$D73</f>
        <v>2832</v>
      </c>
      <c r="G73" s="30">
        <v>5.7749600830354396E-3</v>
      </c>
      <c r="H73">
        <v>8.5343795690395261</v>
      </c>
      <c r="I73" s="31">
        <v>20720</v>
      </c>
      <c r="K73" s="5">
        <v>45565</v>
      </c>
      <c r="M73" s="3">
        <v>2832</v>
      </c>
      <c r="X73" s="5">
        <v>45565</v>
      </c>
      <c r="Z73" s="3">
        <v>490393</v>
      </c>
    </row>
    <row r="74" spans="1:26" hidden="1" x14ac:dyDescent="0.3">
      <c r="A74" s="28">
        <v>45572</v>
      </c>
      <c r="B74" t="s">
        <v>19</v>
      </c>
      <c r="C74" s="3">
        <v>2549</v>
      </c>
      <c r="D74" s="3">
        <v>128</v>
      </c>
      <c r="E74" s="3">
        <v>492814</v>
      </c>
      <c r="F74" s="3">
        <f>Twitter!$C74-Twitter!$D74</f>
        <v>2421</v>
      </c>
      <c r="G74" s="30">
        <v>4.9126039438814597E-3</v>
      </c>
      <c r="H74">
        <v>12.734216154573531</v>
      </c>
      <c r="I74" s="31">
        <v>43937</v>
      </c>
      <c r="K74" s="5">
        <v>45572</v>
      </c>
      <c r="L74" t="s">
        <v>19</v>
      </c>
      <c r="M74" s="3">
        <v>2421</v>
      </c>
      <c r="X74" s="5">
        <v>45572</v>
      </c>
      <c r="Z74" s="3">
        <v>492814</v>
      </c>
    </row>
    <row r="75" spans="1:26" hidden="1" x14ac:dyDescent="0.3">
      <c r="A75" s="28">
        <v>45572</v>
      </c>
      <c r="B75" t="s">
        <v>14</v>
      </c>
      <c r="C75" s="3">
        <v>7140</v>
      </c>
      <c r="D75" s="3">
        <v>939</v>
      </c>
      <c r="E75" s="3">
        <v>499015</v>
      </c>
      <c r="F75" s="3">
        <f>Twitter!$C75-Twitter!$D75</f>
        <v>6201</v>
      </c>
      <c r="G75" s="30">
        <v>1.2426480165926901E-2</v>
      </c>
      <c r="H75">
        <v>25.120888149654821</v>
      </c>
      <c r="I75" s="31">
        <v>43598</v>
      </c>
      <c r="K75" s="5">
        <v>45572</v>
      </c>
      <c r="L75" t="s">
        <v>14</v>
      </c>
      <c r="M75" s="3">
        <v>6201</v>
      </c>
      <c r="X75" s="5">
        <v>45572</v>
      </c>
      <c r="Z75" s="3">
        <v>499015</v>
      </c>
    </row>
    <row r="76" spans="1:26" hidden="1" x14ac:dyDescent="0.3">
      <c r="A76" s="28">
        <v>45572</v>
      </c>
      <c r="B76" t="s">
        <v>14</v>
      </c>
      <c r="C76" s="3">
        <v>4716</v>
      </c>
      <c r="D76" s="3">
        <v>569</v>
      </c>
      <c r="E76" s="3">
        <v>503162</v>
      </c>
      <c r="F76" s="3">
        <f>Twitter!$C76-Twitter!$D76</f>
        <v>4147</v>
      </c>
      <c r="G76" s="30">
        <v>8.2418783612434997E-3</v>
      </c>
      <c r="H76">
        <v>25.64820077827817</v>
      </c>
      <c r="I76" s="31">
        <v>11651</v>
      </c>
      <c r="K76" s="5">
        <v>45572</v>
      </c>
      <c r="L76" t="s">
        <v>14</v>
      </c>
      <c r="M76" s="3">
        <v>4147</v>
      </c>
      <c r="X76" s="5">
        <v>45572</v>
      </c>
      <c r="Z76" s="3">
        <v>503162</v>
      </c>
    </row>
    <row r="77" spans="1:26" hidden="1" x14ac:dyDescent="0.3">
      <c r="A77" s="28">
        <v>45572</v>
      </c>
      <c r="B77" t="s">
        <v>23</v>
      </c>
      <c r="C77" s="3">
        <v>5481</v>
      </c>
      <c r="D77" s="3">
        <v>673</v>
      </c>
      <c r="E77" s="3">
        <v>507970</v>
      </c>
      <c r="F77" s="3">
        <f>Twitter!$C77-Twitter!$D77</f>
        <v>4808</v>
      </c>
      <c r="G77" s="30">
        <v>9.4651258932614106E-3</v>
      </c>
      <c r="H77">
        <v>13.08758391243577</v>
      </c>
      <c r="I77" s="31">
        <v>29194</v>
      </c>
      <c r="K77" s="5">
        <v>45572</v>
      </c>
      <c r="L77" t="s">
        <v>23</v>
      </c>
      <c r="M77" s="3">
        <v>4808</v>
      </c>
      <c r="X77" s="5">
        <v>45572</v>
      </c>
      <c r="Z77" s="3">
        <v>507970</v>
      </c>
    </row>
    <row r="78" spans="1:26" x14ac:dyDescent="0.3">
      <c r="A78" s="28">
        <v>45579</v>
      </c>
      <c r="B78" t="s">
        <v>41</v>
      </c>
      <c r="C78" s="3">
        <v>8898</v>
      </c>
      <c r="D78" s="3">
        <v>1131</v>
      </c>
      <c r="E78" s="3">
        <v>515737</v>
      </c>
      <c r="F78" s="3">
        <f>Twitter!$C78-Twitter!$D78</f>
        <v>7767</v>
      </c>
      <c r="G78" s="30">
        <v>1.50600015123988E-2</v>
      </c>
      <c r="H78">
        <v>2.1877429775253669</v>
      </c>
      <c r="I78" s="31">
        <v>35051</v>
      </c>
      <c r="K78" s="5">
        <v>45579</v>
      </c>
      <c r="M78" s="3">
        <v>7767</v>
      </c>
      <c r="X78" s="5">
        <v>45579</v>
      </c>
      <c r="Z78" s="3">
        <v>515737</v>
      </c>
    </row>
    <row r="79" spans="1:26" hidden="1" x14ac:dyDescent="0.3">
      <c r="A79" s="28">
        <v>45579</v>
      </c>
      <c r="B79" t="s">
        <v>14</v>
      </c>
      <c r="C79" s="3">
        <v>7548</v>
      </c>
      <c r="D79" s="3">
        <v>433</v>
      </c>
      <c r="E79" s="3">
        <v>522852</v>
      </c>
      <c r="F79" s="3">
        <f>Twitter!$C79-Twitter!$D79</f>
        <v>7115</v>
      </c>
      <c r="G79" s="30">
        <v>1.36080573470122E-2</v>
      </c>
      <c r="H79">
        <v>8.3562843787534522</v>
      </c>
      <c r="I79" s="31">
        <v>37386</v>
      </c>
      <c r="K79" s="5">
        <v>45579</v>
      </c>
      <c r="L79" t="s">
        <v>14</v>
      </c>
      <c r="M79" s="3">
        <v>7115</v>
      </c>
      <c r="X79" s="5">
        <v>45579</v>
      </c>
      <c r="Z79" s="3">
        <v>522852</v>
      </c>
    </row>
    <row r="80" spans="1:26" x14ac:dyDescent="0.3">
      <c r="A80" s="28">
        <v>45579</v>
      </c>
      <c r="B80" t="s">
        <v>41</v>
      </c>
      <c r="C80" s="3">
        <v>3293</v>
      </c>
      <c r="D80" s="3">
        <v>282</v>
      </c>
      <c r="E80" s="3">
        <v>525863</v>
      </c>
      <c r="F80" s="3">
        <f>Twitter!$C80-Twitter!$D80</f>
        <v>3011</v>
      </c>
      <c r="G80" s="30">
        <v>5.7258259280459E-3</v>
      </c>
      <c r="H80">
        <v>27.040693108281051</v>
      </c>
      <c r="I80" s="31">
        <v>19518</v>
      </c>
      <c r="K80" s="5">
        <v>45579</v>
      </c>
      <c r="M80" s="3">
        <v>3011</v>
      </c>
      <c r="X80" s="5">
        <v>45579</v>
      </c>
      <c r="Z80" s="3">
        <v>525863</v>
      </c>
    </row>
    <row r="81" spans="1:26" x14ac:dyDescent="0.3">
      <c r="A81" s="28">
        <v>45579</v>
      </c>
      <c r="B81" t="s">
        <v>41</v>
      </c>
      <c r="C81" s="3">
        <v>5837</v>
      </c>
      <c r="D81" s="3">
        <v>359</v>
      </c>
      <c r="E81" s="3">
        <v>531341</v>
      </c>
      <c r="F81" s="3">
        <f>Twitter!$C81-Twitter!$D81</f>
        <v>5478</v>
      </c>
      <c r="G81" s="30">
        <v>1.03097634099383E-2</v>
      </c>
      <c r="H81">
        <v>6.8073045370110723</v>
      </c>
      <c r="I81" s="31">
        <v>56026</v>
      </c>
      <c r="K81" s="5">
        <v>45579</v>
      </c>
      <c r="M81" s="3">
        <v>5478</v>
      </c>
      <c r="X81" s="5">
        <v>45579</v>
      </c>
      <c r="Z81" s="3">
        <v>531341</v>
      </c>
    </row>
    <row r="82" spans="1:26" hidden="1" x14ac:dyDescent="0.3">
      <c r="A82" s="28">
        <v>45586</v>
      </c>
      <c r="B82" t="s">
        <v>23</v>
      </c>
      <c r="C82" s="3">
        <v>8758</v>
      </c>
      <c r="D82" s="3">
        <v>1193</v>
      </c>
      <c r="E82" s="3">
        <v>538906</v>
      </c>
      <c r="F82" s="3">
        <f>Twitter!$C82-Twitter!$D82</f>
        <v>7565</v>
      </c>
      <c r="G82" s="30">
        <v>1.40376985967868E-2</v>
      </c>
      <c r="H82">
        <v>3.4213758985797149</v>
      </c>
      <c r="I82" s="31">
        <v>26184</v>
      </c>
      <c r="K82" s="5">
        <v>45586</v>
      </c>
      <c r="L82" t="s">
        <v>23</v>
      </c>
      <c r="M82" s="3">
        <v>7565</v>
      </c>
      <c r="X82" s="5">
        <v>45586</v>
      </c>
      <c r="Z82" s="3">
        <v>538906</v>
      </c>
    </row>
    <row r="83" spans="1:26" hidden="1" x14ac:dyDescent="0.3">
      <c r="A83" s="28">
        <v>45586</v>
      </c>
      <c r="B83" t="s">
        <v>14</v>
      </c>
      <c r="C83" s="3">
        <v>7793</v>
      </c>
      <c r="D83" s="3">
        <v>875</v>
      </c>
      <c r="E83" s="3">
        <v>545824</v>
      </c>
      <c r="F83" s="3">
        <f>Twitter!$C83-Twitter!$D83</f>
        <v>6918</v>
      </c>
      <c r="G83" s="30">
        <v>1.26744151961072E-2</v>
      </c>
      <c r="H83">
        <v>5.5136820660139527</v>
      </c>
      <c r="I83" s="31">
        <v>43787</v>
      </c>
      <c r="K83" s="5">
        <v>45586</v>
      </c>
      <c r="L83" t="s">
        <v>14</v>
      </c>
      <c r="M83" s="3">
        <v>6918</v>
      </c>
      <c r="X83" s="5">
        <v>45586</v>
      </c>
      <c r="Z83" s="3">
        <v>545824</v>
      </c>
    </row>
    <row r="84" spans="1:26" hidden="1" x14ac:dyDescent="0.3">
      <c r="A84" s="28">
        <v>45586</v>
      </c>
      <c r="B84" t="s">
        <v>23</v>
      </c>
      <c r="C84" s="3">
        <v>8638</v>
      </c>
      <c r="D84" s="3">
        <v>717</v>
      </c>
      <c r="E84" s="3">
        <v>553745</v>
      </c>
      <c r="F84" s="3">
        <f>Twitter!$C84-Twitter!$D84</f>
        <v>7921</v>
      </c>
      <c r="G84" s="30">
        <v>1.4304418098583301E-2</v>
      </c>
      <c r="H84">
        <v>26.921416897669499</v>
      </c>
      <c r="I84" s="31">
        <v>31621</v>
      </c>
      <c r="K84" s="5">
        <v>45586</v>
      </c>
      <c r="L84" t="s">
        <v>23</v>
      </c>
      <c r="M84" s="3">
        <v>7921</v>
      </c>
      <c r="X84" s="5">
        <v>45586</v>
      </c>
      <c r="Z84" s="3">
        <v>553745</v>
      </c>
    </row>
    <row r="85" spans="1:26" hidden="1" x14ac:dyDescent="0.3">
      <c r="A85" s="28">
        <v>45586</v>
      </c>
      <c r="B85" t="s">
        <v>23</v>
      </c>
      <c r="C85" s="3">
        <v>8993</v>
      </c>
      <c r="D85" s="3">
        <v>506</v>
      </c>
      <c r="E85" s="3">
        <v>562232</v>
      </c>
      <c r="F85" s="3">
        <f>Twitter!$C85-Twitter!$D85</f>
        <v>8487</v>
      </c>
      <c r="G85" s="30">
        <v>1.5095192020375899E-2</v>
      </c>
      <c r="H85">
        <v>3.5131404829323132</v>
      </c>
      <c r="I85" s="31">
        <v>20028</v>
      </c>
      <c r="K85" s="5">
        <v>45586</v>
      </c>
      <c r="L85" t="s">
        <v>23</v>
      </c>
      <c r="M85" s="3">
        <v>8487</v>
      </c>
      <c r="X85" s="5">
        <v>45586</v>
      </c>
      <c r="Z85" s="3">
        <v>562232</v>
      </c>
    </row>
    <row r="86" spans="1:26" hidden="1" x14ac:dyDescent="0.3">
      <c r="A86" s="28">
        <v>45593</v>
      </c>
      <c r="B86" t="s">
        <v>14</v>
      </c>
      <c r="C86" s="3">
        <v>7007</v>
      </c>
      <c r="D86" s="3">
        <v>568</v>
      </c>
      <c r="E86" s="3">
        <v>568671</v>
      </c>
      <c r="F86" s="3">
        <f>Twitter!$C86-Twitter!$D86</f>
        <v>6439</v>
      </c>
      <c r="G86" s="30">
        <v>1.13228914433829E-2</v>
      </c>
      <c r="H86">
        <v>11.50507059442103</v>
      </c>
      <c r="I86" s="31">
        <v>22448</v>
      </c>
      <c r="K86" s="5">
        <v>45593</v>
      </c>
      <c r="L86" t="s">
        <v>14</v>
      </c>
      <c r="M86" s="3">
        <v>6439</v>
      </c>
      <c r="X86" s="5">
        <v>45593</v>
      </c>
      <c r="Z86" s="3">
        <v>568671</v>
      </c>
    </row>
    <row r="87" spans="1:26" hidden="1" x14ac:dyDescent="0.3">
      <c r="A87" s="28">
        <v>45593</v>
      </c>
      <c r="B87" t="s">
        <v>14</v>
      </c>
      <c r="C87" s="3">
        <v>6542</v>
      </c>
      <c r="D87" s="3">
        <v>539</v>
      </c>
      <c r="E87" s="3">
        <v>574674</v>
      </c>
      <c r="F87" s="3">
        <f>Twitter!$C87-Twitter!$D87</f>
        <v>6003</v>
      </c>
      <c r="G87" s="30">
        <v>1.04459223838211E-2</v>
      </c>
      <c r="H87">
        <v>6.4069368024305948</v>
      </c>
      <c r="I87" s="31">
        <v>55253</v>
      </c>
      <c r="K87" s="5">
        <v>45593</v>
      </c>
      <c r="L87" t="s">
        <v>14</v>
      </c>
      <c r="M87" s="3">
        <v>6003</v>
      </c>
      <c r="X87" s="5">
        <v>45593</v>
      </c>
      <c r="Z87" s="3">
        <v>574674</v>
      </c>
    </row>
    <row r="88" spans="1:26" hidden="1" x14ac:dyDescent="0.3">
      <c r="A88" s="28">
        <v>45593</v>
      </c>
      <c r="B88" t="s">
        <v>19</v>
      </c>
      <c r="C88" s="3">
        <v>7356</v>
      </c>
      <c r="D88" s="3">
        <v>904</v>
      </c>
      <c r="E88" s="3">
        <v>581126</v>
      </c>
      <c r="F88" s="3">
        <f>Twitter!$C88-Twitter!$D88</f>
        <v>6452</v>
      </c>
      <c r="G88" s="30">
        <v>1.1102583604932501E-2</v>
      </c>
      <c r="H88">
        <v>17.560907617280929</v>
      </c>
      <c r="I88" s="31">
        <v>44051</v>
      </c>
      <c r="K88" s="5">
        <v>45593</v>
      </c>
      <c r="L88" t="s">
        <v>19</v>
      </c>
      <c r="M88" s="3">
        <v>6452</v>
      </c>
      <c r="X88" s="5">
        <v>45593</v>
      </c>
      <c r="Z88" s="3">
        <v>581126</v>
      </c>
    </row>
    <row r="89" spans="1:26" hidden="1" x14ac:dyDescent="0.3">
      <c r="A89" s="28">
        <v>45593</v>
      </c>
      <c r="B89" t="s">
        <v>19</v>
      </c>
      <c r="C89" s="3">
        <v>9433</v>
      </c>
      <c r="D89" s="3">
        <v>1073</v>
      </c>
      <c r="E89" s="3">
        <v>589486</v>
      </c>
      <c r="F89" s="3">
        <f>Twitter!$C89-Twitter!$D89</f>
        <v>8360</v>
      </c>
      <c r="G89" s="30">
        <v>1.4181846557848699E-2</v>
      </c>
      <c r="H89">
        <v>7.2934726185185053</v>
      </c>
      <c r="I89" s="31">
        <v>59811</v>
      </c>
      <c r="K89" s="5">
        <v>45593</v>
      </c>
      <c r="L89" t="s">
        <v>19</v>
      </c>
      <c r="M89" s="3">
        <v>8360</v>
      </c>
      <c r="X89" s="5">
        <v>45593</v>
      </c>
      <c r="Z89" s="3">
        <v>589486</v>
      </c>
    </row>
    <row r="90" spans="1:26" x14ac:dyDescent="0.3">
      <c r="A90" s="28">
        <v>45600</v>
      </c>
      <c r="B90" t="s">
        <v>41</v>
      </c>
      <c r="C90" s="3">
        <v>8380</v>
      </c>
      <c r="D90" s="3">
        <v>1162</v>
      </c>
      <c r="E90" s="3">
        <v>596704</v>
      </c>
      <c r="F90" s="3">
        <f>Twitter!$C90-Twitter!$D90</f>
        <v>7218</v>
      </c>
      <c r="G90" s="30">
        <v>1.2096449831072E-2</v>
      </c>
      <c r="H90">
        <v>18.05853488496809</v>
      </c>
      <c r="I90" s="31">
        <v>40447</v>
      </c>
      <c r="K90" s="5">
        <v>45600</v>
      </c>
      <c r="M90" s="3">
        <v>7218</v>
      </c>
      <c r="X90" s="5">
        <v>45600</v>
      </c>
      <c r="Z90" s="3">
        <v>596704</v>
      </c>
    </row>
    <row r="91" spans="1:26" hidden="1" x14ac:dyDescent="0.3">
      <c r="A91" s="28">
        <v>45600</v>
      </c>
      <c r="B91" t="s">
        <v>14</v>
      </c>
      <c r="C91" s="3">
        <v>3385</v>
      </c>
      <c r="D91" s="3">
        <v>329</v>
      </c>
      <c r="E91" s="3">
        <v>599760</v>
      </c>
      <c r="F91" s="3">
        <f>Twitter!$C91-Twitter!$D91</f>
        <v>3056</v>
      </c>
      <c r="G91" s="30">
        <v>5.0953714819261002E-3</v>
      </c>
      <c r="H91">
        <v>17.61788048552755</v>
      </c>
      <c r="I91" s="31">
        <v>28394</v>
      </c>
      <c r="K91" s="5">
        <v>45600</v>
      </c>
      <c r="L91" t="s">
        <v>14</v>
      </c>
      <c r="M91" s="3">
        <v>3056</v>
      </c>
      <c r="X91" s="5">
        <v>45600</v>
      </c>
      <c r="Z91" s="3">
        <v>599760</v>
      </c>
    </row>
    <row r="92" spans="1:26" hidden="1" x14ac:dyDescent="0.3">
      <c r="A92" s="28">
        <v>45600</v>
      </c>
      <c r="B92" t="s">
        <v>19</v>
      </c>
      <c r="C92" s="3">
        <v>5268</v>
      </c>
      <c r="D92" s="3">
        <v>326</v>
      </c>
      <c r="E92" s="3">
        <v>604702</v>
      </c>
      <c r="F92" s="3">
        <f>Twitter!$C92-Twitter!$D92</f>
        <v>4942</v>
      </c>
      <c r="G92" s="30">
        <v>8.17262056351724E-3</v>
      </c>
      <c r="H92">
        <v>23.435841125050029</v>
      </c>
      <c r="I92" s="31">
        <v>44501</v>
      </c>
      <c r="K92" s="5">
        <v>45600</v>
      </c>
      <c r="L92" t="s">
        <v>19</v>
      </c>
      <c r="M92" s="3">
        <v>4942</v>
      </c>
      <c r="X92" s="5">
        <v>45600</v>
      </c>
      <c r="Z92" s="3">
        <v>604702</v>
      </c>
    </row>
    <row r="93" spans="1:26" x14ac:dyDescent="0.3">
      <c r="A93" s="28">
        <v>45600</v>
      </c>
      <c r="B93" t="s">
        <v>41</v>
      </c>
      <c r="C93" s="3">
        <v>1671</v>
      </c>
      <c r="D93" s="3">
        <v>202</v>
      </c>
      <c r="E93" s="3">
        <v>606171</v>
      </c>
      <c r="F93" s="3">
        <f>Twitter!$C93-Twitter!$D93</f>
        <v>1469</v>
      </c>
      <c r="G93" s="30">
        <v>2.42340857612786E-3</v>
      </c>
      <c r="H93">
        <v>15.150015424690389</v>
      </c>
      <c r="I93" s="31">
        <v>40254</v>
      </c>
      <c r="K93" s="5">
        <v>45600</v>
      </c>
      <c r="M93" s="3">
        <v>1469</v>
      </c>
      <c r="X93" s="5">
        <v>45600</v>
      </c>
      <c r="Z93" s="3">
        <v>606171</v>
      </c>
    </row>
    <row r="94" spans="1:26" x14ac:dyDescent="0.3">
      <c r="A94" s="28">
        <v>45607</v>
      </c>
      <c r="B94" t="s">
        <v>41</v>
      </c>
      <c r="C94" s="3">
        <v>1163</v>
      </c>
      <c r="D94" s="3">
        <v>146</v>
      </c>
      <c r="E94" s="3">
        <v>607188</v>
      </c>
      <c r="F94" s="3">
        <f>Twitter!$C94-Twitter!$D94</f>
        <v>1017</v>
      </c>
      <c r="G94" s="30">
        <v>1.6749342872388799E-3</v>
      </c>
      <c r="H94">
        <v>21.77776899411715</v>
      </c>
      <c r="I94" s="31">
        <v>28509</v>
      </c>
      <c r="K94" s="5">
        <v>45607</v>
      </c>
      <c r="M94" s="3">
        <v>1017</v>
      </c>
      <c r="X94" s="5">
        <v>45607</v>
      </c>
      <c r="Z94" s="3">
        <v>607188</v>
      </c>
    </row>
    <row r="95" spans="1:26" x14ac:dyDescent="0.3">
      <c r="A95" s="28">
        <v>45607</v>
      </c>
      <c r="B95" t="s">
        <v>41</v>
      </c>
      <c r="C95" s="3">
        <v>9656</v>
      </c>
      <c r="D95" s="3">
        <v>1024</v>
      </c>
      <c r="E95" s="3">
        <v>615820</v>
      </c>
      <c r="F95" s="3">
        <f>Twitter!$C95-Twitter!$D95</f>
        <v>8632</v>
      </c>
      <c r="G95" s="30">
        <v>1.40170829138385E-2</v>
      </c>
      <c r="H95">
        <v>8.7252768666168681</v>
      </c>
      <c r="I95" s="31">
        <v>58998</v>
      </c>
      <c r="K95" s="5">
        <v>45607</v>
      </c>
      <c r="M95" s="3">
        <v>8632</v>
      </c>
      <c r="X95" s="5">
        <v>45607</v>
      </c>
      <c r="Z95" s="3">
        <v>615820</v>
      </c>
    </row>
    <row r="96" spans="1:26" hidden="1" x14ac:dyDescent="0.3">
      <c r="A96" s="28">
        <v>45607</v>
      </c>
      <c r="B96" t="s">
        <v>19</v>
      </c>
      <c r="C96" s="3">
        <v>5592</v>
      </c>
      <c r="D96" s="3">
        <v>710</v>
      </c>
      <c r="E96" s="3">
        <v>620702</v>
      </c>
      <c r="F96" s="3">
        <f>Twitter!$C96-Twitter!$D96</f>
        <v>4882</v>
      </c>
      <c r="G96" s="30">
        <v>7.86528801260508E-3</v>
      </c>
      <c r="H96">
        <v>9.07118069540617</v>
      </c>
      <c r="I96" s="31">
        <v>24472</v>
      </c>
      <c r="K96" s="5">
        <v>45607</v>
      </c>
      <c r="L96" t="s">
        <v>19</v>
      </c>
      <c r="M96" s="3">
        <v>4882</v>
      </c>
      <c r="X96" s="5">
        <v>45607</v>
      </c>
      <c r="Z96" s="3">
        <v>620702</v>
      </c>
    </row>
    <row r="97" spans="1:26" hidden="1" x14ac:dyDescent="0.3">
      <c r="A97" s="28">
        <v>45607</v>
      </c>
      <c r="B97" t="s">
        <v>14</v>
      </c>
      <c r="C97" s="3">
        <v>5795</v>
      </c>
      <c r="D97" s="3">
        <v>575</v>
      </c>
      <c r="E97" s="3">
        <v>625922</v>
      </c>
      <c r="F97" s="3">
        <f>Twitter!$C97-Twitter!$D97</f>
        <v>5220</v>
      </c>
      <c r="G97" s="30">
        <v>8.3396972785746391E-3</v>
      </c>
      <c r="H97">
        <v>3.0908004511744269</v>
      </c>
      <c r="I97" s="31">
        <v>55657</v>
      </c>
      <c r="K97" s="5">
        <v>45607</v>
      </c>
      <c r="L97" t="s">
        <v>14</v>
      </c>
      <c r="M97" s="3">
        <v>5220</v>
      </c>
      <c r="X97" s="5">
        <v>45607</v>
      </c>
      <c r="Z97" s="3">
        <v>625922</v>
      </c>
    </row>
    <row r="98" spans="1:26" hidden="1" x14ac:dyDescent="0.3">
      <c r="A98" s="28">
        <v>45614</v>
      </c>
      <c r="B98" t="s">
        <v>23</v>
      </c>
      <c r="C98" s="3">
        <v>5798</v>
      </c>
      <c r="D98" s="3">
        <v>592</v>
      </c>
      <c r="E98" s="3">
        <v>631128</v>
      </c>
      <c r="F98" s="3">
        <f>Twitter!$C98-Twitter!$D98</f>
        <v>5206</v>
      </c>
      <c r="G98" s="30">
        <v>8.2487229214992797E-3</v>
      </c>
      <c r="H98">
        <v>1.6774727155188811</v>
      </c>
      <c r="I98" s="31">
        <v>13471</v>
      </c>
      <c r="K98" s="5">
        <v>45614</v>
      </c>
      <c r="L98" t="s">
        <v>23</v>
      </c>
      <c r="M98" s="3">
        <v>5206</v>
      </c>
      <c r="X98" s="5">
        <v>45614</v>
      </c>
      <c r="Z98" s="3">
        <v>631128</v>
      </c>
    </row>
    <row r="99" spans="1:26" x14ac:dyDescent="0.3">
      <c r="A99" s="28">
        <v>45614</v>
      </c>
      <c r="B99" t="s">
        <v>41</v>
      </c>
      <c r="C99" s="3">
        <v>7036</v>
      </c>
      <c r="D99" s="3">
        <v>652</v>
      </c>
      <c r="E99" s="3">
        <v>637512</v>
      </c>
      <c r="F99" s="3">
        <f>Twitter!$C99-Twitter!$D99</f>
        <v>6384</v>
      </c>
      <c r="G99" s="30">
        <v>1.00139291495689E-2</v>
      </c>
      <c r="H99">
        <v>3.5705994553828009</v>
      </c>
      <c r="I99" s="31">
        <v>51796</v>
      </c>
      <c r="K99" s="5">
        <v>45614</v>
      </c>
      <c r="M99" s="3">
        <v>6384</v>
      </c>
      <c r="X99" s="5">
        <v>45614</v>
      </c>
      <c r="Z99" s="3">
        <v>637512</v>
      </c>
    </row>
    <row r="100" spans="1:26" hidden="1" x14ac:dyDescent="0.3">
      <c r="A100" s="28">
        <v>45614</v>
      </c>
      <c r="B100" t="s">
        <v>19</v>
      </c>
      <c r="C100" s="3">
        <v>3355</v>
      </c>
      <c r="D100" s="3">
        <v>176</v>
      </c>
      <c r="E100" s="3">
        <v>640691</v>
      </c>
      <c r="F100" s="3">
        <f>Twitter!$C100-Twitter!$D100</f>
        <v>3179</v>
      </c>
      <c r="G100" s="30">
        <v>4.96183027387618E-3</v>
      </c>
      <c r="H100">
        <v>12.426427091999111</v>
      </c>
      <c r="I100" s="31">
        <v>40268</v>
      </c>
      <c r="K100" s="5">
        <v>45614</v>
      </c>
      <c r="L100" t="s">
        <v>19</v>
      </c>
      <c r="M100" s="3">
        <v>3179</v>
      </c>
      <c r="X100" s="5">
        <v>45614</v>
      </c>
      <c r="Z100" s="3">
        <v>640691</v>
      </c>
    </row>
    <row r="101" spans="1:26" hidden="1" x14ac:dyDescent="0.3">
      <c r="A101" s="28">
        <v>45614</v>
      </c>
      <c r="B101" t="s">
        <v>19</v>
      </c>
      <c r="C101" s="3">
        <v>6887</v>
      </c>
      <c r="D101" s="3">
        <v>418</v>
      </c>
      <c r="E101" s="3">
        <v>647160</v>
      </c>
      <c r="F101" s="3">
        <f>Twitter!$C101-Twitter!$D101</f>
        <v>6469</v>
      </c>
      <c r="G101" s="30">
        <v>9.9959824463811096E-3</v>
      </c>
      <c r="H101">
        <v>20.240280610668151</v>
      </c>
      <c r="I101" s="31">
        <v>18329</v>
      </c>
      <c r="K101" s="5">
        <v>45614</v>
      </c>
      <c r="L101" t="s">
        <v>19</v>
      </c>
      <c r="M101" s="3">
        <v>6469</v>
      </c>
      <c r="X101" s="5">
        <v>45614</v>
      </c>
      <c r="Z101" s="3">
        <v>647160</v>
      </c>
    </row>
    <row r="102" spans="1:26" hidden="1" x14ac:dyDescent="0.3">
      <c r="A102" s="28">
        <v>45621</v>
      </c>
      <c r="B102" t="s">
        <v>23</v>
      </c>
      <c r="C102" s="3">
        <v>8961</v>
      </c>
      <c r="D102" s="3">
        <v>476</v>
      </c>
      <c r="E102" s="3">
        <v>655645</v>
      </c>
      <c r="F102" s="3">
        <f>Twitter!$C102-Twitter!$D102</f>
        <v>8485</v>
      </c>
      <c r="G102" s="30">
        <v>1.29414545981438E-2</v>
      </c>
      <c r="H102">
        <v>15.458517947974901</v>
      </c>
      <c r="I102" s="31">
        <v>44865</v>
      </c>
      <c r="K102" s="5">
        <v>45621</v>
      </c>
      <c r="L102" t="s">
        <v>23</v>
      </c>
      <c r="M102" s="3">
        <v>8485</v>
      </c>
      <c r="X102" s="5">
        <v>45621</v>
      </c>
      <c r="Z102" s="3">
        <v>655645</v>
      </c>
    </row>
    <row r="103" spans="1:26" hidden="1" x14ac:dyDescent="0.3">
      <c r="A103" s="28">
        <v>45621</v>
      </c>
      <c r="B103" t="s">
        <v>23</v>
      </c>
      <c r="C103" s="3">
        <v>6827</v>
      </c>
      <c r="D103" s="3">
        <v>775</v>
      </c>
      <c r="E103" s="3">
        <v>661697</v>
      </c>
      <c r="F103" s="3">
        <f>Twitter!$C103-Twitter!$D103</f>
        <v>6052</v>
      </c>
      <c r="G103" s="30">
        <v>9.1461802003031598E-3</v>
      </c>
      <c r="H103">
        <v>15.96622018839439</v>
      </c>
      <c r="I103" s="31">
        <v>56850</v>
      </c>
      <c r="K103" s="5">
        <v>45621</v>
      </c>
      <c r="L103" t="s">
        <v>23</v>
      </c>
      <c r="M103" s="3">
        <v>6052</v>
      </c>
      <c r="X103" s="5">
        <v>45621</v>
      </c>
      <c r="Z103" s="3">
        <v>661697</v>
      </c>
    </row>
    <row r="104" spans="1:26" hidden="1" x14ac:dyDescent="0.3">
      <c r="A104" s="28">
        <v>45621</v>
      </c>
      <c r="B104" t="s">
        <v>19</v>
      </c>
      <c r="C104" s="3">
        <v>9737</v>
      </c>
      <c r="D104" s="3">
        <v>792</v>
      </c>
      <c r="E104" s="3">
        <v>670642</v>
      </c>
      <c r="F104" s="3">
        <f>Twitter!$C104-Twitter!$D104</f>
        <v>8945</v>
      </c>
      <c r="G104" s="30">
        <v>1.33379657104685E-2</v>
      </c>
      <c r="H104">
        <v>5.301785453341723</v>
      </c>
      <c r="I104" s="31">
        <v>56698</v>
      </c>
      <c r="K104" s="5">
        <v>45621</v>
      </c>
      <c r="L104" t="s">
        <v>19</v>
      </c>
      <c r="M104" s="3">
        <v>8945</v>
      </c>
      <c r="X104" s="5">
        <v>45621</v>
      </c>
      <c r="Z104" s="3">
        <v>670642</v>
      </c>
    </row>
    <row r="105" spans="1:26" hidden="1" x14ac:dyDescent="0.3">
      <c r="A105" s="28">
        <v>45621</v>
      </c>
      <c r="B105" t="s">
        <v>14</v>
      </c>
      <c r="C105" s="3">
        <v>5719</v>
      </c>
      <c r="D105" s="3">
        <v>576</v>
      </c>
      <c r="E105" s="3">
        <v>675785</v>
      </c>
      <c r="F105" s="3">
        <f>Twitter!$C105-Twitter!$D105</f>
        <v>5143</v>
      </c>
      <c r="G105" s="30">
        <v>7.6104086358827197E-3</v>
      </c>
      <c r="H105">
        <v>10.21656296011305</v>
      </c>
      <c r="I105" s="31">
        <v>38272</v>
      </c>
      <c r="K105" s="5">
        <v>45621</v>
      </c>
      <c r="L105" t="s">
        <v>14</v>
      </c>
      <c r="M105" s="3">
        <v>5143</v>
      </c>
      <c r="X105" s="5">
        <v>45621</v>
      </c>
      <c r="Z105" s="3">
        <v>675785</v>
      </c>
    </row>
    <row r="106" spans="1:26" hidden="1" x14ac:dyDescent="0.3">
      <c r="A106" s="28">
        <v>45628</v>
      </c>
      <c r="B106" t="s">
        <v>23</v>
      </c>
      <c r="C106" s="3">
        <v>1593</v>
      </c>
      <c r="D106" s="3">
        <v>224</v>
      </c>
      <c r="E106" s="3">
        <v>677154</v>
      </c>
      <c r="F106" s="3">
        <f>Twitter!$C106-Twitter!$D106</f>
        <v>1369</v>
      </c>
      <c r="G106" s="30">
        <v>2.0216966893793699E-3</v>
      </c>
      <c r="H106">
        <v>4.1495730660972248</v>
      </c>
      <c r="I106" s="31">
        <v>52845</v>
      </c>
      <c r="K106" s="5">
        <v>45628</v>
      </c>
      <c r="L106" t="s">
        <v>23</v>
      </c>
      <c r="M106" s="3">
        <v>1369</v>
      </c>
      <c r="X106" s="5">
        <v>45628</v>
      </c>
      <c r="Z106" s="3">
        <v>677154</v>
      </c>
    </row>
    <row r="107" spans="1:26" hidden="1" x14ac:dyDescent="0.3">
      <c r="A107" s="28">
        <v>45628</v>
      </c>
      <c r="B107" t="s">
        <v>19</v>
      </c>
      <c r="C107" s="3">
        <v>5839</v>
      </c>
      <c r="D107" s="3">
        <v>437</v>
      </c>
      <c r="E107" s="3">
        <v>682556</v>
      </c>
      <c r="F107" s="3">
        <f>Twitter!$C107-Twitter!$D107</f>
        <v>5402</v>
      </c>
      <c r="G107" s="30">
        <v>7.9143689309009099E-3</v>
      </c>
      <c r="H107">
        <v>17.44750613869045</v>
      </c>
      <c r="I107" s="31">
        <v>16397</v>
      </c>
      <c r="K107" s="5">
        <v>45628</v>
      </c>
      <c r="L107" t="s">
        <v>19</v>
      </c>
      <c r="M107" s="3">
        <v>5402</v>
      </c>
      <c r="X107" s="5">
        <v>45628</v>
      </c>
      <c r="Z107" s="3">
        <v>682556</v>
      </c>
    </row>
    <row r="108" spans="1:26" hidden="1" x14ac:dyDescent="0.3">
      <c r="A108" s="28">
        <v>45628</v>
      </c>
      <c r="B108" t="s">
        <v>23</v>
      </c>
      <c r="C108" s="3">
        <v>8394</v>
      </c>
      <c r="D108" s="3">
        <v>764</v>
      </c>
      <c r="E108" s="3">
        <v>690186</v>
      </c>
      <c r="F108" s="3">
        <f>Twitter!$C108-Twitter!$D108</f>
        <v>7630</v>
      </c>
      <c r="G108" s="30">
        <v>1.10549909734477E-2</v>
      </c>
      <c r="H108">
        <v>6.3556780346167558</v>
      </c>
      <c r="I108" s="31">
        <v>42373</v>
      </c>
      <c r="K108" s="5">
        <v>45628</v>
      </c>
      <c r="L108" t="s">
        <v>23</v>
      </c>
      <c r="M108" s="3">
        <v>7630</v>
      </c>
      <c r="X108" s="5">
        <v>45628</v>
      </c>
      <c r="Z108" s="3">
        <v>690186</v>
      </c>
    </row>
    <row r="109" spans="1:26" hidden="1" x14ac:dyDescent="0.3">
      <c r="A109" s="28">
        <v>45628</v>
      </c>
      <c r="B109" t="s">
        <v>14</v>
      </c>
      <c r="C109" s="3">
        <v>4493</v>
      </c>
      <c r="D109" s="3">
        <v>564</v>
      </c>
      <c r="E109" s="3">
        <v>694115</v>
      </c>
      <c r="F109" s="3">
        <f>Twitter!$C109-Twitter!$D109</f>
        <v>3929</v>
      </c>
      <c r="G109" s="30">
        <v>5.6604453152575597E-3</v>
      </c>
      <c r="H109">
        <v>16.625487131094989</v>
      </c>
      <c r="I109" s="31">
        <v>45525</v>
      </c>
      <c r="K109" s="5">
        <v>45628</v>
      </c>
      <c r="L109" t="s">
        <v>14</v>
      </c>
      <c r="M109" s="3">
        <v>3929</v>
      </c>
      <c r="X109" s="5">
        <v>45628</v>
      </c>
      <c r="Z109" s="3">
        <v>694115</v>
      </c>
    </row>
    <row r="110" spans="1:26" x14ac:dyDescent="0.3">
      <c r="A110" s="28">
        <v>45635</v>
      </c>
      <c r="B110" t="s">
        <v>41</v>
      </c>
      <c r="C110" s="3">
        <v>7164</v>
      </c>
      <c r="D110" s="3">
        <v>522</v>
      </c>
      <c r="E110" s="3">
        <v>700757</v>
      </c>
      <c r="F110" s="3">
        <f>Twitter!$C110-Twitter!$D110</f>
        <v>6642</v>
      </c>
      <c r="G110" s="30">
        <v>9.4783213011072308E-3</v>
      </c>
      <c r="H110">
        <v>13.449169969047761</v>
      </c>
      <c r="I110" s="31">
        <v>34570</v>
      </c>
      <c r="K110" s="5">
        <v>45635</v>
      </c>
      <c r="M110" s="3">
        <v>6642</v>
      </c>
      <c r="X110" s="5">
        <v>45635</v>
      </c>
      <c r="Z110" s="3">
        <v>700757</v>
      </c>
    </row>
    <row r="111" spans="1:26" hidden="1" x14ac:dyDescent="0.3">
      <c r="A111" s="28">
        <v>45635</v>
      </c>
      <c r="B111" t="s">
        <v>23</v>
      </c>
      <c r="C111" s="3">
        <v>3672</v>
      </c>
      <c r="D111" s="3">
        <v>211</v>
      </c>
      <c r="E111" s="3">
        <v>704218</v>
      </c>
      <c r="F111" s="3">
        <f>Twitter!$C111-Twitter!$D111</f>
        <v>3461</v>
      </c>
      <c r="G111" s="30">
        <v>4.9146713091684701E-3</v>
      </c>
      <c r="H111">
        <v>12.35057894004413</v>
      </c>
      <c r="I111" s="31">
        <v>28284</v>
      </c>
      <c r="K111" s="5">
        <v>45635</v>
      </c>
      <c r="L111" t="s">
        <v>23</v>
      </c>
      <c r="M111" s="3">
        <v>3461</v>
      </c>
      <c r="X111" s="5">
        <v>45635</v>
      </c>
      <c r="Z111" s="3">
        <v>704218</v>
      </c>
    </row>
    <row r="112" spans="1:26" hidden="1" x14ac:dyDescent="0.3">
      <c r="A112" s="28">
        <v>45635</v>
      </c>
      <c r="B112" t="s">
        <v>14</v>
      </c>
      <c r="C112" s="3">
        <v>5200</v>
      </c>
      <c r="D112" s="3">
        <v>410</v>
      </c>
      <c r="E112" s="3">
        <v>709008</v>
      </c>
      <c r="F112" s="3">
        <f>Twitter!$C112-Twitter!$D112</f>
        <v>4790</v>
      </c>
      <c r="G112" s="30">
        <v>6.7559181278631598E-3</v>
      </c>
      <c r="H112">
        <v>12.913394489201821</v>
      </c>
      <c r="I112" s="31">
        <v>28994</v>
      </c>
      <c r="K112" s="5">
        <v>45635</v>
      </c>
      <c r="L112" t="s">
        <v>14</v>
      </c>
      <c r="M112" s="3">
        <v>4790</v>
      </c>
      <c r="X112" s="5">
        <v>45635</v>
      </c>
      <c r="Z112" s="3">
        <v>709008</v>
      </c>
    </row>
    <row r="113" spans="1:26" hidden="1" x14ac:dyDescent="0.3">
      <c r="A113" s="28">
        <v>45635</v>
      </c>
      <c r="B113" t="s">
        <v>19</v>
      </c>
      <c r="C113" s="3">
        <v>1016</v>
      </c>
      <c r="D113" s="3">
        <v>67</v>
      </c>
      <c r="E113" s="3">
        <v>709957</v>
      </c>
      <c r="F113" s="3">
        <f>Twitter!$C113-Twitter!$D113</f>
        <v>949</v>
      </c>
      <c r="G113" s="30">
        <v>1.3367006734210699E-3</v>
      </c>
      <c r="H113">
        <v>20.774215903216671</v>
      </c>
      <c r="I113" s="31">
        <v>33284</v>
      </c>
      <c r="K113" s="5">
        <v>45635</v>
      </c>
      <c r="L113" t="s">
        <v>19</v>
      </c>
      <c r="M113" s="3">
        <v>949</v>
      </c>
      <c r="X113" s="5">
        <v>45635</v>
      </c>
      <c r="Z113" s="3">
        <v>709957</v>
      </c>
    </row>
    <row r="114" spans="1:26" hidden="1" x14ac:dyDescent="0.3">
      <c r="A114" s="28">
        <v>45642</v>
      </c>
      <c r="B114" t="s">
        <v>23</v>
      </c>
      <c r="C114" s="3">
        <v>4191</v>
      </c>
      <c r="D114" s="3">
        <v>599</v>
      </c>
      <c r="E114" s="3">
        <v>713549</v>
      </c>
      <c r="F114" s="3">
        <f>Twitter!$C114-Twitter!$D114</f>
        <v>3592</v>
      </c>
      <c r="G114" s="30">
        <v>5.0339920594100803E-3</v>
      </c>
      <c r="H114">
        <v>11.56416728213479</v>
      </c>
      <c r="I114" s="31">
        <v>27833</v>
      </c>
      <c r="K114" s="5">
        <v>45642</v>
      </c>
      <c r="L114" t="s">
        <v>23</v>
      </c>
      <c r="M114" s="3">
        <v>3592</v>
      </c>
      <c r="X114" s="5">
        <v>45642</v>
      </c>
      <c r="Z114" s="3">
        <v>713549</v>
      </c>
    </row>
    <row r="115" spans="1:26" hidden="1" x14ac:dyDescent="0.3">
      <c r="A115" s="28">
        <v>45642</v>
      </c>
      <c r="B115" t="s">
        <v>23</v>
      </c>
      <c r="C115" s="3">
        <v>1392</v>
      </c>
      <c r="D115" s="3">
        <v>182</v>
      </c>
      <c r="E115" s="3">
        <v>714759</v>
      </c>
      <c r="F115" s="3">
        <f>Twitter!$C115-Twitter!$D115</f>
        <v>1210</v>
      </c>
      <c r="G115" s="30">
        <v>1.69287829883919E-3</v>
      </c>
      <c r="H115">
        <v>5.9603306848881932</v>
      </c>
      <c r="I115" s="31">
        <v>35122</v>
      </c>
      <c r="K115" s="5">
        <v>45642</v>
      </c>
      <c r="L115" t="s">
        <v>23</v>
      </c>
      <c r="M115" s="3">
        <v>1210</v>
      </c>
      <c r="X115" s="5">
        <v>45642</v>
      </c>
      <c r="Z115" s="3">
        <v>714759</v>
      </c>
    </row>
    <row r="116" spans="1:26" hidden="1" x14ac:dyDescent="0.3">
      <c r="A116" s="28">
        <v>45642</v>
      </c>
      <c r="B116" t="s">
        <v>19</v>
      </c>
      <c r="C116" s="3">
        <v>9616</v>
      </c>
      <c r="D116" s="3">
        <v>1089</v>
      </c>
      <c r="E116" s="3">
        <v>723286</v>
      </c>
      <c r="F116" s="3">
        <f>Twitter!$C116-Twitter!$D116</f>
        <v>8527</v>
      </c>
      <c r="G116" s="30">
        <v>1.17892507251627E-2</v>
      </c>
      <c r="H116">
        <v>19.25863351426683</v>
      </c>
      <c r="I116" s="31">
        <v>15017</v>
      </c>
      <c r="K116" s="5">
        <v>45642</v>
      </c>
      <c r="L116" t="s">
        <v>19</v>
      </c>
      <c r="M116" s="3">
        <v>8527</v>
      </c>
      <c r="X116" s="5">
        <v>45642</v>
      </c>
      <c r="Z116" s="3">
        <v>723286</v>
      </c>
    </row>
    <row r="117" spans="1:26" x14ac:dyDescent="0.3">
      <c r="A117" s="28">
        <v>45642</v>
      </c>
      <c r="B117" t="s">
        <v>41</v>
      </c>
      <c r="C117" s="3">
        <v>7272</v>
      </c>
      <c r="D117" s="3">
        <v>997</v>
      </c>
      <c r="E117" s="3">
        <v>729561</v>
      </c>
      <c r="F117" s="3">
        <f>Twitter!$C117-Twitter!$D117</f>
        <v>6275</v>
      </c>
      <c r="G117" s="30">
        <v>8.6010628309353201E-3</v>
      </c>
      <c r="H117">
        <v>13.428486445958599</v>
      </c>
      <c r="I117" s="31">
        <v>26370</v>
      </c>
      <c r="K117" s="5">
        <v>45642</v>
      </c>
      <c r="M117" s="3">
        <v>6275</v>
      </c>
      <c r="X117" s="5">
        <v>45642</v>
      </c>
      <c r="Z117" s="3">
        <v>729561</v>
      </c>
    </row>
    <row r="118" spans="1:26" hidden="1" x14ac:dyDescent="0.3">
      <c r="A118" s="28">
        <v>45649</v>
      </c>
      <c r="B118" t="s">
        <v>19</v>
      </c>
      <c r="C118" s="3">
        <v>1571</v>
      </c>
      <c r="D118" s="3">
        <v>204</v>
      </c>
      <c r="E118" s="3">
        <v>730928</v>
      </c>
      <c r="F118" s="3">
        <f>Twitter!$C118-Twitter!$D118</f>
        <v>1367</v>
      </c>
      <c r="G118" s="30">
        <v>1.8702252479040301E-3</v>
      </c>
      <c r="H118">
        <v>19.449384891535139</v>
      </c>
      <c r="I118" s="31">
        <v>39252</v>
      </c>
      <c r="K118" s="5">
        <v>45649</v>
      </c>
      <c r="L118" t="s">
        <v>19</v>
      </c>
      <c r="M118" s="3">
        <v>1367</v>
      </c>
      <c r="X118" s="5">
        <v>45649</v>
      </c>
      <c r="Z118" s="3">
        <v>730928</v>
      </c>
    </row>
    <row r="119" spans="1:26" hidden="1" x14ac:dyDescent="0.3">
      <c r="A119" s="28">
        <v>45649</v>
      </c>
      <c r="B119" t="s">
        <v>23</v>
      </c>
      <c r="C119" s="3">
        <v>4631</v>
      </c>
      <c r="D119" s="3">
        <v>317</v>
      </c>
      <c r="E119" s="3">
        <v>735242</v>
      </c>
      <c r="F119" s="3">
        <f>Twitter!$C119-Twitter!$D119</f>
        <v>4314</v>
      </c>
      <c r="G119" s="30">
        <v>5.8674558852731496E-3</v>
      </c>
      <c r="H119">
        <v>1.381177897889402</v>
      </c>
      <c r="I119" s="31">
        <v>17999</v>
      </c>
      <c r="K119" s="5">
        <v>45649</v>
      </c>
      <c r="L119" t="s">
        <v>23</v>
      </c>
      <c r="M119" s="3">
        <v>4314</v>
      </c>
      <c r="X119" s="5">
        <v>45649</v>
      </c>
      <c r="Z119" s="3">
        <v>735242</v>
      </c>
    </row>
    <row r="120" spans="1:26" hidden="1" x14ac:dyDescent="0.3">
      <c r="A120" s="28">
        <v>45649</v>
      </c>
      <c r="B120" t="s">
        <v>19</v>
      </c>
      <c r="C120" s="3">
        <v>7172</v>
      </c>
      <c r="D120" s="3">
        <v>998</v>
      </c>
      <c r="E120" s="3">
        <v>741416</v>
      </c>
      <c r="F120" s="3">
        <f>Twitter!$C120-Twitter!$D120</f>
        <v>6174</v>
      </c>
      <c r="G120" s="30">
        <v>8.32730882527488E-3</v>
      </c>
      <c r="H120">
        <v>18.0667803230575</v>
      </c>
      <c r="I120" s="31">
        <v>32436</v>
      </c>
      <c r="K120" s="5">
        <v>45649</v>
      </c>
      <c r="L120" t="s">
        <v>19</v>
      </c>
      <c r="M120" s="3">
        <v>6174</v>
      </c>
      <c r="X120" s="5">
        <v>45649</v>
      </c>
      <c r="Z120" s="3">
        <v>741416</v>
      </c>
    </row>
    <row r="121" spans="1:26" hidden="1" x14ac:dyDescent="0.3">
      <c r="A121" s="28">
        <v>45649</v>
      </c>
      <c r="B121" t="s">
        <v>14</v>
      </c>
      <c r="C121" s="3">
        <v>8177</v>
      </c>
      <c r="D121" s="3">
        <v>849</v>
      </c>
      <c r="E121" s="3">
        <v>748744</v>
      </c>
      <c r="F121" s="3">
        <f>Twitter!$C121-Twitter!$D121</f>
        <v>7328</v>
      </c>
      <c r="G121" s="30">
        <v>9.78705672432768E-3</v>
      </c>
      <c r="H121">
        <v>10.34986590877523</v>
      </c>
      <c r="I121" s="31">
        <v>52963</v>
      </c>
      <c r="K121" s="5">
        <v>45649</v>
      </c>
      <c r="L121" t="s">
        <v>14</v>
      </c>
      <c r="M121" s="3">
        <v>7328</v>
      </c>
      <c r="X121" s="5">
        <v>45649</v>
      </c>
      <c r="Z121" s="3">
        <v>748744</v>
      </c>
    </row>
    <row r="122" spans="1:26" hidden="1" x14ac:dyDescent="0.3">
      <c r="A122" s="28">
        <v>45656</v>
      </c>
      <c r="B122" t="s">
        <v>19</v>
      </c>
      <c r="C122" s="3">
        <v>9433</v>
      </c>
      <c r="D122" s="3">
        <v>1233</v>
      </c>
      <c r="E122" s="3">
        <v>756944</v>
      </c>
      <c r="F122" s="3">
        <f>Twitter!$C122-Twitter!$D122</f>
        <v>8200</v>
      </c>
      <c r="G122" s="30">
        <v>1.08330338836162E-2</v>
      </c>
      <c r="H122">
        <v>11.391727789638329</v>
      </c>
      <c r="I122" s="31">
        <v>12096</v>
      </c>
      <c r="K122" s="5">
        <v>45656</v>
      </c>
      <c r="L122" t="s">
        <v>19</v>
      </c>
      <c r="M122" s="3">
        <v>8200</v>
      </c>
      <c r="X122" s="5">
        <v>45656</v>
      </c>
      <c r="Z122" s="3">
        <v>756944</v>
      </c>
    </row>
    <row r="123" spans="1:26" hidden="1" x14ac:dyDescent="0.3">
      <c r="A123" s="28">
        <v>45656</v>
      </c>
      <c r="B123" t="s">
        <v>23</v>
      </c>
      <c r="C123" s="3">
        <v>4897</v>
      </c>
      <c r="D123" s="3">
        <v>683</v>
      </c>
      <c r="E123" s="3">
        <v>761158</v>
      </c>
      <c r="F123" s="3">
        <f>Twitter!$C123-Twitter!$D123</f>
        <v>4214</v>
      </c>
      <c r="G123" s="30">
        <v>5.5363012672795904E-3</v>
      </c>
      <c r="H123">
        <v>15.06231294947961</v>
      </c>
      <c r="I123" s="31">
        <v>58201</v>
      </c>
      <c r="K123" s="5">
        <v>45656</v>
      </c>
      <c r="L123" t="s">
        <v>23</v>
      </c>
      <c r="M123" s="3">
        <v>4214</v>
      </c>
      <c r="X123" s="5">
        <v>45656</v>
      </c>
      <c r="Z123" s="3">
        <v>761158</v>
      </c>
    </row>
    <row r="124" spans="1:26" hidden="1" x14ac:dyDescent="0.3">
      <c r="A124" s="28">
        <v>45656</v>
      </c>
      <c r="B124" t="s">
        <v>19</v>
      </c>
      <c r="C124" s="3">
        <v>9123</v>
      </c>
      <c r="D124" s="3">
        <v>746</v>
      </c>
      <c r="E124" s="3">
        <v>769535</v>
      </c>
      <c r="F124" s="3">
        <f>Twitter!$C124-Twitter!$D124</f>
        <v>8377</v>
      </c>
      <c r="G124" s="30">
        <v>1.0885794668208699E-2</v>
      </c>
      <c r="H124">
        <v>6.3086149427901264</v>
      </c>
      <c r="I124" s="31">
        <v>35279</v>
      </c>
      <c r="K124" s="5">
        <v>45656</v>
      </c>
      <c r="L124" t="s">
        <v>19</v>
      </c>
      <c r="M124" s="3">
        <v>8377</v>
      </c>
      <c r="X124" s="5">
        <v>45656</v>
      </c>
      <c r="Z124" s="3">
        <v>769535</v>
      </c>
    </row>
    <row r="125" spans="1:26" x14ac:dyDescent="0.3">
      <c r="A125" s="28">
        <v>45656</v>
      </c>
      <c r="B125" t="s">
        <v>41</v>
      </c>
      <c r="C125" s="3">
        <v>3279</v>
      </c>
      <c r="D125" s="3">
        <v>200</v>
      </c>
      <c r="E125" s="3">
        <v>772614</v>
      </c>
      <c r="F125" s="3">
        <f>Twitter!$C125-Twitter!$D125</f>
        <v>3079</v>
      </c>
      <c r="G125" s="30">
        <v>3.9851724146857297E-3</v>
      </c>
      <c r="H125">
        <v>5.0212654702089274</v>
      </c>
      <c r="I125" s="31">
        <v>53363</v>
      </c>
      <c r="K125" s="5">
        <v>45656</v>
      </c>
      <c r="M125" s="3">
        <v>3079</v>
      </c>
      <c r="X125" s="5">
        <v>45656</v>
      </c>
      <c r="Z125" s="3">
        <v>772614</v>
      </c>
    </row>
    <row r="126" spans="1:26" hidden="1" x14ac:dyDescent="0.3">
      <c r="A126" s="28">
        <v>45663</v>
      </c>
      <c r="B126" t="s">
        <v>19</v>
      </c>
      <c r="C126" s="3">
        <v>9980</v>
      </c>
      <c r="D126" s="3">
        <v>726</v>
      </c>
      <c r="E126" s="3">
        <v>781868</v>
      </c>
      <c r="F126" s="3">
        <f>Twitter!$C126-Twitter!$D126</f>
        <v>9254</v>
      </c>
      <c r="G126" s="30">
        <v>1.18357574424327E-2</v>
      </c>
      <c r="H126">
        <v>4.0220344099003924</v>
      </c>
      <c r="I126" s="31">
        <v>58709</v>
      </c>
      <c r="K126" s="5">
        <v>45663</v>
      </c>
      <c r="L126" t="s">
        <v>19</v>
      </c>
      <c r="M126" s="3">
        <v>9254</v>
      </c>
      <c r="X126" s="5">
        <v>45663</v>
      </c>
      <c r="Z126" s="3">
        <v>781868</v>
      </c>
    </row>
    <row r="127" spans="1:26" x14ac:dyDescent="0.3">
      <c r="A127" s="28">
        <v>45663</v>
      </c>
      <c r="B127" t="s">
        <v>41</v>
      </c>
      <c r="C127" s="3">
        <v>8451</v>
      </c>
      <c r="D127" s="3">
        <v>783</v>
      </c>
      <c r="E127" s="3">
        <v>789536</v>
      </c>
      <c r="F127" s="3">
        <f>Twitter!$C127-Twitter!$D127</f>
        <v>7668</v>
      </c>
      <c r="G127" s="30">
        <v>9.7120333968305408E-3</v>
      </c>
      <c r="H127">
        <v>12.407287318121019</v>
      </c>
      <c r="I127" s="31">
        <v>36201</v>
      </c>
      <c r="K127" s="5">
        <v>45663</v>
      </c>
      <c r="M127" s="3">
        <v>7668</v>
      </c>
      <c r="X127" s="5">
        <v>45663</v>
      </c>
      <c r="Z127" s="3">
        <v>789536</v>
      </c>
    </row>
    <row r="128" spans="1:26" hidden="1" x14ac:dyDescent="0.3">
      <c r="A128" s="28">
        <v>45663</v>
      </c>
      <c r="B128" t="s">
        <v>14</v>
      </c>
      <c r="C128" s="3">
        <v>9906</v>
      </c>
      <c r="D128" s="3">
        <v>1305</v>
      </c>
      <c r="E128" s="3">
        <v>798137</v>
      </c>
      <c r="F128" s="3">
        <f>Twitter!$C128-Twitter!$D128</f>
        <v>8601</v>
      </c>
      <c r="G128" s="30">
        <v>1.0776345414383701E-2</v>
      </c>
      <c r="H128">
        <v>9.1811305577864442</v>
      </c>
      <c r="I128" s="31">
        <v>29715</v>
      </c>
      <c r="K128" s="5">
        <v>45663</v>
      </c>
      <c r="L128" t="s">
        <v>14</v>
      </c>
      <c r="M128" s="3">
        <v>8601</v>
      </c>
      <c r="X128" s="5">
        <v>45663</v>
      </c>
      <c r="Z128" s="3">
        <v>798137</v>
      </c>
    </row>
    <row r="129" spans="1:26" x14ac:dyDescent="0.3">
      <c r="A129" s="28">
        <v>45663</v>
      </c>
      <c r="B129" t="s">
        <v>41</v>
      </c>
      <c r="C129" s="3">
        <v>1775</v>
      </c>
      <c r="D129" s="3">
        <v>241</v>
      </c>
      <c r="E129" s="3">
        <v>799671</v>
      </c>
      <c r="F129" s="3">
        <f>Twitter!$C129-Twitter!$D129</f>
        <v>1534</v>
      </c>
      <c r="G129" s="30">
        <v>1.91828889630861E-3</v>
      </c>
      <c r="H129">
        <v>8.1379717408784362</v>
      </c>
      <c r="I129" s="31">
        <v>39309</v>
      </c>
      <c r="K129" s="5">
        <v>45663</v>
      </c>
      <c r="M129" s="3">
        <v>1534</v>
      </c>
      <c r="X129" s="5">
        <v>45663</v>
      </c>
      <c r="Z129" s="3">
        <v>799671</v>
      </c>
    </row>
    <row r="130" spans="1:26" hidden="1" x14ac:dyDescent="0.3">
      <c r="A130" s="28">
        <v>45670</v>
      </c>
      <c r="B130" t="s">
        <v>19</v>
      </c>
      <c r="C130" s="3">
        <v>7869</v>
      </c>
      <c r="D130" s="3">
        <v>398</v>
      </c>
      <c r="E130" s="3">
        <v>807142</v>
      </c>
      <c r="F130" s="3">
        <f>Twitter!$C130-Twitter!$D130</f>
        <v>7471</v>
      </c>
      <c r="G130" s="30">
        <v>9.2561160241940096E-3</v>
      </c>
      <c r="H130">
        <v>15.211945357818079</v>
      </c>
      <c r="I130" s="31">
        <v>25078</v>
      </c>
      <c r="K130" s="5">
        <v>45670</v>
      </c>
      <c r="L130" t="s">
        <v>19</v>
      </c>
      <c r="M130" s="3">
        <v>7471</v>
      </c>
      <c r="X130" s="5">
        <v>45670</v>
      </c>
      <c r="Z130" s="3">
        <v>807142</v>
      </c>
    </row>
    <row r="131" spans="1:26" hidden="1" x14ac:dyDescent="0.3">
      <c r="A131" s="28">
        <v>45670</v>
      </c>
      <c r="B131" t="s">
        <v>23</v>
      </c>
      <c r="C131" s="3">
        <v>3247</v>
      </c>
      <c r="D131" s="3">
        <v>328</v>
      </c>
      <c r="E131" s="3">
        <v>810061</v>
      </c>
      <c r="F131" s="3">
        <f>Twitter!$C131-Twitter!$D131</f>
        <v>2919</v>
      </c>
      <c r="G131" s="30">
        <v>3.6034323341081701E-3</v>
      </c>
      <c r="H131">
        <v>13.941172331466399</v>
      </c>
      <c r="I131" s="31">
        <v>15105</v>
      </c>
      <c r="K131" s="5">
        <v>45670</v>
      </c>
      <c r="L131" t="s">
        <v>23</v>
      </c>
      <c r="M131" s="3">
        <v>2919</v>
      </c>
      <c r="X131" s="5">
        <v>45670</v>
      </c>
      <c r="Z131" s="3">
        <v>810061</v>
      </c>
    </row>
    <row r="132" spans="1:26" x14ac:dyDescent="0.3">
      <c r="A132" s="28">
        <v>45670</v>
      </c>
      <c r="B132" t="s">
        <v>41</v>
      </c>
      <c r="C132" s="3">
        <v>8088</v>
      </c>
      <c r="D132" s="3">
        <v>742</v>
      </c>
      <c r="E132" s="3">
        <v>817407</v>
      </c>
      <c r="F132" s="3">
        <f>Twitter!$C132-Twitter!$D132</f>
        <v>7346</v>
      </c>
      <c r="G132" s="30">
        <v>8.9869550909155403E-3</v>
      </c>
      <c r="H132">
        <v>14.664542877660701</v>
      </c>
      <c r="I132" s="31">
        <v>39312</v>
      </c>
      <c r="K132" s="5">
        <v>45670</v>
      </c>
      <c r="M132" s="3">
        <v>7346</v>
      </c>
      <c r="X132" s="5">
        <v>45670</v>
      </c>
      <c r="Z132" s="3">
        <v>817407</v>
      </c>
    </row>
    <row r="133" spans="1:26" hidden="1" x14ac:dyDescent="0.3">
      <c r="A133" s="28">
        <v>45670</v>
      </c>
      <c r="B133" t="s">
        <v>14</v>
      </c>
      <c r="C133" s="3">
        <v>1078</v>
      </c>
      <c r="D133" s="3">
        <v>77</v>
      </c>
      <c r="E133" s="3">
        <v>818408</v>
      </c>
      <c r="F133" s="3">
        <f>Twitter!$C133-Twitter!$D133</f>
        <v>1001</v>
      </c>
      <c r="G133" s="30">
        <v>1.22310632349635E-3</v>
      </c>
      <c r="H133">
        <v>18.236747441373989</v>
      </c>
      <c r="I133" s="31">
        <v>12839</v>
      </c>
      <c r="K133" s="5">
        <v>45670</v>
      </c>
      <c r="L133" t="s">
        <v>14</v>
      </c>
      <c r="M133" s="3">
        <v>1001</v>
      </c>
      <c r="X133" s="5">
        <v>45670</v>
      </c>
      <c r="Z133" s="3">
        <v>818408</v>
      </c>
    </row>
    <row r="134" spans="1:26" x14ac:dyDescent="0.3">
      <c r="A134" s="28">
        <v>45677</v>
      </c>
      <c r="B134" t="s">
        <v>41</v>
      </c>
      <c r="C134" s="3">
        <v>9080</v>
      </c>
      <c r="D134" s="3">
        <v>562</v>
      </c>
      <c r="E134" s="3">
        <v>826926</v>
      </c>
      <c r="F134" s="3">
        <f>Twitter!$C134-Twitter!$D134</f>
        <v>8518</v>
      </c>
      <c r="G134" s="30">
        <v>1.03008007971693E-2</v>
      </c>
      <c r="H134">
        <v>7.1083748727213809</v>
      </c>
      <c r="I134" s="31">
        <v>13384</v>
      </c>
      <c r="K134" s="5">
        <v>45677</v>
      </c>
      <c r="M134" s="3">
        <v>8518</v>
      </c>
      <c r="X134" s="5">
        <v>45677</v>
      </c>
      <c r="Z134" s="3">
        <v>826926</v>
      </c>
    </row>
    <row r="135" spans="1:26" x14ac:dyDescent="0.3">
      <c r="A135" s="28">
        <v>45677</v>
      </c>
      <c r="B135" t="s">
        <v>41</v>
      </c>
      <c r="C135" s="3">
        <v>8099</v>
      </c>
      <c r="D135" s="3">
        <v>678</v>
      </c>
      <c r="E135" s="3">
        <v>834347</v>
      </c>
      <c r="F135" s="3">
        <f>Twitter!$C135-Twitter!$D135</f>
        <v>7421</v>
      </c>
      <c r="G135" s="30">
        <v>8.8943808751035195E-3</v>
      </c>
      <c r="H135">
        <v>7.6464588474579518</v>
      </c>
      <c r="I135" s="31">
        <v>53619</v>
      </c>
      <c r="K135" s="5">
        <v>45677</v>
      </c>
      <c r="M135" s="3">
        <v>7421</v>
      </c>
      <c r="X135" s="5">
        <v>45677</v>
      </c>
      <c r="Z135" s="3">
        <v>834347</v>
      </c>
    </row>
    <row r="136" spans="1:26" x14ac:dyDescent="0.3">
      <c r="A136" s="28">
        <v>45677</v>
      </c>
      <c r="B136" t="s">
        <v>41</v>
      </c>
      <c r="C136" s="3">
        <v>4926</v>
      </c>
      <c r="D136" s="3">
        <v>710</v>
      </c>
      <c r="E136" s="3">
        <v>838563</v>
      </c>
      <c r="F136" s="3">
        <f>Twitter!$C136-Twitter!$D136</f>
        <v>4216</v>
      </c>
      <c r="G136" s="30">
        <v>5.0276484891415398E-3</v>
      </c>
      <c r="H136">
        <v>12.96217457722318</v>
      </c>
      <c r="I136" s="31">
        <v>52821</v>
      </c>
      <c r="K136" s="5">
        <v>45677</v>
      </c>
      <c r="M136" s="3">
        <v>4216</v>
      </c>
      <c r="X136" s="5">
        <v>45677</v>
      </c>
      <c r="Z136" s="3">
        <v>838563</v>
      </c>
    </row>
    <row r="137" spans="1:26" hidden="1" x14ac:dyDescent="0.3">
      <c r="A137" s="28">
        <v>45677</v>
      </c>
      <c r="B137" t="s">
        <v>14</v>
      </c>
      <c r="C137" s="3">
        <v>8340</v>
      </c>
      <c r="D137" s="3">
        <v>686</v>
      </c>
      <c r="E137" s="3">
        <v>846217</v>
      </c>
      <c r="F137" s="3">
        <f>Twitter!$C137-Twitter!$D137</f>
        <v>7654</v>
      </c>
      <c r="G137" s="30">
        <v>9.04496128061715E-3</v>
      </c>
      <c r="H137">
        <v>7.201344336027284</v>
      </c>
      <c r="I137" s="31">
        <v>23493</v>
      </c>
      <c r="K137" s="5">
        <v>45677</v>
      </c>
      <c r="L137" t="s">
        <v>14</v>
      </c>
      <c r="M137" s="3">
        <v>7654</v>
      </c>
      <c r="X137" s="5">
        <v>45677</v>
      </c>
      <c r="Z137" s="3">
        <v>846217</v>
      </c>
    </row>
    <row r="138" spans="1:26" hidden="1" x14ac:dyDescent="0.3">
      <c r="A138" s="28">
        <v>45684</v>
      </c>
      <c r="B138" t="s">
        <v>19</v>
      </c>
      <c r="C138" s="3">
        <v>8083</v>
      </c>
      <c r="D138" s="3">
        <v>823</v>
      </c>
      <c r="E138" s="3">
        <v>853477</v>
      </c>
      <c r="F138" s="3">
        <f>Twitter!$C138-Twitter!$D138</f>
        <v>7260</v>
      </c>
      <c r="G138" s="30">
        <v>8.5063803711172108E-3</v>
      </c>
      <c r="H138">
        <v>4.6300017457998282</v>
      </c>
      <c r="I138" s="31">
        <v>27069</v>
      </c>
      <c r="K138" s="5">
        <v>45684</v>
      </c>
      <c r="L138" t="s">
        <v>19</v>
      </c>
      <c r="M138" s="3">
        <v>7260</v>
      </c>
      <c r="X138" s="5">
        <v>45684</v>
      </c>
      <c r="Z138" s="3">
        <v>853477</v>
      </c>
    </row>
    <row r="139" spans="1:26" x14ac:dyDescent="0.3">
      <c r="A139" s="28">
        <v>45684</v>
      </c>
      <c r="B139" t="s">
        <v>41</v>
      </c>
      <c r="C139" s="3">
        <v>7230</v>
      </c>
      <c r="D139" s="3">
        <v>869</v>
      </c>
      <c r="E139" s="3">
        <v>859838</v>
      </c>
      <c r="F139" s="3">
        <f>Twitter!$C139-Twitter!$D139</f>
        <v>6361</v>
      </c>
      <c r="G139" s="30">
        <v>7.397905186791E-3</v>
      </c>
      <c r="H139">
        <v>7.0117859410726204</v>
      </c>
      <c r="I139" s="31">
        <v>56907</v>
      </c>
      <c r="K139" s="5">
        <v>45684</v>
      </c>
      <c r="M139" s="3">
        <v>6361</v>
      </c>
      <c r="X139" s="5">
        <v>45684</v>
      </c>
      <c r="Z139" s="3">
        <v>859838</v>
      </c>
    </row>
    <row r="140" spans="1:26" x14ac:dyDescent="0.3">
      <c r="A140" s="28">
        <v>45684</v>
      </c>
      <c r="B140" t="s">
        <v>41</v>
      </c>
      <c r="C140" s="3">
        <v>5940</v>
      </c>
      <c r="D140" s="3">
        <v>512</v>
      </c>
      <c r="E140" s="3">
        <v>865266</v>
      </c>
      <c r="F140" s="3">
        <f>Twitter!$C140-Twitter!$D140</f>
        <v>5428</v>
      </c>
      <c r="G140" s="30">
        <v>6.2732154042802997E-3</v>
      </c>
      <c r="H140">
        <v>15.7972230504839</v>
      </c>
      <c r="I140" s="31">
        <v>17531</v>
      </c>
      <c r="K140" s="5">
        <v>45684</v>
      </c>
      <c r="M140" s="3">
        <v>5428</v>
      </c>
      <c r="X140" s="5">
        <v>45684</v>
      </c>
      <c r="Z140" s="3">
        <v>865266</v>
      </c>
    </row>
    <row r="141" spans="1:26" hidden="1" x14ac:dyDescent="0.3">
      <c r="A141" s="28">
        <v>45684</v>
      </c>
      <c r="B141" t="s">
        <v>23</v>
      </c>
      <c r="C141" s="3">
        <v>4271</v>
      </c>
      <c r="D141" s="3">
        <v>628</v>
      </c>
      <c r="E141" s="3">
        <v>868909</v>
      </c>
      <c r="F141" s="3">
        <f>Twitter!$C141-Twitter!$D141</f>
        <v>3643</v>
      </c>
      <c r="G141" s="30">
        <v>4.1926139561219902E-3</v>
      </c>
      <c r="H141">
        <v>11.124410036033691</v>
      </c>
      <c r="I141" s="31">
        <v>47051</v>
      </c>
      <c r="K141" s="5">
        <v>45684</v>
      </c>
      <c r="L141" t="s">
        <v>23</v>
      </c>
      <c r="M141" s="3">
        <v>3643</v>
      </c>
      <c r="X141" s="5">
        <v>45684</v>
      </c>
      <c r="Z141" s="3">
        <v>868909</v>
      </c>
    </row>
    <row r="142" spans="1:26" hidden="1" x14ac:dyDescent="0.3">
      <c r="A142" s="28">
        <v>45691</v>
      </c>
      <c r="B142" t="s">
        <v>14</v>
      </c>
      <c r="C142" s="3">
        <v>4456</v>
      </c>
      <c r="D142" s="3">
        <v>651</v>
      </c>
      <c r="E142" s="3">
        <v>872714</v>
      </c>
      <c r="F142" s="3">
        <f>Twitter!$C142-Twitter!$D142</f>
        <v>3805</v>
      </c>
      <c r="G142" s="30">
        <v>4.3599621410908996E-3</v>
      </c>
      <c r="H142">
        <v>9.5052903929580594</v>
      </c>
      <c r="I142" s="31">
        <v>17736</v>
      </c>
      <c r="K142" s="5">
        <v>45691</v>
      </c>
      <c r="L142" t="s">
        <v>14</v>
      </c>
      <c r="M142" s="3">
        <v>3805</v>
      </c>
      <c r="X142" s="5">
        <v>45691</v>
      </c>
      <c r="Z142" s="3">
        <v>872714</v>
      </c>
    </row>
    <row r="143" spans="1:26" x14ac:dyDescent="0.3">
      <c r="A143" s="28">
        <v>45691</v>
      </c>
      <c r="B143" t="s">
        <v>41</v>
      </c>
      <c r="C143" s="3">
        <v>8788</v>
      </c>
      <c r="D143" s="3">
        <v>660</v>
      </c>
      <c r="E143" s="3">
        <v>880842</v>
      </c>
      <c r="F143" s="3">
        <f>Twitter!$C143-Twitter!$D143</f>
        <v>8128</v>
      </c>
      <c r="G143" s="30">
        <v>9.2275345635198999E-3</v>
      </c>
      <c r="H143">
        <v>3.7175793161543158</v>
      </c>
      <c r="I143" s="31">
        <v>17710</v>
      </c>
      <c r="K143" s="5">
        <v>45691</v>
      </c>
      <c r="M143" s="3">
        <v>8128</v>
      </c>
      <c r="X143" s="5">
        <v>45691</v>
      </c>
      <c r="Z143" s="3">
        <v>880842</v>
      </c>
    </row>
    <row r="144" spans="1:26" hidden="1" x14ac:dyDescent="0.3">
      <c r="A144" s="28">
        <v>45691</v>
      </c>
      <c r="B144" t="s">
        <v>14</v>
      </c>
      <c r="C144" s="3">
        <v>9599</v>
      </c>
      <c r="D144" s="3">
        <v>957</v>
      </c>
      <c r="E144" s="3">
        <v>889484</v>
      </c>
      <c r="F144" s="3">
        <f>Twitter!$C144-Twitter!$D144</f>
        <v>8642</v>
      </c>
      <c r="G144" s="30">
        <v>9.7157453085159502E-3</v>
      </c>
      <c r="H144">
        <v>8.768004820772493</v>
      </c>
      <c r="I144" s="31">
        <v>11619</v>
      </c>
      <c r="K144" s="5">
        <v>45691</v>
      </c>
      <c r="L144" t="s">
        <v>14</v>
      </c>
      <c r="M144" s="3">
        <v>8642</v>
      </c>
      <c r="X144" s="5">
        <v>45691</v>
      </c>
      <c r="Z144" s="3">
        <v>889484</v>
      </c>
    </row>
    <row r="145" spans="1:26" x14ac:dyDescent="0.3">
      <c r="A145" s="28">
        <v>45691</v>
      </c>
      <c r="B145" t="s">
        <v>41</v>
      </c>
      <c r="C145" s="3">
        <v>8650</v>
      </c>
      <c r="D145" s="3">
        <v>692</v>
      </c>
      <c r="E145" s="3">
        <v>897442</v>
      </c>
      <c r="F145" s="3">
        <f>Twitter!$C145-Twitter!$D145</f>
        <v>7958</v>
      </c>
      <c r="G145" s="30">
        <v>8.8674254157928897E-3</v>
      </c>
      <c r="H145">
        <v>7.6673478620345374</v>
      </c>
      <c r="I145" s="31">
        <v>23975</v>
      </c>
      <c r="K145" s="5">
        <v>45691</v>
      </c>
      <c r="M145" s="3">
        <v>7958</v>
      </c>
      <c r="X145" s="5">
        <v>45691</v>
      </c>
      <c r="Z145" s="3">
        <v>897442</v>
      </c>
    </row>
    <row r="146" spans="1:26" hidden="1" x14ac:dyDescent="0.3">
      <c r="A146" s="28">
        <v>45698</v>
      </c>
      <c r="B146" t="s">
        <v>19</v>
      </c>
      <c r="C146" s="3">
        <v>3711</v>
      </c>
      <c r="D146" s="3">
        <v>291</v>
      </c>
      <c r="E146" s="3">
        <v>900862</v>
      </c>
      <c r="F146" s="3">
        <f>Twitter!$C146-Twitter!$D146</f>
        <v>3420</v>
      </c>
      <c r="G146" s="30">
        <v>3.7963639269943698E-3</v>
      </c>
      <c r="H146">
        <v>14.24879726306582</v>
      </c>
      <c r="I146" s="31">
        <v>55603</v>
      </c>
      <c r="K146" s="5">
        <v>45698</v>
      </c>
      <c r="L146" t="s">
        <v>19</v>
      </c>
      <c r="M146" s="3">
        <v>3420</v>
      </c>
      <c r="X146" s="5">
        <v>45698</v>
      </c>
      <c r="Z146" s="3">
        <v>900862</v>
      </c>
    </row>
    <row r="147" spans="1:26" hidden="1" x14ac:dyDescent="0.3">
      <c r="A147" s="28">
        <v>45698</v>
      </c>
      <c r="B147" t="s">
        <v>19</v>
      </c>
      <c r="C147" s="3">
        <v>2668</v>
      </c>
      <c r="D147" s="3">
        <v>143</v>
      </c>
      <c r="E147" s="3">
        <v>903387</v>
      </c>
      <c r="F147" s="3">
        <f>Twitter!$C147-Twitter!$D147</f>
        <v>2525</v>
      </c>
      <c r="G147" s="30">
        <v>2.79503690002181E-3</v>
      </c>
      <c r="H147">
        <v>15.903372530266649</v>
      </c>
      <c r="I147" s="31">
        <v>33252</v>
      </c>
      <c r="K147" s="5">
        <v>45698</v>
      </c>
      <c r="L147" t="s">
        <v>19</v>
      </c>
      <c r="M147" s="3">
        <v>2525</v>
      </c>
      <c r="X147" s="5">
        <v>45698</v>
      </c>
      <c r="Z147" s="3">
        <v>903387</v>
      </c>
    </row>
    <row r="148" spans="1:26" x14ac:dyDescent="0.3">
      <c r="A148" s="28">
        <v>45698</v>
      </c>
      <c r="B148" t="s">
        <v>41</v>
      </c>
      <c r="C148" s="3">
        <v>1147</v>
      </c>
      <c r="D148" s="3">
        <v>127</v>
      </c>
      <c r="E148" s="3">
        <v>904407</v>
      </c>
      <c r="F148" s="3">
        <f>Twitter!$C148-Twitter!$D148</f>
        <v>1020</v>
      </c>
      <c r="G148" s="30">
        <v>1.12781081968627E-3</v>
      </c>
      <c r="H148">
        <v>1.3997016829812241</v>
      </c>
      <c r="I148" s="31">
        <v>25261</v>
      </c>
      <c r="K148" s="5">
        <v>45698</v>
      </c>
      <c r="M148" s="3">
        <v>1020</v>
      </c>
      <c r="X148" s="5">
        <v>45698</v>
      </c>
      <c r="Z148" s="3">
        <v>904407</v>
      </c>
    </row>
    <row r="149" spans="1:26" hidden="1" x14ac:dyDescent="0.3">
      <c r="A149" s="28">
        <v>45698</v>
      </c>
      <c r="B149" t="s">
        <v>19</v>
      </c>
      <c r="C149" s="3">
        <v>7420</v>
      </c>
      <c r="D149" s="3">
        <v>743</v>
      </c>
      <c r="E149" s="3">
        <v>911084</v>
      </c>
      <c r="F149" s="3">
        <f>Twitter!$C149-Twitter!$D149</f>
        <v>6677</v>
      </c>
      <c r="G149" s="30">
        <v>7.3286327056561202E-3</v>
      </c>
      <c r="H149">
        <v>10.593534734448189</v>
      </c>
      <c r="I149" s="31">
        <v>11431</v>
      </c>
      <c r="K149" s="5">
        <v>45698</v>
      </c>
      <c r="L149" t="s">
        <v>19</v>
      </c>
      <c r="M149" s="3">
        <v>6677</v>
      </c>
      <c r="X149" s="5">
        <v>45698</v>
      </c>
      <c r="Z149" s="3">
        <v>911084</v>
      </c>
    </row>
    <row r="150" spans="1:26" x14ac:dyDescent="0.3">
      <c r="A150" s="28">
        <v>45705</v>
      </c>
      <c r="B150" t="s">
        <v>41</v>
      </c>
      <c r="C150" s="3">
        <v>1365</v>
      </c>
      <c r="D150" s="3">
        <v>75</v>
      </c>
      <c r="E150" s="3">
        <v>912374</v>
      </c>
      <c r="F150" s="3">
        <f>Twitter!$C150-Twitter!$D150</f>
        <v>1290</v>
      </c>
      <c r="G150" s="30">
        <v>1.4138938637006299E-3</v>
      </c>
      <c r="H150">
        <v>9.2688963078737441</v>
      </c>
      <c r="I150" s="31">
        <v>19067</v>
      </c>
      <c r="K150" s="5">
        <v>45705</v>
      </c>
      <c r="M150" s="3">
        <v>1290</v>
      </c>
      <c r="X150" s="5">
        <v>45705</v>
      </c>
      <c r="Z150" s="3">
        <v>912374</v>
      </c>
    </row>
    <row r="151" spans="1:26" hidden="1" x14ac:dyDescent="0.3">
      <c r="A151" s="28">
        <v>45705</v>
      </c>
      <c r="B151" t="s">
        <v>19</v>
      </c>
      <c r="C151" s="3">
        <v>5531</v>
      </c>
      <c r="D151" s="3">
        <v>430</v>
      </c>
      <c r="E151" s="3">
        <v>917475</v>
      </c>
      <c r="F151" s="3">
        <f>Twitter!$C151-Twitter!$D151</f>
        <v>5101</v>
      </c>
      <c r="G151" s="30">
        <v>5.5598245183792498E-3</v>
      </c>
      <c r="H151">
        <v>2.7289026948963189</v>
      </c>
      <c r="I151" s="31">
        <v>47481</v>
      </c>
      <c r="K151" s="5">
        <v>45705</v>
      </c>
      <c r="L151" t="s">
        <v>19</v>
      </c>
      <c r="M151" s="3">
        <v>5101</v>
      </c>
      <c r="X151" s="5">
        <v>45705</v>
      </c>
      <c r="Z151" s="3">
        <v>917475</v>
      </c>
    </row>
    <row r="152" spans="1:26" hidden="1" x14ac:dyDescent="0.3">
      <c r="A152" s="28">
        <v>45705</v>
      </c>
      <c r="B152" t="s">
        <v>23</v>
      </c>
      <c r="C152" s="3">
        <v>6330</v>
      </c>
      <c r="D152" s="3">
        <v>891</v>
      </c>
      <c r="E152" s="3">
        <v>922914</v>
      </c>
      <c r="F152" s="3">
        <f>Twitter!$C152-Twitter!$D152</f>
        <v>5439</v>
      </c>
      <c r="G152" s="30">
        <v>5.8932901657142503E-3</v>
      </c>
      <c r="H152">
        <v>14.789893749580139</v>
      </c>
      <c r="I152" s="31">
        <v>37037</v>
      </c>
      <c r="K152" s="5">
        <v>45705</v>
      </c>
      <c r="L152" t="s">
        <v>23</v>
      </c>
      <c r="M152" s="3">
        <v>5439</v>
      </c>
      <c r="X152" s="5">
        <v>45705</v>
      </c>
      <c r="Z152" s="3">
        <v>922914</v>
      </c>
    </row>
    <row r="153" spans="1:26" hidden="1" x14ac:dyDescent="0.3">
      <c r="A153" s="28">
        <v>45705</v>
      </c>
      <c r="B153" t="s">
        <v>23</v>
      </c>
      <c r="C153" s="3">
        <v>6510</v>
      </c>
      <c r="D153" s="3">
        <v>481</v>
      </c>
      <c r="E153" s="3">
        <v>928943</v>
      </c>
      <c r="F153" s="3">
        <f>Twitter!$C153-Twitter!$D153</f>
        <v>6029</v>
      </c>
      <c r="G153" s="30">
        <v>6.4901721634158397E-3</v>
      </c>
      <c r="H153">
        <v>2.3800168578696428</v>
      </c>
      <c r="I153" s="31">
        <v>19557</v>
      </c>
      <c r="K153" s="5">
        <v>45705</v>
      </c>
      <c r="L153" t="s">
        <v>23</v>
      </c>
      <c r="M153" s="3">
        <v>6029</v>
      </c>
      <c r="X153" s="5">
        <v>45705</v>
      </c>
      <c r="Z153" s="3">
        <v>928943</v>
      </c>
    </row>
    <row r="154" spans="1:26" hidden="1" x14ac:dyDescent="0.3">
      <c r="A154" s="28">
        <v>45712</v>
      </c>
      <c r="B154" t="s">
        <v>23</v>
      </c>
      <c r="C154" s="3">
        <v>9754</v>
      </c>
      <c r="D154" s="3">
        <v>629</v>
      </c>
      <c r="E154" s="3">
        <v>938068</v>
      </c>
      <c r="F154" s="3">
        <f>Twitter!$C154-Twitter!$D154</f>
        <v>9125</v>
      </c>
      <c r="G154" s="30">
        <v>9.7274398018054094E-3</v>
      </c>
      <c r="H154">
        <v>3.4123325814333292</v>
      </c>
      <c r="I154" s="31">
        <v>19435</v>
      </c>
      <c r="K154" s="5">
        <v>45712</v>
      </c>
      <c r="L154" t="s">
        <v>23</v>
      </c>
      <c r="M154" s="3">
        <v>9125</v>
      </c>
      <c r="X154" s="5">
        <v>45712</v>
      </c>
      <c r="Z154" s="3">
        <v>938068</v>
      </c>
    </row>
    <row r="155" spans="1:26" hidden="1" x14ac:dyDescent="0.3">
      <c r="A155" s="28">
        <v>45712</v>
      </c>
      <c r="B155" t="s">
        <v>14</v>
      </c>
      <c r="C155" s="3">
        <v>9964</v>
      </c>
      <c r="D155" s="3">
        <v>985</v>
      </c>
      <c r="E155" s="3">
        <v>947047</v>
      </c>
      <c r="F155" s="3">
        <f>Twitter!$C155-Twitter!$D155</f>
        <v>8979</v>
      </c>
      <c r="G155" s="30">
        <v>9.4810500429228992E-3</v>
      </c>
      <c r="H155">
        <v>1.9837452629066989</v>
      </c>
      <c r="I155" s="31">
        <v>47766</v>
      </c>
      <c r="K155" s="5">
        <v>45712</v>
      </c>
      <c r="L155" t="s">
        <v>14</v>
      </c>
      <c r="M155" s="3">
        <v>8979</v>
      </c>
      <c r="X155" s="5">
        <v>45712</v>
      </c>
      <c r="Z155" s="3">
        <v>947047</v>
      </c>
    </row>
    <row r="156" spans="1:26" hidden="1" x14ac:dyDescent="0.3">
      <c r="A156" s="28">
        <v>45712</v>
      </c>
      <c r="B156" t="s">
        <v>14</v>
      </c>
      <c r="C156" s="3">
        <v>7493</v>
      </c>
      <c r="D156" s="3">
        <v>1113</v>
      </c>
      <c r="E156" s="3">
        <v>953427</v>
      </c>
      <c r="F156" s="3">
        <f>Twitter!$C156-Twitter!$D156</f>
        <v>6380</v>
      </c>
      <c r="G156" s="30">
        <v>6.6916502259743004E-3</v>
      </c>
      <c r="H156">
        <v>15.684892498324469</v>
      </c>
      <c r="I156" s="31">
        <v>10162</v>
      </c>
      <c r="K156" s="5">
        <v>45712</v>
      </c>
      <c r="L156" t="s">
        <v>14</v>
      </c>
      <c r="M156" s="3">
        <v>6380</v>
      </c>
      <c r="X156" s="5">
        <v>45712</v>
      </c>
      <c r="Z156" s="3">
        <v>953427</v>
      </c>
    </row>
    <row r="157" spans="1:26" hidden="1" x14ac:dyDescent="0.3">
      <c r="A157" s="28">
        <v>45712</v>
      </c>
      <c r="B157" t="s">
        <v>23</v>
      </c>
      <c r="C157" s="3">
        <v>6439</v>
      </c>
      <c r="D157" s="3">
        <v>477</v>
      </c>
      <c r="E157" s="3">
        <v>959389</v>
      </c>
      <c r="F157" s="3">
        <f>Twitter!$C157-Twitter!$D157</f>
        <v>5962</v>
      </c>
      <c r="G157" s="30">
        <v>6.2143718554204799E-3</v>
      </c>
      <c r="H157">
        <v>7.4744446725989153</v>
      </c>
      <c r="I157" s="31">
        <v>44742</v>
      </c>
      <c r="K157" s="5">
        <v>45712</v>
      </c>
      <c r="L157" t="s">
        <v>23</v>
      </c>
      <c r="M157" s="3">
        <v>5962</v>
      </c>
      <c r="X157" s="5">
        <v>45712</v>
      </c>
      <c r="Z157" s="3">
        <v>959389</v>
      </c>
    </row>
    <row r="158" spans="1:26" hidden="1" x14ac:dyDescent="0.3">
      <c r="A158" s="28">
        <v>45719</v>
      </c>
      <c r="B158" t="s">
        <v>14</v>
      </c>
      <c r="C158" s="3">
        <v>7511</v>
      </c>
      <c r="D158" s="3">
        <v>880</v>
      </c>
      <c r="E158" s="3">
        <v>966020</v>
      </c>
      <c r="F158" s="3">
        <f>Twitter!$C158-Twitter!$D158</f>
        <v>6631</v>
      </c>
      <c r="G158" s="30">
        <v>6.8642471170369196E-3</v>
      </c>
      <c r="H158">
        <v>4.6083932009689246</v>
      </c>
      <c r="I158" s="31">
        <v>29675</v>
      </c>
      <c r="K158" s="5">
        <v>45719</v>
      </c>
      <c r="L158" t="s">
        <v>14</v>
      </c>
      <c r="M158" s="3">
        <v>6631</v>
      </c>
      <c r="X158" s="5">
        <v>45719</v>
      </c>
      <c r="Z158" s="3">
        <v>966020</v>
      </c>
    </row>
    <row r="159" spans="1:26" hidden="1" x14ac:dyDescent="0.3">
      <c r="A159" s="28">
        <v>45719</v>
      </c>
      <c r="B159" t="s">
        <v>19</v>
      </c>
      <c r="C159" s="3">
        <v>8504</v>
      </c>
      <c r="D159" s="3">
        <v>1072</v>
      </c>
      <c r="E159" s="3">
        <v>973452</v>
      </c>
      <c r="F159" s="3">
        <f>Twitter!$C159-Twitter!$D159</f>
        <v>7432</v>
      </c>
      <c r="G159" s="30">
        <v>7.6346856342172E-3</v>
      </c>
      <c r="H159">
        <v>6.5651927367759271</v>
      </c>
      <c r="I159" s="31">
        <v>18461</v>
      </c>
      <c r="K159" s="5">
        <v>45719</v>
      </c>
      <c r="L159" t="s">
        <v>19</v>
      </c>
      <c r="M159" s="3">
        <v>7432</v>
      </c>
      <c r="X159" s="5">
        <v>45719</v>
      </c>
      <c r="Z159" s="3">
        <v>973452</v>
      </c>
    </row>
    <row r="160" spans="1:26" x14ac:dyDescent="0.3">
      <c r="A160" s="28">
        <v>45719</v>
      </c>
      <c r="B160" t="s">
        <v>41</v>
      </c>
      <c r="C160" s="3">
        <v>2246</v>
      </c>
      <c r="D160" s="3">
        <v>165</v>
      </c>
      <c r="E160" s="3">
        <v>975533</v>
      </c>
      <c r="F160" s="3">
        <f>Twitter!$C160-Twitter!$D160</f>
        <v>2081</v>
      </c>
      <c r="G160" s="30">
        <v>2.1331928289458199E-3</v>
      </c>
      <c r="H160">
        <v>2.9062061457685191</v>
      </c>
      <c r="I160" s="31">
        <v>27015</v>
      </c>
      <c r="K160" s="5">
        <v>45719</v>
      </c>
      <c r="M160" s="3">
        <v>2081</v>
      </c>
      <c r="X160" s="5">
        <v>45719</v>
      </c>
      <c r="Z160" s="3">
        <v>975533</v>
      </c>
    </row>
    <row r="161" spans="1:26" x14ac:dyDescent="0.3">
      <c r="A161" s="28">
        <v>45719</v>
      </c>
      <c r="B161" t="s">
        <v>41</v>
      </c>
      <c r="C161" s="3">
        <v>4839</v>
      </c>
      <c r="D161" s="3">
        <v>594</v>
      </c>
      <c r="E161" s="3">
        <v>979778</v>
      </c>
      <c r="F161" s="3">
        <f>Twitter!$C161-Twitter!$D161</f>
        <v>4245</v>
      </c>
      <c r="G161" s="30">
        <v>4.3326141227910796E-3</v>
      </c>
      <c r="H161">
        <v>2.5803804535313102</v>
      </c>
      <c r="I161" s="31">
        <v>42591</v>
      </c>
      <c r="K161" s="5">
        <v>45719</v>
      </c>
      <c r="M161" s="3">
        <v>4245</v>
      </c>
      <c r="X161" s="5">
        <v>45719</v>
      </c>
      <c r="Z161" s="3">
        <v>979778</v>
      </c>
    </row>
    <row r="162" spans="1:26" x14ac:dyDescent="0.3">
      <c r="A162" s="28">
        <v>45726</v>
      </c>
      <c r="B162" t="s">
        <v>41</v>
      </c>
      <c r="C162" s="3">
        <v>9551</v>
      </c>
      <c r="D162" s="3">
        <v>828</v>
      </c>
      <c r="E162" s="3">
        <v>988501</v>
      </c>
      <c r="F162" s="3">
        <f>Twitter!$C162-Twitter!$D162</f>
        <v>8723</v>
      </c>
      <c r="G162" s="30">
        <v>8.8244726105487E-3</v>
      </c>
      <c r="H162">
        <v>1.525036393488727</v>
      </c>
      <c r="I162" s="31">
        <v>38047</v>
      </c>
      <c r="K162" s="5">
        <v>45726</v>
      </c>
      <c r="M162" s="3">
        <v>8723</v>
      </c>
      <c r="X162" s="5">
        <v>45726</v>
      </c>
      <c r="Z162" s="3">
        <v>988501</v>
      </c>
    </row>
    <row r="163" spans="1:26" hidden="1" x14ac:dyDescent="0.3">
      <c r="A163" s="28">
        <v>45726</v>
      </c>
      <c r="B163" t="s">
        <v>23</v>
      </c>
      <c r="C163" s="3">
        <v>3376</v>
      </c>
      <c r="D163" s="3">
        <v>382</v>
      </c>
      <c r="E163" s="3">
        <v>991495</v>
      </c>
      <c r="F163" s="3">
        <f>Twitter!$C163-Twitter!$D163</f>
        <v>2994</v>
      </c>
      <c r="G163" s="30">
        <v>3.0196823988018098E-3</v>
      </c>
      <c r="H163">
        <v>3.8694093263203548</v>
      </c>
      <c r="I163" s="31">
        <v>44782</v>
      </c>
      <c r="K163" s="5">
        <v>45726</v>
      </c>
      <c r="L163" t="s">
        <v>23</v>
      </c>
      <c r="M163" s="3">
        <v>2994</v>
      </c>
      <c r="X163" s="5">
        <v>45726</v>
      </c>
      <c r="Z163" s="3">
        <v>991495</v>
      </c>
    </row>
    <row r="164" spans="1:26" hidden="1" x14ac:dyDescent="0.3">
      <c r="A164" s="28">
        <v>45726</v>
      </c>
      <c r="B164" t="s">
        <v>14</v>
      </c>
      <c r="C164" s="3">
        <v>4009</v>
      </c>
      <c r="D164" s="3">
        <v>454</v>
      </c>
      <c r="E164" s="3">
        <v>995050</v>
      </c>
      <c r="F164" s="3">
        <f>Twitter!$C164-Twitter!$D164</f>
        <v>3555</v>
      </c>
      <c r="G164" s="30">
        <v>3.5726847897090599E-3</v>
      </c>
      <c r="H164">
        <v>2.1106477061454201</v>
      </c>
      <c r="I164" s="31">
        <v>19833</v>
      </c>
      <c r="K164" s="5">
        <v>45726</v>
      </c>
      <c r="L164" t="s">
        <v>14</v>
      </c>
      <c r="M164" s="3">
        <v>3555</v>
      </c>
      <c r="X164" s="5">
        <v>45726</v>
      </c>
      <c r="Z164" s="3">
        <v>995050</v>
      </c>
    </row>
    <row r="165" spans="1:26" hidden="1" x14ac:dyDescent="0.3">
      <c r="A165" s="28">
        <v>45726</v>
      </c>
      <c r="B165" t="s">
        <v>19</v>
      </c>
      <c r="C165" s="3">
        <v>2827</v>
      </c>
      <c r="D165" s="3">
        <v>292</v>
      </c>
      <c r="E165" s="3">
        <v>997585</v>
      </c>
      <c r="F165" s="3">
        <f>Twitter!$C165-Twitter!$D165</f>
        <v>2535</v>
      </c>
      <c r="G165" s="30">
        <v>2.5411368454818402E-3</v>
      </c>
      <c r="H165">
        <v>2.4004972007397871</v>
      </c>
      <c r="I165" s="31">
        <v>17896</v>
      </c>
      <c r="K165" s="5">
        <v>45726</v>
      </c>
      <c r="L165" t="s">
        <v>19</v>
      </c>
      <c r="M165" s="3">
        <v>2535</v>
      </c>
      <c r="X165" s="5">
        <v>45726</v>
      </c>
      <c r="Z165" s="3">
        <v>997585</v>
      </c>
    </row>
    <row r="166" spans="1:26" hidden="1" x14ac:dyDescent="0.3">
      <c r="A166" s="28">
        <v>45733</v>
      </c>
      <c r="B166" t="s">
        <v>19</v>
      </c>
      <c r="C166" s="3">
        <v>7979</v>
      </c>
      <c r="D166" s="3">
        <v>470</v>
      </c>
      <c r="E166" s="3">
        <v>1005094</v>
      </c>
      <c r="F166" s="3">
        <f>Twitter!$C166-Twitter!$D166</f>
        <v>7509</v>
      </c>
      <c r="G166" s="30">
        <v>7.4709430162751E-3</v>
      </c>
      <c r="H166">
        <v>10.43086517280971</v>
      </c>
      <c r="I166" s="31">
        <v>42972</v>
      </c>
      <c r="K166" s="5">
        <v>45733</v>
      </c>
      <c r="L166" t="s">
        <v>19</v>
      </c>
      <c r="M166" s="3">
        <v>7509</v>
      </c>
      <c r="X166" s="5">
        <v>45733</v>
      </c>
      <c r="Z166" s="3">
        <v>1005094</v>
      </c>
    </row>
    <row r="167" spans="1:26" hidden="1" x14ac:dyDescent="0.3">
      <c r="A167" s="28">
        <v>45733</v>
      </c>
      <c r="B167" t="s">
        <v>23</v>
      </c>
      <c r="C167" s="3">
        <v>9569</v>
      </c>
      <c r="D167" s="3">
        <v>1277</v>
      </c>
      <c r="E167" s="3">
        <v>1013386</v>
      </c>
      <c r="F167" s="3">
        <f>Twitter!$C167-Twitter!$D167</f>
        <v>8292</v>
      </c>
      <c r="G167" s="30">
        <v>8.1824694637581408E-3</v>
      </c>
      <c r="H167">
        <v>12.45517502708741</v>
      </c>
      <c r="I167" s="31">
        <v>59733</v>
      </c>
      <c r="K167" s="5">
        <v>45733</v>
      </c>
      <c r="L167" t="s">
        <v>23</v>
      </c>
      <c r="M167" s="3">
        <v>8292</v>
      </c>
      <c r="X167" s="5">
        <v>45733</v>
      </c>
      <c r="Z167" s="3">
        <v>1013386</v>
      </c>
    </row>
    <row r="168" spans="1:26" hidden="1" x14ac:dyDescent="0.3">
      <c r="A168" s="28">
        <v>45733</v>
      </c>
      <c r="B168" t="s">
        <v>19</v>
      </c>
      <c r="C168" s="3">
        <v>5285</v>
      </c>
      <c r="D168" s="3">
        <v>433</v>
      </c>
      <c r="E168" s="3">
        <v>1018238</v>
      </c>
      <c r="F168" s="3">
        <f>Twitter!$C168-Twitter!$D168</f>
        <v>4852</v>
      </c>
      <c r="G168" s="30">
        <v>4.7650942117658203E-3</v>
      </c>
      <c r="H168">
        <v>8.7022876773406619</v>
      </c>
      <c r="I168" s="31">
        <v>51800</v>
      </c>
      <c r="K168" s="5">
        <v>45733</v>
      </c>
      <c r="L168" t="s">
        <v>19</v>
      </c>
      <c r="M168" s="3">
        <v>4852</v>
      </c>
      <c r="X168" s="5">
        <v>45733</v>
      </c>
      <c r="Z168" s="3">
        <v>1018238</v>
      </c>
    </row>
    <row r="169" spans="1:26" hidden="1" x14ac:dyDescent="0.3">
      <c r="A169" s="28">
        <v>45733</v>
      </c>
      <c r="B169" t="s">
        <v>19</v>
      </c>
      <c r="C169" s="3">
        <v>7910</v>
      </c>
      <c r="D169" s="3">
        <v>543</v>
      </c>
      <c r="E169" s="3">
        <v>1025605</v>
      </c>
      <c r="F169" s="3">
        <f>Twitter!$C169-Twitter!$D169</f>
        <v>7367</v>
      </c>
      <c r="G169" s="30">
        <v>7.1830773055903598E-3</v>
      </c>
      <c r="H169">
        <v>6.0590578244060822</v>
      </c>
      <c r="I169" s="31">
        <v>40508</v>
      </c>
      <c r="K169" s="5">
        <v>45733</v>
      </c>
      <c r="L169" t="s">
        <v>19</v>
      </c>
      <c r="M169" s="3">
        <v>7367</v>
      </c>
      <c r="X169" s="5">
        <v>45733</v>
      </c>
      <c r="Z169" s="3">
        <v>1025605</v>
      </c>
    </row>
    <row r="170" spans="1:26" hidden="1" x14ac:dyDescent="0.3">
      <c r="A170" s="28">
        <v>45740</v>
      </c>
      <c r="B170" t="s">
        <v>19</v>
      </c>
      <c r="C170" s="3">
        <v>9561</v>
      </c>
      <c r="D170" s="3">
        <v>517</v>
      </c>
      <c r="E170" s="3">
        <v>1034649</v>
      </c>
      <c r="F170" s="3">
        <f>Twitter!$C170-Twitter!$D170</f>
        <v>9044</v>
      </c>
      <c r="G170" s="30">
        <v>8.7411286339618595E-3</v>
      </c>
      <c r="H170">
        <v>6.4086467971263694</v>
      </c>
      <c r="I170" s="31">
        <v>15347</v>
      </c>
      <c r="K170" s="5">
        <v>45740</v>
      </c>
      <c r="L170" t="s">
        <v>19</v>
      </c>
      <c r="M170" s="3">
        <v>9044</v>
      </c>
      <c r="X170" s="5">
        <v>45740</v>
      </c>
      <c r="Z170" s="3">
        <v>1034649</v>
      </c>
    </row>
    <row r="171" spans="1:26" hidden="1" x14ac:dyDescent="0.3">
      <c r="A171" s="28">
        <v>45740</v>
      </c>
      <c r="B171" t="s">
        <v>19</v>
      </c>
      <c r="C171" s="3">
        <v>3196</v>
      </c>
      <c r="D171" s="3">
        <v>348</v>
      </c>
      <c r="E171" s="3">
        <v>1037497</v>
      </c>
      <c r="F171" s="3">
        <f>Twitter!$C171-Twitter!$D171</f>
        <v>2848</v>
      </c>
      <c r="G171" s="30">
        <v>2.7450681785103999E-3</v>
      </c>
      <c r="H171">
        <v>14.03040201562029</v>
      </c>
      <c r="I171" s="31">
        <v>40314</v>
      </c>
      <c r="K171" s="5">
        <v>45740</v>
      </c>
      <c r="L171" t="s">
        <v>19</v>
      </c>
      <c r="M171" s="3">
        <v>2848</v>
      </c>
      <c r="X171" s="5">
        <v>45740</v>
      </c>
      <c r="Z171" s="3">
        <v>1037497</v>
      </c>
    </row>
    <row r="172" spans="1:26" hidden="1" x14ac:dyDescent="0.3">
      <c r="A172" s="28">
        <v>45740</v>
      </c>
      <c r="B172" t="s">
        <v>14</v>
      </c>
      <c r="C172" s="3">
        <v>4747</v>
      </c>
      <c r="D172" s="3">
        <v>558</v>
      </c>
      <c r="E172" s="3">
        <v>1041686</v>
      </c>
      <c r="F172" s="3">
        <f>Twitter!$C172-Twitter!$D172</f>
        <v>4189</v>
      </c>
      <c r="G172" s="30">
        <v>4.0213653634588497E-3</v>
      </c>
      <c r="H172">
        <v>5.7680529449373434</v>
      </c>
      <c r="I172" s="31">
        <v>12643</v>
      </c>
      <c r="K172" s="5">
        <v>45740</v>
      </c>
      <c r="L172" t="s">
        <v>14</v>
      </c>
      <c r="M172" s="3">
        <v>4189</v>
      </c>
      <c r="X172" s="5">
        <v>45740</v>
      </c>
      <c r="Z172" s="3">
        <v>1041686</v>
      </c>
    </row>
    <row r="173" spans="1:26" hidden="1" x14ac:dyDescent="0.3">
      <c r="A173" s="28">
        <v>45740</v>
      </c>
      <c r="B173" t="s">
        <v>19</v>
      </c>
      <c r="C173" s="3">
        <v>9843</v>
      </c>
      <c r="D173" s="3">
        <v>508</v>
      </c>
      <c r="E173" s="3">
        <v>1051021</v>
      </c>
      <c r="F173" s="3">
        <f>Twitter!$C173-Twitter!$D173</f>
        <v>9335</v>
      </c>
      <c r="G173" s="30">
        <v>8.8818396587699005E-3</v>
      </c>
      <c r="H173">
        <v>4.2080986012648651</v>
      </c>
      <c r="I173" s="31">
        <v>50785</v>
      </c>
      <c r="K173" s="5">
        <v>45740</v>
      </c>
      <c r="L173" t="s">
        <v>19</v>
      </c>
      <c r="M173" s="3">
        <v>9335</v>
      </c>
      <c r="X173" s="5">
        <v>45740</v>
      </c>
      <c r="Z173" s="3">
        <v>1051021</v>
      </c>
    </row>
    <row r="174" spans="1:26" x14ac:dyDescent="0.3">
      <c r="A174" s="28">
        <v>45747</v>
      </c>
      <c r="B174" t="s">
        <v>41</v>
      </c>
      <c r="C174" s="3">
        <v>6978</v>
      </c>
      <c r="D174" s="3">
        <v>706</v>
      </c>
      <c r="E174" s="3">
        <v>1057293</v>
      </c>
      <c r="F174" s="3">
        <f>Twitter!$C174-Twitter!$D174</f>
        <v>6272</v>
      </c>
      <c r="G174" s="30">
        <v>5.9321304501212101E-3</v>
      </c>
      <c r="H174">
        <v>5.057443868445171</v>
      </c>
      <c r="I174" s="31">
        <v>28681</v>
      </c>
      <c r="K174" s="5">
        <v>45747</v>
      </c>
      <c r="M174" s="3">
        <v>6272</v>
      </c>
      <c r="X174" s="5">
        <v>45747</v>
      </c>
      <c r="Z174" s="3">
        <v>1057293</v>
      </c>
    </row>
    <row r="175" spans="1:26" hidden="1" x14ac:dyDescent="0.3">
      <c r="A175" s="28">
        <v>45747</v>
      </c>
      <c r="B175" t="s">
        <v>23</v>
      </c>
      <c r="C175" s="3">
        <v>6607</v>
      </c>
      <c r="D175" s="3">
        <v>479</v>
      </c>
      <c r="E175" s="3">
        <v>1063421</v>
      </c>
      <c r="F175" s="3">
        <f>Twitter!$C175-Twitter!$D175</f>
        <v>6128</v>
      </c>
      <c r="G175" s="30">
        <v>5.7625343114345098E-3</v>
      </c>
      <c r="H175">
        <v>5.5892257158735816</v>
      </c>
      <c r="I175" s="31">
        <v>48328</v>
      </c>
      <c r="K175" s="5">
        <v>45747</v>
      </c>
      <c r="L175" t="s">
        <v>23</v>
      </c>
      <c r="M175" s="3">
        <v>6128</v>
      </c>
      <c r="X175" s="5">
        <v>45747</v>
      </c>
      <c r="Z175" s="3">
        <v>1063421</v>
      </c>
    </row>
    <row r="176" spans="1:26" hidden="1" x14ac:dyDescent="0.3">
      <c r="A176" s="28">
        <v>45747</v>
      </c>
      <c r="B176" t="s">
        <v>14</v>
      </c>
      <c r="C176" s="3">
        <v>1769</v>
      </c>
      <c r="D176" s="3">
        <v>202</v>
      </c>
      <c r="E176" s="3">
        <v>1064988</v>
      </c>
      <c r="F176" s="3">
        <f>Twitter!$C176-Twitter!$D176</f>
        <v>1567</v>
      </c>
      <c r="G176" s="30">
        <v>1.47137808125538E-3</v>
      </c>
      <c r="H176">
        <v>6.5457075572682513</v>
      </c>
      <c r="I176" s="31">
        <v>25892</v>
      </c>
      <c r="K176" s="5">
        <v>45747</v>
      </c>
      <c r="L176" t="s">
        <v>14</v>
      </c>
      <c r="M176" s="3">
        <v>1567</v>
      </c>
      <c r="X176" s="5">
        <v>45747</v>
      </c>
      <c r="Z176" s="3">
        <v>1064988</v>
      </c>
    </row>
    <row r="177" spans="1:26" hidden="1" x14ac:dyDescent="0.3">
      <c r="A177" s="28">
        <v>45747</v>
      </c>
      <c r="B177" t="s">
        <v>19</v>
      </c>
      <c r="C177" s="3">
        <v>1780</v>
      </c>
      <c r="D177" s="3">
        <v>120</v>
      </c>
      <c r="E177" s="3">
        <v>1066648</v>
      </c>
      <c r="F177" s="3">
        <f>Twitter!$C177-Twitter!$D177</f>
        <v>1660</v>
      </c>
      <c r="G177" s="30">
        <v>1.55627723485161E-3</v>
      </c>
      <c r="H177">
        <v>13.86474263299608</v>
      </c>
      <c r="I177" s="31">
        <v>57299</v>
      </c>
      <c r="K177" s="5">
        <v>45747</v>
      </c>
      <c r="L177" t="s">
        <v>19</v>
      </c>
      <c r="M177" s="3">
        <v>1660</v>
      </c>
      <c r="X177" s="5">
        <v>45747</v>
      </c>
      <c r="Z177" s="3">
        <v>1066648</v>
      </c>
    </row>
    <row r="178" spans="1:26" hidden="1" x14ac:dyDescent="0.3">
      <c r="A178" s="28">
        <v>45754</v>
      </c>
      <c r="B178" t="s">
        <v>14</v>
      </c>
      <c r="C178" s="3">
        <v>7303</v>
      </c>
      <c r="D178" s="3">
        <v>869</v>
      </c>
      <c r="E178" s="3">
        <v>1073082</v>
      </c>
      <c r="F178" s="3">
        <f>Twitter!$C178-Twitter!$D178</f>
        <v>6434</v>
      </c>
      <c r="G178" s="30">
        <v>5.9958139266151197E-3</v>
      </c>
      <c r="H178">
        <v>8.1237966902808925</v>
      </c>
      <c r="I178" s="31">
        <v>27073</v>
      </c>
      <c r="K178" s="5">
        <v>45754</v>
      </c>
      <c r="L178" t="s">
        <v>14</v>
      </c>
      <c r="M178" s="3">
        <v>6434</v>
      </c>
      <c r="X178" s="5">
        <v>45754</v>
      </c>
      <c r="Z178" s="3">
        <v>1073082</v>
      </c>
    </row>
    <row r="179" spans="1:26" hidden="1" x14ac:dyDescent="0.3">
      <c r="A179" s="28">
        <v>45754</v>
      </c>
      <c r="B179" t="s">
        <v>19</v>
      </c>
      <c r="C179" s="3">
        <v>4983</v>
      </c>
      <c r="D179" s="3">
        <v>441</v>
      </c>
      <c r="E179" s="3">
        <v>1077624</v>
      </c>
      <c r="F179" s="3">
        <f>Twitter!$C179-Twitter!$D179</f>
        <v>4542</v>
      </c>
      <c r="G179" s="30">
        <v>4.2148281775461604E-3</v>
      </c>
      <c r="H179">
        <v>6.8954477628560609</v>
      </c>
      <c r="I179" s="31">
        <v>46768</v>
      </c>
      <c r="K179" s="5">
        <v>45754</v>
      </c>
      <c r="L179" t="s">
        <v>19</v>
      </c>
      <c r="M179" s="3">
        <v>4542</v>
      </c>
      <c r="X179" s="5">
        <v>45754</v>
      </c>
      <c r="Z179" s="3">
        <v>1077624</v>
      </c>
    </row>
    <row r="180" spans="1:26" x14ac:dyDescent="0.3">
      <c r="A180" s="28">
        <v>45754</v>
      </c>
      <c r="B180" t="s">
        <v>41</v>
      </c>
      <c r="C180" s="3">
        <v>9714</v>
      </c>
      <c r="D180" s="3">
        <v>1395</v>
      </c>
      <c r="E180" s="3">
        <v>1085943</v>
      </c>
      <c r="F180" s="3">
        <f>Twitter!$C180-Twitter!$D180</f>
        <v>8319</v>
      </c>
      <c r="G180" s="30">
        <v>7.6606230713766798E-3</v>
      </c>
      <c r="H180">
        <v>5.2243073531483697</v>
      </c>
      <c r="I180" s="31">
        <v>40682</v>
      </c>
      <c r="K180" s="5">
        <v>45754</v>
      </c>
      <c r="M180" s="3">
        <v>8319</v>
      </c>
      <c r="X180" s="5">
        <v>45754</v>
      </c>
      <c r="Z180" s="3">
        <v>1085943</v>
      </c>
    </row>
    <row r="181" spans="1:26" hidden="1" x14ac:dyDescent="0.3">
      <c r="A181" s="28">
        <v>45754</v>
      </c>
      <c r="B181" t="s">
        <v>23</v>
      </c>
      <c r="C181" s="3">
        <v>1521</v>
      </c>
      <c r="D181" s="3">
        <v>96</v>
      </c>
      <c r="E181" s="3">
        <v>1087368</v>
      </c>
      <c r="F181" s="3">
        <f>Twitter!$C181-Twitter!$D181</f>
        <v>1425</v>
      </c>
      <c r="G181" s="30">
        <v>1.31050389564526E-3</v>
      </c>
      <c r="H181">
        <v>12.709772588488899</v>
      </c>
      <c r="I181" s="31">
        <v>42262</v>
      </c>
      <c r="K181" s="5">
        <v>45754</v>
      </c>
      <c r="L181" t="s">
        <v>23</v>
      </c>
      <c r="M181" s="3">
        <v>1425</v>
      </c>
      <c r="X181" s="5">
        <v>45754</v>
      </c>
      <c r="Z181" s="3">
        <v>1087368</v>
      </c>
    </row>
    <row r="182" spans="1:26" hidden="1" x14ac:dyDescent="0.3">
      <c r="A182" s="28">
        <v>45761</v>
      </c>
      <c r="B182" t="s">
        <v>19</v>
      </c>
      <c r="C182" s="3">
        <v>8569</v>
      </c>
      <c r="D182" s="3">
        <v>720</v>
      </c>
      <c r="E182" s="3">
        <v>1095217</v>
      </c>
      <c r="F182" s="3">
        <f>Twitter!$C182-Twitter!$D182</f>
        <v>7849</v>
      </c>
      <c r="G182" s="30">
        <v>7.1666162961312703E-3</v>
      </c>
      <c r="H182">
        <v>9.589697749395782</v>
      </c>
      <c r="I182" s="31">
        <v>41358</v>
      </c>
      <c r="K182" s="5">
        <v>45761</v>
      </c>
      <c r="L182" t="s">
        <v>19</v>
      </c>
      <c r="M182" s="3">
        <v>7849</v>
      </c>
      <c r="X182" s="5">
        <v>45761</v>
      </c>
      <c r="Z182" s="3">
        <v>1095217</v>
      </c>
    </row>
    <row r="183" spans="1:26" hidden="1" x14ac:dyDescent="0.3">
      <c r="A183" s="28">
        <v>45761</v>
      </c>
      <c r="B183" t="s">
        <v>19</v>
      </c>
      <c r="C183" s="3">
        <v>6784</v>
      </c>
      <c r="D183" s="3">
        <v>416</v>
      </c>
      <c r="E183" s="3">
        <v>1101585</v>
      </c>
      <c r="F183" s="3">
        <f>Twitter!$C183-Twitter!$D183</f>
        <v>6368</v>
      </c>
      <c r="G183" s="30">
        <v>5.7807613574985097E-3</v>
      </c>
      <c r="H183">
        <v>9.3041390360253633</v>
      </c>
      <c r="I183" s="31">
        <v>24289</v>
      </c>
      <c r="K183" s="5">
        <v>45761</v>
      </c>
      <c r="L183" t="s">
        <v>19</v>
      </c>
      <c r="M183" s="3">
        <v>6368</v>
      </c>
      <c r="X183" s="5">
        <v>45761</v>
      </c>
      <c r="Z183" s="3">
        <v>1101585</v>
      </c>
    </row>
    <row r="184" spans="1:26" hidden="1" x14ac:dyDescent="0.3">
      <c r="A184" s="28">
        <v>45761</v>
      </c>
      <c r="B184" t="s">
        <v>19</v>
      </c>
      <c r="C184" s="3">
        <v>5583</v>
      </c>
      <c r="D184" s="3">
        <v>795</v>
      </c>
      <c r="E184" s="3">
        <v>1106373</v>
      </c>
      <c r="F184" s="3">
        <f>Twitter!$C184-Twitter!$D184</f>
        <v>4788</v>
      </c>
      <c r="G184" s="30">
        <v>4.3276544167292598E-3</v>
      </c>
      <c r="H184">
        <v>12.21550055903389</v>
      </c>
      <c r="I184" s="31">
        <v>59823</v>
      </c>
      <c r="K184" s="5">
        <v>45761</v>
      </c>
      <c r="L184" t="s">
        <v>19</v>
      </c>
      <c r="M184" s="3">
        <v>4788</v>
      </c>
      <c r="X184" s="5">
        <v>45761</v>
      </c>
      <c r="Z184" s="3">
        <v>1106373</v>
      </c>
    </row>
    <row r="185" spans="1:26" hidden="1" x14ac:dyDescent="0.3">
      <c r="A185" s="28">
        <v>45761</v>
      </c>
      <c r="B185" t="s">
        <v>19</v>
      </c>
      <c r="C185" s="3">
        <v>6946</v>
      </c>
      <c r="D185" s="3">
        <v>956</v>
      </c>
      <c r="E185" s="3">
        <v>1112363</v>
      </c>
      <c r="F185" s="3">
        <f>Twitter!$C185-Twitter!$D185</f>
        <v>5990</v>
      </c>
      <c r="G185" s="30">
        <v>5.3849327962185002E-3</v>
      </c>
      <c r="H185">
        <v>1.64146056637986</v>
      </c>
      <c r="I185" s="31">
        <v>17927</v>
      </c>
      <c r="K185" s="5">
        <v>45761</v>
      </c>
      <c r="L185" t="s">
        <v>19</v>
      </c>
      <c r="M185" s="3">
        <v>5990</v>
      </c>
      <c r="X185" s="5">
        <v>45761</v>
      </c>
      <c r="Z185" s="3">
        <v>1112363</v>
      </c>
    </row>
    <row r="186" spans="1:26" hidden="1" x14ac:dyDescent="0.3">
      <c r="A186" s="28">
        <v>45768</v>
      </c>
      <c r="B186" t="s">
        <v>23</v>
      </c>
      <c r="C186" s="3">
        <v>5941</v>
      </c>
      <c r="D186" s="3">
        <v>450</v>
      </c>
      <c r="E186" s="3">
        <v>1117854</v>
      </c>
      <c r="F186" s="3">
        <f>Twitter!$C186-Twitter!$D186</f>
        <v>5491</v>
      </c>
      <c r="G186" s="30">
        <v>4.9120904876665504E-3</v>
      </c>
      <c r="H186">
        <v>12.414411899944</v>
      </c>
      <c r="I186" s="31">
        <v>58330</v>
      </c>
      <c r="K186" s="5">
        <v>45768</v>
      </c>
      <c r="L186" t="s">
        <v>23</v>
      </c>
      <c r="M186" s="3">
        <v>5491</v>
      </c>
      <c r="X186" s="5">
        <v>45768</v>
      </c>
      <c r="Z186" s="3">
        <v>1117854</v>
      </c>
    </row>
    <row r="187" spans="1:26" hidden="1" x14ac:dyDescent="0.3">
      <c r="A187" s="28">
        <v>45768</v>
      </c>
      <c r="B187" t="s">
        <v>23</v>
      </c>
      <c r="C187" s="3">
        <v>7267</v>
      </c>
      <c r="D187" s="3">
        <v>842</v>
      </c>
      <c r="E187" s="3">
        <v>1124279</v>
      </c>
      <c r="F187" s="3">
        <f>Twitter!$C187-Twitter!$D187</f>
        <v>6425</v>
      </c>
      <c r="G187" s="30">
        <v>5.7147736460433796E-3</v>
      </c>
      <c r="H187">
        <v>2.2102165031989389</v>
      </c>
      <c r="I187" s="31">
        <v>11171</v>
      </c>
      <c r="K187" s="5">
        <v>45768</v>
      </c>
      <c r="L187" t="s">
        <v>23</v>
      </c>
      <c r="M187" s="3">
        <v>6425</v>
      </c>
      <c r="X187" s="5">
        <v>45768</v>
      </c>
      <c r="Z187" s="3">
        <v>1124279</v>
      </c>
    </row>
    <row r="188" spans="1:26" x14ac:dyDescent="0.3">
      <c r="A188" s="28">
        <v>45768</v>
      </c>
      <c r="B188" t="s">
        <v>41</v>
      </c>
      <c r="C188" s="3">
        <v>8128</v>
      </c>
      <c r="D188" s="3">
        <v>1070</v>
      </c>
      <c r="E188" s="3">
        <v>1131337</v>
      </c>
      <c r="F188" s="3">
        <f>Twitter!$C188-Twitter!$D188</f>
        <v>7058</v>
      </c>
      <c r="G188" s="30">
        <v>6.2386362330587603E-3</v>
      </c>
      <c r="H188">
        <v>8.1114645768679008</v>
      </c>
      <c r="I188" s="31">
        <v>21918</v>
      </c>
      <c r="K188" s="5">
        <v>45768</v>
      </c>
      <c r="M188" s="3">
        <v>7058</v>
      </c>
      <c r="X188" s="5">
        <v>45768</v>
      </c>
      <c r="Z188" s="3">
        <v>1131337</v>
      </c>
    </row>
    <row r="189" spans="1:26" hidden="1" x14ac:dyDescent="0.3">
      <c r="A189" s="28">
        <v>45768</v>
      </c>
      <c r="B189" t="s">
        <v>23</v>
      </c>
      <c r="C189" s="3">
        <v>3461</v>
      </c>
      <c r="D189" s="3">
        <v>365</v>
      </c>
      <c r="E189" s="3">
        <v>1134433</v>
      </c>
      <c r="F189" s="3">
        <f>Twitter!$C189-Twitter!$D189</f>
        <v>3096</v>
      </c>
      <c r="G189" s="30">
        <v>2.7291166600407401E-3</v>
      </c>
      <c r="H189">
        <v>10.23489267325616</v>
      </c>
      <c r="I189" s="31">
        <v>51903</v>
      </c>
      <c r="K189" s="5">
        <v>45768</v>
      </c>
      <c r="L189" t="s">
        <v>23</v>
      </c>
      <c r="M189" s="3">
        <v>3096</v>
      </c>
      <c r="X189" s="5">
        <v>45768</v>
      </c>
      <c r="Z189" s="3">
        <v>1134433</v>
      </c>
    </row>
    <row r="190" spans="1:26" hidden="1" x14ac:dyDescent="0.3">
      <c r="A190" s="28">
        <v>45775</v>
      </c>
      <c r="B190" t="s">
        <v>19</v>
      </c>
      <c r="C190" s="3">
        <v>1685</v>
      </c>
      <c r="D190" s="3">
        <v>173</v>
      </c>
      <c r="E190" s="3">
        <v>1135945</v>
      </c>
      <c r="F190" s="3">
        <f>Twitter!$C190-Twitter!$D190</f>
        <v>1512</v>
      </c>
      <c r="G190" s="30">
        <v>1.33105035895224E-3</v>
      </c>
      <c r="H190">
        <v>8.7776256772995165</v>
      </c>
      <c r="I190" s="31">
        <v>49110</v>
      </c>
      <c r="K190" s="5">
        <v>45775</v>
      </c>
      <c r="L190" t="s">
        <v>19</v>
      </c>
      <c r="M190" s="3">
        <v>1512</v>
      </c>
      <c r="X190" s="5">
        <v>45775</v>
      </c>
      <c r="Z190" s="3">
        <v>1135945</v>
      </c>
    </row>
    <row r="191" spans="1:26" x14ac:dyDescent="0.3">
      <c r="A191" s="28">
        <v>45775</v>
      </c>
      <c r="B191" t="s">
        <v>41</v>
      </c>
      <c r="C191" s="3">
        <v>3160</v>
      </c>
      <c r="D191" s="3">
        <v>234</v>
      </c>
      <c r="E191" s="3">
        <v>1138871</v>
      </c>
      <c r="F191" s="3">
        <f>Twitter!$C191-Twitter!$D191</f>
        <v>2926</v>
      </c>
      <c r="G191" s="30">
        <v>2.5692110871204901E-3</v>
      </c>
      <c r="H191">
        <v>5.6959041015180816</v>
      </c>
      <c r="I191" s="31">
        <v>21929</v>
      </c>
      <c r="K191" s="5">
        <v>45775</v>
      </c>
      <c r="M191" s="3">
        <v>2926</v>
      </c>
      <c r="X191" s="5">
        <v>45775</v>
      </c>
      <c r="Z191" s="3">
        <v>1138871</v>
      </c>
    </row>
    <row r="192" spans="1:26" x14ac:dyDescent="0.3">
      <c r="A192" s="28">
        <v>45775</v>
      </c>
      <c r="B192" t="s">
        <v>41</v>
      </c>
      <c r="C192" s="3">
        <v>8031</v>
      </c>
      <c r="D192" s="3">
        <v>476</v>
      </c>
      <c r="E192" s="3">
        <v>1146426</v>
      </c>
      <c r="F192" s="3">
        <f>Twitter!$C192-Twitter!$D192</f>
        <v>7555</v>
      </c>
      <c r="G192" s="30">
        <v>6.5900459340594202E-3</v>
      </c>
      <c r="H192">
        <v>11.940413075069831</v>
      </c>
      <c r="I192" s="31">
        <v>12539</v>
      </c>
      <c r="K192" s="5">
        <v>45775</v>
      </c>
      <c r="M192" s="3">
        <v>7555</v>
      </c>
      <c r="X192" s="5">
        <v>45775</v>
      </c>
      <c r="Z192" s="3">
        <v>1146426</v>
      </c>
    </row>
    <row r="193" spans="1:26" x14ac:dyDescent="0.3">
      <c r="A193" s="28">
        <v>45775</v>
      </c>
      <c r="B193" t="s">
        <v>41</v>
      </c>
      <c r="C193" s="3">
        <v>6341</v>
      </c>
      <c r="D193" s="3">
        <v>885</v>
      </c>
      <c r="E193" s="3">
        <v>1151882</v>
      </c>
      <c r="F193" s="3">
        <f>Twitter!$C193-Twitter!$D193</f>
        <v>5456</v>
      </c>
      <c r="G193" s="30">
        <v>4.7365962832998498E-3</v>
      </c>
      <c r="H193">
        <v>6.3457020771224837</v>
      </c>
      <c r="I193" s="31">
        <v>46727</v>
      </c>
      <c r="K193" s="5">
        <v>45775</v>
      </c>
      <c r="M193" s="3">
        <v>5456</v>
      </c>
      <c r="X193" s="5">
        <v>45775</v>
      </c>
      <c r="Z193" s="3">
        <v>1151882</v>
      </c>
    </row>
    <row r="194" spans="1:26" hidden="1" x14ac:dyDescent="0.3">
      <c r="A194" s="28">
        <v>45782</v>
      </c>
      <c r="B194" t="s">
        <v>19</v>
      </c>
      <c r="C194" s="3">
        <v>1038</v>
      </c>
      <c r="D194" s="3">
        <v>145</v>
      </c>
      <c r="E194" s="3">
        <v>1152775</v>
      </c>
      <c r="F194" s="3">
        <f>Twitter!$C194-Twitter!$D194</f>
        <v>893</v>
      </c>
      <c r="G194" s="30">
        <v>7.7465246904209403E-4</v>
      </c>
      <c r="H194">
        <v>11.093752033137431</v>
      </c>
      <c r="I194" s="31">
        <v>55951</v>
      </c>
      <c r="K194" s="5">
        <v>45782</v>
      </c>
      <c r="L194" t="s">
        <v>19</v>
      </c>
      <c r="M194" s="3">
        <v>893</v>
      </c>
      <c r="X194" s="5">
        <v>45782</v>
      </c>
      <c r="Z194" s="3">
        <v>1152775</v>
      </c>
    </row>
    <row r="195" spans="1:26" hidden="1" x14ac:dyDescent="0.3">
      <c r="A195" s="28">
        <v>45782</v>
      </c>
      <c r="B195" t="s">
        <v>14</v>
      </c>
      <c r="C195" s="3">
        <v>5875</v>
      </c>
      <c r="D195" s="3">
        <v>665</v>
      </c>
      <c r="E195" s="3">
        <v>1157985</v>
      </c>
      <c r="F195" s="3">
        <f>Twitter!$C195-Twitter!$D195</f>
        <v>5210</v>
      </c>
      <c r="G195" s="30">
        <v>4.4991947218659999E-3</v>
      </c>
      <c r="H195">
        <v>6.9871371390821126</v>
      </c>
      <c r="I195" s="31">
        <v>32669</v>
      </c>
      <c r="K195" s="5">
        <v>45782</v>
      </c>
      <c r="L195" t="s">
        <v>14</v>
      </c>
      <c r="M195" s="3">
        <v>5210</v>
      </c>
      <c r="X195" s="5">
        <v>45782</v>
      </c>
      <c r="Z195" s="3">
        <v>1157985</v>
      </c>
    </row>
    <row r="196" spans="1:26" hidden="1" x14ac:dyDescent="0.3">
      <c r="A196" s="28">
        <v>45782</v>
      </c>
      <c r="B196" t="s">
        <v>19</v>
      </c>
      <c r="C196" s="3">
        <v>2256</v>
      </c>
      <c r="D196" s="3">
        <v>189</v>
      </c>
      <c r="E196" s="3">
        <v>1160052</v>
      </c>
      <c r="F196" s="3">
        <f>Twitter!$C196-Twitter!$D196</f>
        <v>2067</v>
      </c>
      <c r="G196" s="30">
        <v>1.7818166771834401E-3</v>
      </c>
      <c r="H196">
        <v>2.8935771844710412</v>
      </c>
      <c r="I196" s="31">
        <v>15432</v>
      </c>
      <c r="K196" s="5">
        <v>45782</v>
      </c>
      <c r="L196" t="s">
        <v>19</v>
      </c>
      <c r="M196" s="3">
        <v>2067</v>
      </c>
      <c r="X196" s="5">
        <v>45782</v>
      </c>
      <c r="Z196" s="3">
        <v>1160052</v>
      </c>
    </row>
    <row r="197" spans="1:26" hidden="1" x14ac:dyDescent="0.3">
      <c r="A197" s="28">
        <v>45782</v>
      </c>
      <c r="B197" t="s">
        <v>23</v>
      </c>
      <c r="C197" s="3">
        <v>8697</v>
      </c>
      <c r="D197" s="3">
        <v>738</v>
      </c>
      <c r="E197" s="3">
        <v>1168011</v>
      </c>
      <c r="F197" s="3">
        <f>Twitter!$C197-Twitter!$D197</f>
        <v>7959</v>
      </c>
      <c r="G197" s="30">
        <v>6.8141481544266302E-3</v>
      </c>
      <c r="H197">
        <v>3.8777032065622672</v>
      </c>
      <c r="I197" s="31">
        <v>30644</v>
      </c>
      <c r="K197" s="5">
        <v>45782</v>
      </c>
      <c r="L197" t="s">
        <v>23</v>
      </c>
      <c r="M197" s="3">
        <v>7959</v>
      </c>
      <c r="X197" s="5">
        <v>45782</v>
      </c>
      <c r="Z197" s="3">
        <v>1168011</v>
      </c>
    </row>
    <row r="198" spans="1:26" hidden="1" x14ac:dyDescent="0.3">
      <c r="A198" s="28">
        <v>45789</v>
      </c>
      <c r="B198" t="s">
        <v>23</v>
      </c>
      <c r="C198" s="3">
        <v>3196</v>
      </c>
      <c r="D198" s="3">
        <v>391</v>
      </c>
      <c r="E198" s="3">
        <v>1170816</v>
      </c>
      <c r="F198" s="3">
        <f>Twitter!$C198-Twitter!$D198</f>
        <v>2805</v>
      </c>
      <c r="G198" s="30">
        <v>2.39576500491965E-3</v>
      </c>
      <c r="H198">
        <v>7.2439221876024931</v>
      </c>
      <c r="I198" s="31">
        <v>28745</v>
      </c>
      <c r="K198" s="5">
        <v>45789</v>
      </c>
      <c r="L198" t="s">
        <v>23</v>
      </c>
      <c r="M198" s="3">
        <v>2805</v>
      </c>
      <c r="X198" s="5">
        <v>45789</v>
      </c>
      <c r="Z198" s="3">
        <v>1170816</v>
      </c>
    </row>
    <row r="199" spans="1:26" hidden="1" x14ac:dyDescent="0.3">
      <c r="A199" s="28">
        <v>45789</v>
      </c>
      <c r="B199" t="s">
        <v>19</v>
      </c>
      <c r="C199" s="3">
        <v>8165</v>
      </c>
      <c r="D199" s="3">
        <v>1140</v>
      </c>
      <c r="E199" s="3">
        <v>1177841</v>
      </c>
      <c r="F199" s="3">
        <f>Twitter!$C199-Twitter!$D199</f>
        <v>7025</v>
      </c>
      <c r="G199" s="30">
        <v>5.9643024822535499E-3</v>
      </c>
      <c r="H199">
        <v>9.095964565675672</v>
      </c>
      <c r="I199" s="31">
        <v>38228</v>
      </c>
      <c r="K199" s="5">
        <v>45789</v>
      </c>
      <c r="L199" t="s">
        <v>19</v>
      </c>
      <c r="M199" s="3">
        <v>7025</v>
      </c>
      <c r="X199" s="5">
        <v>45789</v>
      </c>
      <c r="Z199" s="3">
        <v>1177841</v>
      </c>
    </row>
    <row r="200" spans="1:26" hidden="1" x14ac:dyDescent="0.3">
      <c r="A200" s="28">
        <v>45789</v>
      </c>
      <c r="B200" t="s">
        <v>19</v>
      </c>
      <c r="C200" s="3">
        <v>1301</v>
      </c>
      <c r="D200" s="3">
        <v>180</v>
      </c>
      <c r="E200" s="3">
        <v>1178962</v>
      </c>
      <c r="F200" s="3">
        <f>Twitter!$C200-Twitter!$D200</f>
        <v>1121</v>
      </c>
      <c r="G200" s="30">
        <v>9.5083641372665096E-4</v>
      </c>
      <c r="H200">
        <v>5.2275645864752214</v>
      </c>
      <c r="I200" s="31">
        <v>44521</v>
      </c>
      <c r="K200" s="5">
        <v>45789</v>
      </c>
      <c r="L200" t="s">
        <v>19</v>
      </c>
      <c r="M200" s="3">
        <v>1121</v>
      </c>
      <c r="X200" s="5">
        <v>45789</v>
      </c>
      <c r="Z200" s="3">
        <v>1178962</v>
      </c>
    </row>
    <row r="201" spans="1:26" x14ac:dyDescent="0.3">
      <c r="A201" s="29">
        <v>45789</v>
      </c>
      <c r="B201" s="27" t="s">
        <v>41</v>
      </c>
      <c r="C201" s="32">
        <v>8527</v>
      </c>
      <c r="D201" s="32">
        <v>1091</v>
      </c>
      <c r="E201" s="32">
        <v>1186398</v>
      </c>
      <c r="F201" s="32">
        <f>Twitter!$C201-Twitter!$D201</f>
        <v>7436</v>
      </c>
      <c r="G201" s="33">
        <v>6.2677111728104704E-3</v>
      </c>
      <c r="H201" s="27">
        <v>1.676081719625286</v>
      </c>
      <c r="I201" s="34">
        <v>41703</v>
      </c>
      <c r="K201" s="5">
        <v>45789</v>
      </c>
      <c r="M201" s="3">
        <v>7436</v>
      </c>
      <c r="X201" s="5">
        <v>45789</v>
      </c>
      <c r="Z201" s="3">
        <v>1186398</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21B2-AC6D-4B1B-B819-511A780DC9A2}">
  <dimension ref="A1:Z201"/>
  <sheetViews>
    <sheetView topLeftCell="K1" workbookViewId="0">
      <selection activeCell="AJ79" sqref="AJ79"/>
    </sheetView>
  </sheetViews>
  <sheetFormatPr defaultRowHeight="14.4" x14ac:dyDescent="0.3"/>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88671875" bestFit="1" customWidth="1"/>
    <col min="7" max="7" width="21" bestFit="1" customWidth="1"/>
    <col min="8" max="8" width="18" bestFit="1" customWidth="1"/>
    <col min="9" max="9" width="11.5546875" bestFit="1" customWidth="1"/>
    <col min="11" max="11" width="17.5546875" bestFit="1" customWidth="1"/>
    <col min="12" max="12" width="10.44140625" bestFit="1" customWidth="1"/>
    <col min="13" max="13" width="18.88671875" bestFit="1" customWidth="1"/>
    <col min="24" max="24" width="17.5546875" bestFit="1" customWidth="1"/>
    <col min="25" max="25" width="10.44140625" bestFit="1" customWidth="1"/>
    <col min="26" max="26" width="16.21875" bestFit="1" customWidth="1"/>
  </cols>
  <sheetData>
    <row r="1" spans="1:26" x14ac:dyDescent="0.3">
      <c r="A1" s="26" t="s">
        <v>338</v>
      </c>
      <c r="B1" s="24" t="s">
        <v>1</v>
      </c>
      <c r="C1" s="24" t="s">
        <v>339</v>
      </c>
      <c r="D1" s="24" t="s">
        <v>340</v>
      </c>
      <c r="E1" s="24" t="s">
        <v>341</v>
      </c>
      <c r="F1" s="24" t="s">
        <v>379</v>
      </c>
      <c r="G1" s="24" t="s">
        <v>342</v>
      </c>
      <c r="H1" s="24" t="s">
        <v>343</v>
      </c>
      <c r="I1" s="25" t="s">
        <v>344</v>
      </c>
      <c r="K1" s="35" t="s">
        <v>338</v>
      </c>
      <c r="L1" s="35" t="s">
        <v>386</v>
      </c>
      <c r="M1" s="35" t="s">
        <v>379</v>
      </c>
      <c r="X1" s="35" t="s">
        <v>338</v>
      </c>
      <c r="Y1" s="35" t="s">
        <v>386</v>
      </c>
      <c r="Z1" s="35" t="s">
        <v>341</v>
      </c>
    </row>
    <row r="2" spans="1:26" hidden="1" x14ac:dyDescent="0.3">
      <c r="A2" s="28">
        <v>45446</v>
      </c>
      <c r="B2" t="s">
        <v>23</v>
      </c>
      <c r="C2" s="3">
        <v>4138</v>
      </c>
      <c r="D2" s="3">
        <v>361</v>
      </c>
      <c r="E2" s="3">
        <v>103777</v>
      </c>
      <c r="F2" s="3">
        <f>YouTube!$C2-YouTube!$D2</f>
        <v>3777</v>
      </c>
      <c r="G2" s="30">
        <v>3.6395347716738802E-2</v>
      </c>
      <c r="H2">
        <v>56.637790647253247</v>
      </c>
      <c r="I2" s="31">
        <v>23944</v>
      </c>
      <c r="K2" s="5">
        <v>45446</v>
      </c>
      <c r="L2" t="s">
        <v>23</v>
      </c>
      <c r="M2" s="3">
        <v>3777</v>
      </c>
      <c r="X2" s="5">
        <v>45446</v>
      </c>
      <c r="Z2" s="3">
        <v>103777</v>
      </c>
    </row>
    <row r="3" spans="1:26" hidden="1" x14ac:dyDescent="0.3">
      <c r="A3" s="28">
        <v>45446</v>
      </c>
      <c r="B3" t="s">
        <v>41</v>
      </c>
      <c r="C3" s="3">
        <v>8693</v>
      </c>
      <c r="D3" s="3">
        <v>1261</v>
      </c>
      <c r="E3" s="3">
        <v>111209</v>
      </c>
      <c r="F3" s="3">
        <f>YouTube!$C3-YouTube!$D3</f>
        <v>7432</v>
      </c>
      <c r="G3" s="30">
        <v>6.6829123542159405E-2</v>
      </c>
      <c r="H3">
        <v>69.475492091467416</v>
      </c>
      <c r="I3" s="31">
        <v>29873</v>
      </c>
      <c r="K3" s="5">
        <v>45446</v>
      </c>
      <c r="L3" t="s">
        <v>41</v>
      </c>
      <c r="M3" s="3">
        <v>7432</v>
      </c>
      <c r="X3" s="5">
        <v>45446</v>
      </c>
      <c r="Z3" s="3">
        <v>111209</v>
      </c>
    </row>
    <row r="4" spans="1:26" x14ac:dyDescent="0.3">
      <c r="A4" s="28">
        <v>45446</v>
      </c>
      <c r="B4" t="s">
        <v>14</v>
      </c>
      <c r="C4" s="3">
        <v>9264</v>
      </c>
      <c r="D4" s="3">
        <v>1141</v>
      </c>
      <c r="E4" s="3">
        <v>119332</v>
      </c>
      <c r="F4" s="3">
        <f>YouTube!$C4-YouTube!$D4</f>
        <v>8123</v>
      </c>
      <c r="G4" s="30">
        <v>6.8070592967519203E-2</v>
      </c>
      <c r="H4">
        <v>92.312204605638044</v>
      </c>
      <c r="I4" s="31">
        <v>50372</v>
      </c>
      <c r="K4" s="5">
        <v>45446</v>
      </c>
      <c r="M4" s="3">
        <v>8123</v>
      </c>
      <c r="X4" s="5">
        <v>45446</v>
      </c>
      <c r="Z4" s="3">
        <v>119332</v>
      </c>
    </row>
    <row r="5" spans="1:26" x14ac:dyDescent="0.3">
      <c r="A5" s="28">
        <v>45446</v>
      </c>
      <c r="B5" t="s">
        <v>14</v>
      </c>
      <c r="C5" s="3">
        <v>8842</v>
      </c>
      <c r="D5" s="3">
        <v>971</v>
      </c>
      <c r="E5" s="3">
        <v>127203</v>
      </c>
      <c r="F5" s="3">
        <f>YouTube!$C5-YouTube!$D5</f>
        <v>7871</v>
      </c>
      <c r="G5" s="30">
        <v>6.1877471443283601E-2</v>
      </c>
      <c r="H5">
        <v>16.351815601833291</v>
      </c>
      <c r="I5" s="31">
        <v>33928</v>
      </c>
      <c r="K5" s="5">
        <v>45446</v>
      </c>
      <c r="M5" s="3">
        <v>7871</v>
      </c>
      <c r="X5" s="5">
        <v>45446</v>
      </c>
      <c r="Z5" s="3">
        <v>127203</v>
      </c>
    </row>
    <row r="6" spans="1:26" hidden="1" x14ac:dyDescent="0.3">
      <c r="A6" s="28">
        <v>45453</v>
      </c>
      <c r="B6" t="s">
        <v>23</v>
      </c>
      <c r="C6" s="3">
        <v>7721</v>
      </c>
      <c r="D6" s="3">
        <v>506</v>
      </c>
      <c r="E6" s="3">
        <v>134418</v>
      </c>
      <c r="F6" s="3">
        <f>YouTube!$C6-YouTube!$D6</f>
        <v>7215</v>
      </c>
      <c r="G6" s="30">
        <v>5.3675846984778799E-2</v>
      </c>
      <c r="H6">
        <v>35.577824398518047</v>
      </c>
      <c r="I6" s="31">
        <v>25379</v>
      </c>
      <c r="K6" s="5">
        <v>45453</v>
      </c>
      <c r="L6" t="s">
        <v>23</v>
      </c>
      <c r="M6" s="3">
        <v>7215</v>
      </c>
      <c r="X6" s="5">
        <v>45453</v>
      </c>
      <c r="Z6" s="3">
        <v>134418</v>
      </c>
    </row>
    <row r="7" spans="1:26" x14ac:dyDescent="0.3">
      <c r="A7" s="28">
        <v>45453</v>
      </c>
      <c r="B7" t="s">
        <v>14</v>
      </c>
      <c r="C7" s="3">
        <v>8002</v>
      </c>
      <c r="D7" s="3">
        <v>524</v>
      </c>
      <c r="E7" s="3">
        <v>141896</v>
      </c>
      <c r="F7" s="3">
        <f>YouTube!$C7-YouTube!$D7</f>
        <v>7478</v>
      </c>
      <c r="G7" s="30">
        <v>5.2700569431132702E-2</v>
      </c>
      <c r="H7">
        <v>52.064892597395271</v>
      </c>
      <c r="I7" s="31">
        <v>46751</v>
      </c>
      <c r="K7" s="5">
        <v>45453</v>
      </c>
      <c r="M7" s="3">
        <v>7478</v>
      </c>
      <c r="X7" s="5">
        <v>45453</v>
      </c>
      <c r="Z7" s="3">
        <v>141896</v>
      </c>
    </row>
    <row r="8" spans="1:26" hidden="1" x14ac:dyDescent="0.3">
      <c r="A8" s="28">
        <v>45453</v>
      </c>
      <c r="B8" t="s">
        <v>41</v>
      </c>
      <c r="C8" s="3">
        <v>5225</v>
      </c>
      <c r="D8" s="3">
        <v>291</v>
      </c>
      <c r="E8" s="3">
        <v>146830</v>
      </c>
      <c r="F8" s="3">
        <f>YouTube!$C8-YouTube!$D8</f>
        <v>4934</v>
      </c>
      <c r="G8" s="30">
        <v>3.3603487025812201E-2</v>
      </c>
      <c r="H8">
        <v>19.551862698358651</v>
      </c>
      <c r="I8" s="31">
        <v>44546</v>
      </c>
      <c r="K8" s="5">
        <v>45453</v>
      </c>
      <c r="L8" t="s">
        <v>41</v>
      </c>
      <c r="M8" s="3">
        <v>4934</v>
      </c>
      <c r="X8" s="5">
        <v>45453</v>
      </c>
      <c r="Z8" s="3">
        <v>146830</v>
      </c>
    </row>
    <row r="9" spans="1:26" hidden="1" x14ac:dyDescent="0.3">
      <c r="A9" s="28">
        <v>45453</v>
      </c>
      <c r="B9" t="s">
        <v>41</v>
      </c>
      <c r="C9" s="3">
        <v>3978</v>
      </c>
      <c r="D9" s="3">
        <v>543</v>
      </c>
      <c r="E9" s="3">
        <v>150265</v>
      </c>
      <c r="F9" s="3">
        <f>YouTube!$C9-YouTube!$D9</f>
        <v>3435</v>
      </c>
      <c r="G9" s="30">
        <v>2.2859614680730701E-2</v>
      </c>
      <c r="H9">
        <v>49.159817655475329</v>
      </c>
      <c r="I9" s="31">
        <v>34286</v>
      </c>
      <c r="K9" s="5">
        <v>45453</v>
      </c>
      <c r="L9" t="s">
        <v>41</v>
      </c>
      <c r="M9" s="3">
        <v>3435</v>
      </c>
      <c r="X9" s="5">
        <v>45453</v>
      </c>
      <c r="Z9" s="3">
        <v>150265</v>
      </c>
    </row>
    <row r="10" spans="1:26" hidden="1" x14ac:dyDescent="0.3">
      <c r="A10" s="28">
        <v>45460</v>
      </c>
      <c r="B10" t="s">
        <v>23</v>
      </c>
      <c r="C10" s="3">
        <v>8373</v>
      </c>
      <c r="D10" s="3">
        <v>921</v>
      </c>
      <c r="E10" s="3">
        <v>157717</v>
      </c>
      <c r="F10" s="3">
        <f>YouTube!$C10-YouTube!$D10</f>
        <v>7452</v>
      </c>
      <c r="G10" s="30">
        <v>4.7249186834646899E-2</v>
      </c>
      <c r="H10">
        <v>12.2263294381709</v>
      </c>
      <c r="I10" s="31">
        <v>15110</v>
      </c>
      <c r="K10" s="5">
        <v>45460</v>
      </c>
      <c r="L10" t="s">
        <v>23</v>
      </c>
      <c r="M10" s="3">
        <v>7452</v>
      </c>
      <c r="X10" s="5">
        <v>45460</v>
      </c>
      <c r="Z10" s="3">
        <v>157717</v>
      </c>
    </row>
    <row r="11" spans="1:26" hidden="1" x14ac:dyDescent="0.3">
      <c r="A11" s="28">
        <v>45460</v>
      </c>
      <c r="B11" t="s">
        <v>41</v>
      </c>
      <c r="C11" s="3">
        <v>6907</v>
      </c>
      <c r="D11" s="3">
        <v>834</v>
      </c>
      <c r="E11" s="3">
        <v>163790</v>
      </c>
      <c r="F11" s="3">
        <f>YouTube!$C11-YouTube!$D11</f>
        <v>6073</v>
      </c>
      <c r="G11" s="30">
        <v>3.70779656877709E-2</v>
      </c>
      <c r="H11">
        <v>54.158984064961238</v>
      </c>
      <c r="I11" s="31">
        <v>22087</v>
      </c>
      <c r="K11" s="5">
        <v>45460</v>
      </c>
      <c r="L11" t="s">
        <v>41</v>
      </c>
      <c r="M11" s="3">
        <v>6073</v>
      </c>
      <c r="X11" s="5">
        <v>45460</v>
      </c>
      <c r="Z11" s="3">
        <v>163790</v>
      </c>
    </row>
    <row r="12" spans="1:26" hidden="1" x14ac:dyDescent="0.3">
      <c r="A12" s="28">
        <v>45460</v>
      </c>
      <c r="B12" t="s">
        <v>19</v>
      </c>
      <c r="C12" s="3">
        <v>7097</v>
      </c>
      <c r="D12" s="3">
        <v>369</v>
      </c>
      <c r="E12" s="3">
        <v>170518</v>
      </c>
      <c r="F12" s="3">
        <f>YouTube!$C12-YouTube!$D12</f>
        <v>6728</v>
      </c>
      <c r="G12" s="30">
        <v>3.9456245088495101E-2</v>
      </c>
      <c r="H12">
        <v>9.2506362964613711</v>
      </c>
      <c r="I12" s="31">
        <v>33762</v>
      </c>
      <c r="K12" s="5">
        <v>45460</v>
      </c>
      <c r="L12" t="s">
        <v>19</v>
      </c>
      <c r="M12" s="3">
        <v>6728</v>
      </c>
      <c r="X12" s="5">
        <v>45460</v>
      </c>
      <c r="Z12" s="3">
        <v>170518</v>
      </c>
    </row>
    <row r="13" spans="1:26" hidden="1" x14ac:dyDescent="0.3">
      <c r="A13" s="28">
        <v>45460</v>
      </c>
      <c r="B13" t="s">
        <v>23</v>
      </c>
      <c r="C13" s="3">
        <v>6656</v>
      </c>
      <c r="D13" s="3">
        <v>978</v>
      </c>
      <c r="E13" s="3">
        <v>176196</v>
      </c>
      <c r="F13" s="3">
        <f>YouTube!$C13-YouTube!$D13</f>
        <v>5678</v>
      </c>
      <c r="G13" s="30">
        <v>3.2225476174260498E-2</v>
      </c>
      <c r="H13">
        <v>60.425889350496043</v>
      </c>
      <c r="I13" s="31">
        <v>27081</v>
      </c>
      <c r="K13" s="5">
        <v>45460</v>
      </c>
      <c r="L13" t="s">
        <v>23</v>
      </c>
      <c r="M13" s="3">
        <v>5678</v>
      </c>
      <c r="X13" s="5">
        <v>45460</v>
      </c>
      <c r="Z13" s="3">
        <v>176196</v>
      </c>
    </row>
    <row r="14" spans="1:26" hidden="1" x14ac:dyDescent="0.3">
      <c r="A14" s="28">
        <v>45467</v>
      </c>
      <c r="B14" t="s">
        <v>41</v>
      </c>
      <c r="C14" s="3">
        <v>9984</v>
      </c>
      <c r="D14" s="3">
        <v>1330</v>
      </c>
      <c r="E14" s="3">
        <v>184850</v>
      </c>
      <c r="F14" s="3">
        <f>YouTube!$C14-YouTube!$D14</f>
        <v>8654</v>
      </c>
      <c r="G14" s="30">
        <v>4.6816337571003501E-2</v>
      </c>
      <c r="H14">
        <v>57.524479307546663</v>
      </c>
      <c r="I14" s="31">
        <v>44947</v>
      </c>
      <c r="K14" s="5">
        <v>45467</v>
      </c>
      <c r="L14" t="s">
        <v>41</v>
      </c>
      <c r="M14" s="3">
        <v>8654</v>
      </c>
      <c r="X14" s="5">
        <v>45467</v>
      </c>
      <c r="Z14" s="3">
        <v>184850</v>
      </c>
    </row>
    <row r="15" spans="1:26" hidden="1" x14ac:dyDescent="0.3">
      <c r="A15" s="28">
        <v>45467</v>
      </c>
      <c r="B15" t="s">
        <v>23</v>
      </c>
      <c r="C15" s="3">
        <v>5259</v>
      </c>
      <c r="D15" s="3">
        <v>374</v>
      </c>
      <c r="E15" s="3">
        <v>189735</v>
      </c>
      <c r="F15" s="3">
        <f>YouTube!$C15-YouTube!$D15</f>
        <v>4885</v>
      </c>
      <c r="G15" s="30">
        <v>2.5746435818378301E-2</v>
      </c>
      <c r="H15">
        <v>14.827522597306769</v>
      </c>
      <c r="I15" s="31">
        <v>19596</v>
      </c>
      <c r="K15" s="5">
        <v>45467</v>
      </c>
      <c r="L15" t="s">
        <v>23</v>
      </c>
      <c r="M15" s="3">
        <v>4885</v>
      </c>
      <c r="X15" s="5">
        <v>45467</v>
      </c>
      <c r="Z15" s="3">
        <v>189735</v>
      </c>
    </row>
    <row r="16" spans="1:26" x14ac:dyDescent="0.3">
      <c r="A16" s="28">
        <v>45467</v>
      </c>
      <c r="B16" t="s">
        <v>14</v>
      </c>
      <c r="C16" s="3">
        <v>9286</v>
      </c>
      <c r="D16" s="3">
        <v>633</v>
      </c>
      <c r="E16" s="3">
        <v>198388</v>
      </c>
      <c r="F16" s="3">
        <f>YouTube!$C16-YouTube!$D16</f>
        <v>8653</v>
      </c>
      <c r="G16" s="30">
        <v>4.3616549388067798E-2</v>
      </c>
      <c r="H16">
        <v>5.4343004617214756</v>
      </c>
      <c r="I16" s="31">
        <v>48019</v>
      </c>
      <c r="K16" s="5">
        <v>45467</v>
      </c>
      <c r="M16" s="3">
        <v>8653</v>
      </c>
      <c r="X16" s="5">
        <v>45467</v>
      </c>
      <c r="Z16" s="3">
        <v>198388</v>
      </c>
    </row>
    <row r="17" spans="1:26" hidden="1" x14ac:dyDescent="0.3">
      <c r="A17" s="28">
        <v>45467</v>
      </c>
      <c r="B17" t="s">
        <v>41</v>
      </c>
      <c r="C17" s="3">
        <v>6901</v>
      </c>
      <c r="D17" s="3">
        <v>471</v>
      </c>
      <c r="E17" s="3">
        <v>204818</v>
      </c>
      <c r="F17" s="3">
        <f>YouTube!$C17-YouTube!$D17</f>
        <v>6430</v>
      </c>
      <c r="G17" s="30">
        <v>3.1393725160874499E-2</v>
      </c>
      <c r="H17">
        <v>60.827661631301943</v>
      </c>
      <c r="I17" s="31">
        <v>52003</v>
      </c>
      <c r="K17" s="5">
        <v>45467</v>
      </c>
      <c r="L17" t="s">
        <v>41</v>
      </c>
      <c r="M17" s="3">
        <v>6430</v>
      </c>
      <c r="X17" s="5">
        <v>45467</v>
      </c>
      <c r="Z17" s="3">
        <v>204818</v>
      </c>
    </row>
    <row r="18" spans="1:26" hidden="1" x14ac:dyDescent="0.3">
      <c r="A18" s="28">
        <v>45474</v>
      </c>
      <c r="B18" t="s">
        <v>19</v>
      </c>
      <c r="C18" s="3">
        <v>5917</v>
      </c>
      <c r="D18" s="3">
        <v>475</v>
      </c>
      <c r="E18" s="3">
        <v>210260</v>
      </c>
      <c r="F18" s="3">
        <f>YouTube!$C18-YouTube!$D18</f>
        <v>5442</v>
      </c>
      <c r="G18" s="30">
        <v>2.5882241034909201E-2</v>
      </c>
      <c r="H18">
        <v>17.894035955483691</v>
      </c>
      <c r="I18" s="31">
        <v>28313</v>
      </c>
      <c r="K18" s="5">
        <v>45474</v>
      </c>
      <c r="L18" t="s">
        <v>19</v>
      </c>
      <c r="M18" s="3">
        <v>5442</v>
      </c>
      <c r="X18" s="5">
        <v>45474</v>
      </c>
      <c r="Z18" s="3">
        <v>210260</v>
      </c>
    </row>
    <row r="19" spans="1:26" hidden="1" x14ac:dyDescent="0.3">
      <c r="A19" s="28">
        <v>45474</v>
      </c>
      <c r="B19" t="s">
        <v>41</v>
      </c>
      <c r="C19" s="3">
        <v>9429</v>
      </c>
      <c r="D19" s="3">
        <v>966</v>
      </c>
      <c r="E19" s="3">
        <v>218723</v>
      </c>
      <c r="F19" s="3">
        <f>YouTube!$C19-YouTube!$D19</f>
        <v>8463</v>
      </c>
      <c r="G19" s="30">
        <v>3.8692775794040901E-2</v>
      </c>
      <c r="H19">
        <v>7.6914636320825887</v>
      </c>
      <c r="I19" s="31">
        <v>57639</v>
      </c>
      <c r="K19" s="5">
        <v>45474</v>
      </c>
      <c r="L19" t="s">
        <v>41</v>
      </c>
      <c r="M19" s="3">
        <v>8463</v>
      </c>
      <c r="X19" s="5">
        <v>45474</v>
      </c>
      <c r="Z19" s="3">
        <v>218723</v>
      </c>
    </row>
    <row r="20" spans="1:26" hidden="1" x14ac:dyDescent="0.3">
      <c r="A20" s="28">
        <v>45474</v>
      </c>
      <c r="B20" t="s">
        <v>23</v>
      </c>
      <c r="C20" s="3">
        <v>3530</v>
      </c>
      <c r="D20" s="3">
        <v>328</v>
      </c>
      <c r="E20" s="3">
        <v>221925</v>
      </c>
      <c r="F20" s="3">
        <f>YouTube!$C20-YouTube!$D20</f>
        <v>3202</v>
      </c>
      <c r="G20" s="30">
        <v>1.44282978483722E-2</v>
      </c>
      <c r="H20">
        <v>12.8372197814577</v>
      </c>
      <c r="I20" s="31">
        <v>11013</v>
      </c>
      <c r="K20" s="5">
        <v>45474</v>
      </c>
      <c r="L20" t="s">
        <v>23</v>
      </c>
      <c r="M20" s="3">
        <v>3202</v>
      </c>
      <c r="X20" s="5">
        <v>45474</v>
      </c>
      <c r="Z20" s="3">
        <v>221925</v>
      </c>
    </row>
    <row r="21" spans="1:26" hidden="1" x14ac:dyDescent="0.3">
      <c r="A21" s="28">
        <v>45474</v>
      </c>
      <c r="B21" t="s">
        <v>23</v>
      </c>
      <c r="C21" s="3">
        <v>2960</v>
      </c>
      <c r="D21" s="3">
        <v>234</v>
      </c>
      <c r="E21" s="3">
        <v>224651</v>
      </c>
      <c r="F21" s="3">
        <f>YouTube!$C21-YouTube!$D21</f>
        <v>2726</v>
      </c>
      <c r="G21" s="30">
        <v>1.21343773230478E-2</v>
      </c>
      <c r="H21">
        <v>17.41278694508371</v>
      </c>
      <c r="I21" s="31">
        <v>59378</v>
      </c>
      <c r="K21" s="5">
        <v>45474</v>
      </c>
      <c r="L21" t="s">
        <v>23</v>
      </c>
      <c r="M21" s="3">
        <v>2726</v>
      </c>
      <c r="X21" s="5">
        <v>45474</v>
      </c>
      <c r="Z21" s="3">
        <v>224651</v>
      </c>
    </row>
    <row r="22" spans="1:26" hidden="1" x14ac:dyDescent="0.3">
      <c r="A22" s="28">
        <v>45481</v>
      </c>
      <c r="B22" t="s">
        <v>41</v>
      </c>
      <c r="C22" s="3">
        <v>8045</v>
      </c>
      <c r="D22" s="3">
        <v>894</v>
      </c>
      <c r="E22" s="3">
        <v>231802</v>
      </c>
      <c r="F22" s="3">
        <f>YouTube!$C22-YouTube!$D22</f>
        <v>7151</v>
      </c>
      <c r="G22" s="30">
        <v>3.0849604403758401E-2</v>
      </c>
      <c r="H22">
        <v>47.634187798207087</v>
      </c>
      <c r="I22" s="31">
        <v>33705</v>
      </c>
      <c r="K22" s="5">
        <v>45481</v>
      </c>
      <c r="L22" t="s">
        <v>41</v>
      </c>
      <c r="M22" s="3">
        <v>7151</v>
      </c>
      <c r="X22" s="5">
        <v>45481</v>
      </c>
      <c r="Z22" s="3">
        <v>231802</v>
      </c>
    </row>
    <row r="23" spans="1:26" hidden="1" x14ac:dyDescent="0.3">
      <c r="A23" s="28">
        <v>45481</v>
      </c>
      <c r="B23" t="s">
        <v>19</v>
      </c>
      <c r="C23" s="3">
        <v>2048</v>
      </c>
      <c r="D23" s="3">
        <v>130</v>
      </c>
      <c r="E23" s="3">
        <v>233720</v>
      </c>
      <c r="F23" s="3">
        <f>YouTube!$C23-YouTube!$D23</f>
        <v>1918</v>
      </c>
      <c r="G23" s="30">
        <v>8.2064008214958097E-3</v>
      </c>
      <c r="H23">
        <v>39.284614068115687</v>
      </c>
      <c r="I23" s="31">
        <v>11828</v>
      </c>
      <c r="K23" s="5">
        <v>45481</v>
      </c>
      <c r="L23" t="s">
        <v>19</v>
      </c>
      <c r="M23" s="3">
        <v>1918</v>
      </c>
      <c r="X23" s="5">
        <v>45481</v>
      </c>
      <c r="Z23" s="3">
        <v>233720</v>
      </c>
    </row>
    <row r="24" spans="1:26" hidden="1" x14ac:dyDescent="0.3">
      <c r="A24" s="28">
        <v>45481</v>
      </c>
      <c r="B24" t="s">
        <v>19</v>
      </c>
      <c r="C24" s="3">
        <v>6772</v>
      </c>
      <c r="D24" s="3">
        <v>536</v>
      </c>
      <c r="E24" s="3">
        <v>239956</v>
      </c>
      <c r="F24" s="3">
        <f>YouTube!$C24-YouTube!$D24</f>
        <v>6236</v>
      </c>
      <c r="G24" s="30">
        <v>2.5988097817933299E-2</v>
      </c>
      <c r="H24">
        <v>9.8205504342462788</v>
      </c>
      <c r="I24" s="31">
        <v>17909</v>
      </c>
      <c r="K24" s="5">
        <v>45481</v>
      </c>
      <c r="L24" t="s">
        <v>19</v>
      </c>
      <c r="M24" s="3">
        <v>6236</v>
      </c>
      <c r="X24" s="5">
        <v>45481</v>
      </c>
      <c r="Z24" s="3">
        <v>239956</v>
      </c>
    </row>
    <row r="25" spans="1:26" hidden="1" x14ac:dyDescent="0.3">
      <c r="A25" s="28">
        <v>45481</v>
      </c>
      <c r="B25" t="s">
        <v>19</v>
      </c>
      <c r="C25" s="3">
        <v>3529</v>
      </c>
      <c r="D25" s="3">
        <v>305</v>
      </c>
      <c r="E25" s="3">
        <v>243180</v>
      </c>
      <c r="F25" s="3">
        <f>YouTube!$C25-YouTube!$D25</f>
        <v>3224</v>
      </c>
      <c r="G25" s="30">
        <v>1.3257669216218401E-2</v>
      </c>
      <c r="H25">
        <v>41.606628834608109</v>
      </c>
      <c r="I25" s="31">
        <v>48356</v>
      </c>
      <c r="K25" s="5">
        <v>45481</v>
      </c>
      <c r="L25" t="s">
        <v>19</v>
      </c>
      <c r="M25" s="3">
        <v>3224</v>
      </c>
      <c r="X25" s="5">
        <v>45481</v>
      </c>
      <c r="Z25" s="3">
        <v>243180</v>
      </c>
    </row>
    <row r="26" spans="1:26" hidden="1" x14ac:dyDescent="0.3">
      <c r="A26" s="28">
        <v>45488</v>
      </c>
      <c r="B26" t="s">
        <v>23</v>
      </c>
      <c r="C26" s="3">
        <v>3964</v>
      </c>
      <c r="D26" s="3">
        <v>378</v>
      </c>
      <c r="E26" s="3">
        <v>246766</v>
      </c>
      <c r="F26" s="3">
        <f>YouTube!$C26-YouTube!$D26</f>
        <v>3586</v>
      </c>
      <c r="G26" s="30">
        <v>1.45319857678935E-2</v>
      </c>
      <c r="H26">
        <v>13.6355899921383</v>
      </c>
      <c r="I26" s="31">
        <v>23109</v>
      </c>
      <c r="K26" s="5">
        <v>45488</v>
      </c>
      <c r="L26" t="s">
        <v>23</v>
      </c>
      <c r="M26" s="3">
        <v>3586</v>
      </c>
      <c r="X26" s="5">
        <v>45488</v>
      </c>
      <c r="Z26" s="3">
        <v>246766</v>
      </c>
    </row>
    <row r="27" spans="1:26" hidden="1" x14ac:dyDescent="0.3">
      <c r="A27" s="28">
        <v>45488</v>
      </c>
      <c r="B27" t="s">
        <v>41</v>
      </c>
      <c r="C27" s="3">
        <v>8137</v>
      </c>
      <c r="D27" s="3">
        <v>1045</v>
      </c>
      <c r="E27" s="3">
        <v>253858</v>
      </c>
      <c r="F27" s="3">
        <f>YouTube!$C27-YouTube!$D27</f>
        <v>7092</v>
      </c>
      <c r="G27" s="30">
        <v>2.79368780972039E-2</v>
      </c>
      <c r="H27">
        <v>20.47246886054408</v>
      </c>
      <c r="I27" s="31">
        <v>12023</v>
      </c>
      <c r="K27" s="5">
        <v>45488</v>
      </c>
      <c r="L27" t="s">
        <v>41</v>
      </c>
      <c r="M27" s="3">
        <v>7092</v>
      </c>
      <c r="X27" s="5">
        <v>45488</v>
      </c>
      <c r="Z27" s="3">
        <v>253858</v>
      </c>
    </row>
    <row r="28" spans="1:26" x14ac:dyDescent="0.3">
      <c r="A28" s="28">
        <v>45488</v>
      </c>
      <c r="B28" t="s">
        <v>14</v>
      </c>
      <c r="C28" s="3">
        <v>1963</v>
      </c>
      <c r="D28" s="3">
        <v>137</v>
      </c>
      <c r="E28" s="3">
        <v>255684</v>
      </c>
      <c r="F28" s="3">
        <f>YouTube!$C28-YouTube!$D28</f>
        <v>1826</v>
      </c>
      <c r="G28" s="30">
        <v>7.1416279469970799E-3</v>
      </c>
      <c r="H28">
        <v>11.2083665774941</v>
      </c>
      <c r="I28" s="31">
        <v>24537</v>
      </c>
      <c r="K28" s="5">
        <v>45488</v>
      </c>
      <c r="M28" s="3">
        <v>1826</v>
      </c>
      <c r="X28" s="5">
        <v>45488</v>
      </c>
      <c r="Z28" s="3">
        <v>255684</v>
      </c>
    </row>
    <row r="29" spans="1:26" hidden="1" x14ac:dyDescent="0.3">
      <c r="A29" s="28">
        <v>45488</v>
      </c>
      <c r="B29" t="s">
        <v>23</v>
      </c>
      <c r="C29" s="3">
        <v>1536</v>
      </c>
      <c r="D29" s="3">
        <v>155</v>
      </c>
      <c r="E29" s="3">
        <v>257065</v>
      </c>
      <c r="F29" s="3">
        <f>YouTube!$C29-YouTube!$D29</f>
        <v>1381</v>
      </c>
      <c r="G29" s="30">
        <v>5.3721821329235798E-3</v>
      </c>
      <c r="H29">
        <v>12.15762550327738</v>
      </c>
      <c r="I29" s="31">
        <v>36661</v>
      </c>
      <c r="K29" s="5">
        <v>45488</v>
      </c>
      <c r="L29" t="s">
        <v>23</v>
      </c>
      <c r="M29" s="3">
        <v>1381</v>
      </c>
      <c r="X29" s="5">
        <v>45488</v>
      </c>
      <c r="Z29" s="3">
        <v>257065</v>
      </c>
    </row>
    <row r="30" spans="1:26" hidden="1" x14ac:dyDescent="0.3">
      <c r="A30" s="28">
        <v>45495</v>
      </c>
      <c r="B30" t="s">
        <v>19</v>
      </c>
      <c r="C30" s="3">
        <v>8340</v>
      </c>
      <c r="D30" s="3">
        <v>911</v>
      </c>
      <c r="E30" s="3">
        <v>264494</v>
      </c>
      <c r="F30" s="3">
        <f>YouTube!$C30-YouTube!$D30</f>
        <v>7429</v>
      </c>
      <c r="G30" s="30">
        <v>2.8087593669421599E-2</v>
      </c>
      <c r="H30">
        <v>37.302925586213682</v>
      </c>
      <c r="I30" s="31">
        <v>48659</v>
      </c>
      <c r="K30" s="5">
        <v>45495</v>
      </c>
      <c r="L30" t="s">
        <v>19</v>
      </c>
      <c r="M30" s="3">
        <v>7429</v>
      </c>
      <c r="X30" s="5">
        <v>45495</v>
      </c>
      <c r="Z30" s="3">
        <v>264494</v>
      </c>
    </row>
    <row r="31" spans="1:26" hidden="1" x14ac:dyDescent="0.3">
      <c r="A31" s="28">
        <v>45495</v>
      </c>
      <c r="B31" t="s">
        <v>41</v>
      </c>
      <c r="C31" s="3">
        <v>8179</v>
      </c>
      <c r="D31" s="3">
        <v>446</v>
      </c>
      <c r="E31" s="3">
        <v>272227</v>
      </c>
      <c r="F31" s="3">
        <f>YouTube!$C31-YouTube!$D31</f>
        <v>7733</v>
      </c>
      <c r="G31" s="30">
        <v>2.84064402134983E-2</v>
      </c>
      <c r="H31">
        <v>41.82171496581897</v>
      </c>
      <c r="I31" s="31">
        <v>43848</v>
      </c>
      <c r="K31" s="5">
        <v>45495</v>
      </c>
      <c r="L31" t="s">
        <v>41</v>
      </c>
      <c r="M31" s="3">
        <v>7733</v>
      </c>
      <c r="X31" s="5">
        <v>45495</v>
      </c>
      <c r="Z31" s="3">
        <v>272227</v>
      </c>
    </row>
    <row r="32" spans="1:26" hidden="1" x14ac:dyDescent="0.3">
      <c r="A32" s="28">
        <v>45495</v>
      </c>
      <c r="B32" t="s">
        <v>19</v>
      </c>
      <c r="C32" s="3">
        <v>8967</v>
      </c>
      <c r="D32" s="3">
        <v>993</v>
      </c>
      <c r="E32" s="3">
        <v>280201</v>
      </c>
      <c r="F32" s="3">
        <f>YouTube!$C32-YouTube!$D32</f>
        <v>7974</v>
      </c>
      <c r="G32" s="30">
        <v>2.8458142547671102E-2</v>
      </c>
      <c r="H32">
        <v>52.792102811910027</v>
      </c>
      <c r="I32" s="31">
        <v>47804</v>
      </c>
      <c r="K32" s="5">
        <v>45495</v>
      </c>
      <c r="L32" t="s">
        <v>19</v>
      </c>
      <c r="M32" s="3">
        <v>7974</v>
      </c>
      <c r="X32" s="5">
        <v>45495</v>
      </c>
      <c r="Z32" s="3">
        <v>280201</v>
      </c>
    </row>
    <row r="33" spans="1:26" x14ac:dyDescent="0.3">
      <c r="A33" s="28">
        <v>45495</v>
      </c>
      <c r="B33" t="s">
        <v>14</v>
      </c>
      <c r="C33" s="3">
        <v>9734</v>
      </c>
      <c r="D33" s="3">
        <v>652</v>
      </c>
      <c r="E33" s="3">
        <v>289283</v>
      </c>
      <c r="F33" s="3">
        <f>YouTube!$C33-YouTube!$D33</f>
        <v>9082</v>
      </c>
      <c r="G33" s="30">
        <v>3.1394862470314498E-2</v>
      </c>
      <c r="H33">
        <v>49.647922622483861</v>
      </c>
      <c r="I33" s="31">
        <v>25379</v>
      </c>
      <c r="K33" s="5">
        <v>45495</v>
      </c>
      <c r="M33" s="3">
        <v>9082</v>
      </c>
      <c r="X33" s="5">
        <v>45495</v>
      </c>
      <c r="Z33" s="3">
        <v>289283</v>
      </c>
    </row>
    <row r="34" spans="1:26" hidden="1" x14ac:dyDescent="0.3">
      <c r="A34" s="28">
        <v>45502</v>
      </c>
      <c r="B34" t="s">
        <v>19</v>
      </c>
      <c r="C34" s="3">
        <v>1845</v>
      </c>
      <c r="D34" s="3">
        <v>104</v>
      </c>
      <c r="E34" s="3">
        <v>291024</v>
      </c>
      <c r="F34" s="3">
        <f>YouTube!$C34-YouTube!$D34</f>
        <v>1741</v>
      </c>
      <c r="G34" s="30">
        <v>5.9823244818296801E-3</v>
      </c>
      <c r="H34">
        <v>28.158158777282971</v>
      </c>
      <c r="I34" s="31">
        <v>37766</v>
      </c>
      <c r="K34" s="5">
        <v>45502</v>
      </c>
      <c r="L34" t="s">
        <v>19</v>
      </c>
      <c r="M34" s="3">
        <v>1741</v>
      </c>
      <c r="X34" s="5">
        <v>45502</v>
      </c>
      <c r="Z34" s="3">
        <v>291024</v>
      </c>
    </row>
    <row r="35" spans="1:26" hidden="1" x14ac:dyDescent="0.3">
      <c r="A35" s="28">
        <v>45502</v>
      </c>
      <c r="B35" t="s">
        <v>19</v>
      </c>
      <c r="C35" s="3">
        <v>6777</v>
      </c>
      <c r="D35" s="3">
        <v>981</v>
      </c>
      <c r="E35" s="3">
        <v>296820</v>
      </c>
      <c r="F35" s="3">
        <f>YouTube!$C35-YouTube!$D35</f>
        <v>5796</v>
      </c>
      <c r="G35" s="30">
        <v>1.9526986052152799E-2</v>
      </c>
      <c r="H35">
        <v>23.920557913887201</v>
      </c>
      <c r="I35" s="31">
        <v>53590</v>
      </c>
      <c r="K35" s="5">
        <v>45502</v>
      </c>
      <c r="L35" t="s">
        <v>19</v>
      </c>
      <c r="M35" s="3">
        <v>5796</v>
      </c>
      <c r="X35" s="5">
        <v>45502</v>
      </c>
      <c r="Z35" s="3">
        <v>296820</v>
      </c>
    </row>
    <row r="36" spans="1:26" x14ac:dyDescent="0.3">
      <c r="A36" s="28">
        <v>45502</v>
      </c>
      <c r="B36" t="s">
        <v>14</v>
      </c>
      <c r="C36" s="3">
        <v>4036</v>
      </c>
      <c r="D36" s="3">
        <v>591</v>
      </c>
      <c r="E36" s="3">
        <v>300265</v>
      </c>
      <c r="F36" s="3">
        <f>YouTube!$C36-YouTube!$D36</f>
        <v>3445</v>
      </c>
      <c r="G36" s="30">
        <v>1.1473198674504199E-2</v>
      </c>
      <c r="H36">
        <v>44.219272975538267</v>
      </c>
      <c r="I36" s="31">
        <v>12563</v>
      </c>
      <c r="K36" s="5">
        <v>45502</v>
      </c>
      <c r="M36" s="3">
        <v>3445</v>
      </c>
      <c r="X36" s="5">
        <v>45502</v>
      </c>
      <c r="Z36" s="3">
        <v>300265</v>
      </c>
    </row>
    <row r="37" spans="1:26" hidden="1" x14ac:dyDescent="0.3">
      <c r="A37" s="28">
        <v>45502</v>
      </c>
      <c r="B37" t="s">
        <v>41</v>
      </c>
      <c r="C37" s="3">
        <v>6947</v>
      </c>
      <c r="D37" s="3">
        <v>908</v>
      </c>
      <c r="E37" s="3">
        <v>306304</v>
      </c>
      <c r="F37" s="3">
        <f>YouTube!$C37-YouTube!$D37</f>
        <v>6039</v>
      </c>
      <c r="G37" s="30">
        <v>1.9715707271207701E-2</v>
      </c>
      <c r="H37">
        <v>14.117673944839121</v>
      </c>
      <c r="I37" s="31">
        <v>46060</v>
      </c>
      <c r="K37" s="5">
        <v>45502</v>
      </c>
      <c r="L37" t="s">
        <v>41</v>
      </c>
      <c r="M37" s="3">
        <v>6039</v>
      </c>
      <c r="X37" s="5">
        <v>45502</v>
      </c>
      <c r="Z37" s="3">
        <v>306304</v>
      </c>
    </row>
    <row r="38" spans="1:26" hidden="1" x14ac:dyDescent="0.3">
      <c r="A38" s="28">
        <v>45509</v>
      </c>
      <c r="B38" t="s">
        <v>23</v>
      </c>
      <c r="C38" s="3">
        <v>3494</v>
      </c>
      <c r="D38" s="3">
        <v>281</v>
      </c>
      <c r="E38" s="3">
        <v>309517</v>
      </c>
      <c r="F38" s="3">
        <f>YouTube!$C38-YouTube!$D38</f>
        <v>3213</v>
      </c>
      <c r="G38" s="30">
        <v>1.03806899136396E-2</v>
      </c>
      <c r="H38">
        <v>27.765518533715429</v>
      </c>
      <c r="I38" s="31">
        <v>39197</v>
      </c>
      <c r="K38" s="5">
        <v>45509</v>
      </c>
      <c r="L38" t="s">
        <v>23</v>
      </c>
      <c r="M38" s="3">
        <v>3213</v>
      </c>
      <c r="X38" s="5">
        <v>45509</v>
      </c>
      <c r="Z38" s="3">
        <v>309517</v>
      </c>
    </row>
    <row r="39" spans="1:26" hidden="1" x14ac:dyDescent="0.3">
      <c r="A39" s="28">
        <v>45509</v>
      </c>
      <c r="B39" t="s">
        <v>41</v>
      </c>
      <c r="C39" s="3">
        <v>3719</v>
      </c>
      <c r="D39" s="3">
        <v>222</v>
      </c>
      <c r="E39" s="3">
        <v>313014</v>
      </c>
      <c r="F39" s="3">
        <f>YouTube!$C39-YouTube!$D39</f>
        <v>3497</v>
      </c>
      <c r="G39" s="30">
        <v>1.11720242545062E-2</v>
      </c>
      <c r="H39">
        <v>21.669318305251519</v>
      </c>
      <c r="I39" s="31">
        <v>13586</v>
      </c>
      <c r="K39" s="5">
        <v>45509</v>
      </c>
      <c r="L39" t="s">
        <v>41</v>
      </c>
      <c r="M39" s="3">
        <v>3497</v>
      </c>
      <c r="X39" s="5">
        <v>45509</v>
      </c>
      <c r="Z39" s="3">
        <v>313014</v>
      </c>
    </row>
    <row r="40" spans="1:26" x14ac:dyDescent="0.3">
      <c r="A40" s="28">
        <v>45509</v>
      </c>
      <c r="B40" t="s">
        <v>14</v>
      </c>
      <c r="C40" s="3">
        <v>2884</v>
      </c>
      <c r="D40" s="3">
        <v>341</v>
      </c>
      <c r="E40" s="3">
        <v>315557</v>
      </c>
      <c r="F40" s="3">
        <f>YouTube!$C40-YouTube!$D40</f>
        <v>2543</v>
      </c>
      <c r="G40" s="30">
        <v>8.0587659281841292E-3</v>
      </c>
      <c r="H40">
        <v>46.999749649033298</v>
      </c>
      <c r="I40" s="31">
        <v>26087</v>
      </c>
      <c r="K40" s="5">
        <v>45509</v>
      </c>
      <c r="M40" s="3">
        <v>2543</v>
      </c>
      <c r="X40" s="5">
        <v>45509</v>
      </c>
      <c r="Z40" s="3">
        <v>315557</v>
      </c>
    </row>
    <row r="41" spans="1:26" hidden="1" x14ac:dyDescent="0.3">
      <c r="A41" s="28">
        <v>45509</v>
      </c>
      <c r="B41" t="s">
        <v>19</v>
      </c>
      <c r="C41" s="3">
        <v>5349</v>
      </c>
      <c r="D41" s="3">
        <v>502</v>
      </c>
      <c r="E41" s="3">
        <v>320404</v>
      </c>
      <c r="F41" s="3">
        <f>YouTube!$C41-YouTube!$D41</f>
        <v>4847</v>
      </c>
      <c r="G41" s="30">
        <v>1.51277761825695E-2</v>
      </c>
      <c r="H41">
        <v>5.2152906954969351</v>
      </c>
      <c r="I41" s="31">
        <v>58868</v>
      </c>
      <c r="K41" s="5">
        <v>45509</v>
      </c>
      <c r="L41" t="s">
        <v>19</v>
      </c>
      <c r="M41" s="3">
        <v>4847</v>
      </c>
      <c r="X41" s="5">
        <v>45509</v>
      </c>
      <c r="Z41" s="3">
        <v>320404</v>
      </c>
    </row>
    <row r="42" spans="1:26" hidden="1" x14ac:dyDescent="0.3">
      <c r="A42" s="28">
        <v>45516</v>
      </c>
      <c r="B42" t="s">
        <v>41</v>
      </c>
      <c r="C42" s="3">
        <v>6179</v>
      </c>
      <c r="D42" s="3">
        <v>384</v>
      </c>
      <c r="E42" s="3">
        <v>326199</v>
      </c>
      <c r="F42" s="3">
        <f>YouTube!$C42-YouTube!$D42</f>
        <v>5795</v>
      </c>
      <c r="G42" s="30">
        <v>1.7765229200580001E-2</v>
      </c>
      <c r="H42">
        <v>14.71218489327067</v>
      </c>
      <c r="I42" s="31">
        <v>33225</v>
      </c>
      <c r="K42" s="5">
        <v>45516</v>
      </c>
      <c r="L42" t="s">
        <v>41</v>
      </c>
      <c r="M42" s="3">
        <v>5795</v>
      </c>
      <c r="X42" s="5">
        <v>45516</v>
      </c>
      <c r="Z42" s="3">
        <v>326199</v>
      </c>
    </row>
    <row r="43" spans="1:26" hidden="1" x14ac:dyDescent="0.3">
      <c r="A43" s="28">
        <v>45516</v>
      </c>
      <c r="B43" t="s">
        <v>23</v>
      </c>
      <c r="C43" s="3">
        <v>7610</v>
      </c>
      <c r="D43" s="3">
        <v>757</v>
      </c>
      <c r="E43" s="3">
        <v>333052</v>
      </c>
      <c r="F43" s="3">
        <f>YouTube!$C43-YouTube!$D43</f>
        <v>6853</v>
      </c>
      <c r="G43" s="30">
        <v>2.0576366453286601E-2</v>
      </c>
      <c r="H43">
        <v>44.450416151231643</v>
      </c>
      <c r="I43" s="31">
        <v>39750</v>
      </c>
      <c r="K43" s="5">
        <v>45516</v>
      </c>
      <c r="L43" t="s">
        <v>23</v>
      </c>
      <c r="M43" s="3">
        <v>6853</v>
      </c>
      <c r="X43" s="5">
        <v>45516</v>
      </c>
      <c r="Z43" s="3">
        <v>333052</v>
      </c>
    </row>
    <row r="44" spans="1:26" x14ac:dyDescent="0.3">
      <c r="A44" s="28">
        <v>45516</v>
      </c>
      <c r="B44" t="s">
        <v>14</v>
      </c>
      <c r="C44" s="3">
        <v>7430</v>
      </c>
      <c r="D44" s="3">
        <v>397</v>
      </c>
      <c r="E44" s="3">
        <v>340085</v>
      </c>
      <c r="F44" s="3">
        <f>YouTube!$C44-YouTube!$D44</f>
        <v>7033</v>
      </c>
      <c r="G44" s="30">
        <v>2.0680124086625399E-2</v>
      </c>
      <c r="H44">
        <v>28.065042562888689</v>
      </c>
      <c r="I44" s="31">
        <v>16643</v>
      </c>
      <c r="K44" s="5">
        <v>45516</v>
      </c>
      <c r="M44" s="3">
        <v>7033</v>
      </c>
      <c r="X44" s="5">
        <v>45516</v>
      </c>
      <c r="Z44" s="3">
        <v>340085</v>
      </c>
    </row>
    <row r="45" spans="1:26" hidden="1" x14ac:dyDescent="0.3">
      <c r="A45" s="28">
        <v>45516</v>
      </c>
      <c r="B45" t="s">
        <v>41</v>
      </c>
      <c r="C45" s="3">
        <v>8154</v>
      </c>
      <c r="D45" s="3">
        <v>1149</v>
      </c>
      <c r="E45" s="3">
        <v>347090</v>
      </c>
      <c r="F45" s="3">
        <f>YouTube!$C45-YouTube!$D45</f>
        <v>7005</v>
      </c>
      <c r="G45" s="30">
        <v>2.0182085338096699E-2</v>
      </c>
      <c r="H45">
        <v>26.003918292085629</v>
      </c>
      <c r="I45" s="31">
        <v>37523</v>
      </c>
      <c r="K45" s="5">
        <v>45516</v>
      </c>
      <c r="L45" t="s">
        <v>41</v>
      </c>
      <c r="M45" s="3">
        <v>7005</v>
      </c>
      <c r="X45" s="5">
        <v>45516</v>
      </c>
      <c r="Z45" s="3">
        <v>347090</v>
      </c>
    </row>
    <row r="46" spans="1:26" hidden="1" x14ac:dyDescent="0.3">
      <c r="A46" s="28">
        <v>45523</v>
      </c>
      <c r="B46" t="s">
        <v>23</v>
      </c>
      <c r="C46" s="3">
        <v>7488</v>
      </c>
      <c r="D46" s="3">
        <v>568</v>
      </c>
      <c r="E46" s="3">
        <v>354010</v>
      </c>
      <c r="F46" s="3">
        <f>YouTube!$C46-YouTube!$D46</f>
        <v>6920</v>
      </c>
      <c r="G46" s="30">
        <v>1.9547470410440401E-2</v>
      </c>
      <c r="H46">
        <v>13.47730290104799</v>
      </c>
      <c r="I46" s="31">
        <v>46727</v>
      </c>
      <c r="K46" s="5">
        <v>45523</v>
      </c>
      <c r="L46" t="s">
        <v>23</v>
      </c>
      <c r="M46" s="3">
        <v>6920</v>
      </c>
      <c r="X46" s="5">
        <v>45523</v>
      </c>
      <c r="Z46" s="3">
        <v>354010</v>
      </c>
    </row>
    <row r="47" spans="1:26" x14ac:dyDescent="0.3">
      <c r="A47" s="28">
        <v>45523</v>
      </c>
      <c r="B47" t="s">
        <v>14</v>
      </c>
      <c r="C47" s="3">
        <v>5737</v>
      </c>
      <c r="D47" s="3">
        <v>666</v>
      </c>
      <c r="E47" s="3">
        <v>359081</v>
      </c>
      <c r="F47" s="3">
        <f>YouTube!$C47-YouTube!$D47</f>
        <v>5071</v>
      </c>
      <c r="G47" s="30">
        <v>1.4122161852061201E-2</v>
      </c>
      <c r="H47">
        <v>4.6034181702735593</v>
      </c>
      <c r="I47" s="31">
        <v>21005</v>
      </c>
      <c r="K47" s="5">
        <v>45523</v>
      </c>
      <c r="M47" s="3">
        <v>5071</v>
      </c>
      <c r="X47" s="5">
        <v>45523</v>
      </c>
      <c r="Z47" s="3">
        <v>359081</v>
      </c>
    </row>
    <row r="48" spans="1:26" hidden="1" x14ac:dyDescent="0.3">
      <c r="A48" s="28">
        <v>45523</v>
      </c>
      <c r="B48" t="s">
        <v>23</v>
      </c>
      <c r="C48" s="3">
        <v>7525</v>
      </c>
      <c r="D48" s="3">
        <v>610</v>
      </c>
      <c r="E48" s="3">
        <v>365996</v>
      </c>
      <c r="F48" s="3">
        <f>YouTube!$C48-YouTube!$D48</f>
        <v>6915</v>
      </c>
      <c r="G48" s="30">
        <v>1.8893649110919199E-2</v>
      </c>
      <c r="H48">
        <v>5.7694619613329108</v>
      </c>
      <c r="I48" s="31">
        <v>53543</v>
      </c>
      <c r="K48" s="5">
        <v>45523</v>
      </c>
      <c r="L48" t="s">
        <v>23</v>
      </c>
      <c r="M48" s="3">
        <v>6915</v>
      </c>
      <c r="X48" s="5">
        <v>45523</v>
      </c>
      <c r="Z48" s="3">
        <v>365996</v>
      </c>
    </row>
    <row r="49" spans="1:26" x14ac:dyDescent="0.3">
      <c r="A49" s="28">
        <v>45523</v>
      </c>
      <c r="B49" t="s">
        <v>14</v>
      </c>
      <c r="C49" s="3">
        <v>4850</v>
      </c>
      <c r="D49" s="3">
        <v>494</v>
      </c>
      <c r="E49" s="3">
        <v>370352</v>
      </c>
      <c r="F49" s="3">
        <f>YouTube!$C49-YouTube!$D49</f>
        <v>4356</v>
      </c>
      <c r="G49" s="30">
        <v>1.1761783384455901E-2</v>
      </c>
      <c r="H49">
        <v>20.46539508359615</v>
      </c>
      <c r="I49" s="31">
        <v>10161</v>
      </c>
      <c r="K49" s="5">
        <v>45523</v>
      </c>
      <c r="M49" s="3">
        <v>4356</v>
      </c>
      <c r="X49" s="5">
        <v>45523</v>
      </c>
      <c r="Z49" s="3">
        <v>370352</v>
      </c>
    </row>
    <row r="50" spans="1:26" hidden="1" x14ac:dyDescent="0.3">
      <c r="A50" s="28">
        <v>45530</v>
      </c>
      <c r="B50" t="s">
        <v>19</v>
      </c>
      <c r="C50" s="3">
        <v>1689</v>
      </c>
      <c r="D50" s="3">
        <v>176</v>
      </c>
      <c r="E50" s="3">
        <v>371865</v>
      </c>
      <c r="F50" s="3">
        <f>YouTube!$C50-YouTube!$D50</f>
        <v>1513</v>
      </c>
      <c r="G50" s="30">
        <v>4.0686808384763299E-3</v>
      </c>
      <c r="H50">
        <v>38.012181840183942</v>
      </c>
      <c r="I50" s="31">
        <v>26029</v>
      </c>
      <c r="K50" s="5">
        <v>45530</v>
      </c>
      <c r="L50" t="s">
        <v>19</v>
      </c>
      <c r="M50" s="3">
        <v>1513</v>
      </c>
      <c r="X50" s="5">
        <v>45530</v>
      </c>
      <c r="Z50" s="3">
        <v>371865</v>
      </c>
    </row>
    <row r="51" spans="1:26" hidden="1" x14ac:dyDescent="0.3">
      <c r="A51" s="28">
        <v>45530</v>
      </c>
      <c r="B51" t="s">
        <v>41</v>
      </c>
      <c r="C51" s="3">
        <v>6175</v>
      </c>
      <c r="D51" s="3">
        <v>422</v>
      </c>
      <c r="E51" s="3">
        <v>377618</v>
      </c>
      <c r="F51" s="3">
        <f>YouTube!$C51-YouTube!$D51</f>
        <v>5753</v>
      </c>
      <c r="G51" s="30">
        <v>1.5234972909130401E-2</v>
      </c>
      <c r="H51">
        <v>37.86101298137271</v>
      </c>
      <c r="I51" s="31">
        <v>59745</v>
      </c>
      <c r="K51" s="5">
        <v>45530</v>
      </c>
      <c r="L51" t="s">
        <v>41</v>
      </c>
      <c r="M51" s="3">
        <v>5753</v>
      </c>
      <c r="X51" s="5">
        <v>45530</v>
      </c>
      <c r="Z51" s="3">
        <v>377618</v>
      </c>
    </row>
    <row r="52" spans="1:26" hidden="1" x14ac:dyDescent="0.3">
      <c r="A52" s="28">
        <v>45530</v>
      </c>
      <c r="B52" t="s">
        <v>23</v>
      </c>
      <c r="C52" s="3">
        <v>9648</v>
      </c>
      <c r="D52" s="3">
        <v>1417</v>
      </c>
      <c r="E52" s="3">
        <v>385849</v>
      </c>
      <c r="F52" s="3">
        <f>YouTube!$C52-YouTube!$D52</f>
        <v>8231</v>
      </c>
      <c r="G52" s="30">
        <v>2.13321791685348E-2</v>
      </c>
      <c r="H52">
        <v>3.6633501706626168</v>
      </c>
      <c r="I52" s="31">
        <v>24226</v>
      </c>
      <c r="K52" s="5">
        <v>45530</v>
      </c>
      <c r="L52" t="s">
        <v>23</v>
      </c>
      <c r="M52" s="3">
        <v>8231</v>
      </c>
      <c r="X52" s="5">
        <v>45530</v>
      </c>
      <c r="Z52" s="3">
        <v>385849</v>
      </c>
    </row>
    <row r="53" spans="1:26" x14ac:dyDescent="0.3">
      <c r="A53" s="28">
        <v>45530</v>
      </c>
      <c r="B53" t="s">
        <v>14</v>
      </c>
      <c r="C53" s="3">
        <v>6078</v>
      </c>
      <c r="D53" s="3">
        <v>775</v>
      </c>
      <c r="E53" s="3">
        <v>391152</v>
      </c>
      <c r="F53" s="3">
        <f>YouTube!$C53-YouTube!$D53</f>
        <v>5303</v>
      </c>
      <c r="G53" s="30">
        <v>1.35573894547388E-2</v>
      </c>
      <c r="H53">
        <v>37.760512537325639</v>
      </c>
      <c r="I53" s="31">
        <v>38731</v>
      </c>
      <c r="K53" s="5">
        <v>45530</v>
      </c>
      <c r="M53" s="3">
        <v>5303</v>
      </c>
      <c r="X53" s="5">
        <v>45530</v>
      </c>
      <c r="Z53" s="3">
        <v>391152</v>
      </c>
    </row>
    <row r="54" spans="1:26" hidden="1" x14ac:dyDescent="0.3">
      <c r="A54" s="28">
        <v>45537</v>
      </c>
      <c r="B54" t="s">
        <v>23</v>
      </c>
      <c r="C54" s="3">
        <v>6448</v>
      </c>
      <c r="D54" s="3">
        <v>928</v>
      </c>
      <c r="E54" s="3">
        <v>396672</v>
      </c>
      <c r="F54" s="3">
        <f>YouTube!$C54-YouTube!$D54</f>
        <v>5520</v>
      </c>
      <c r="G54" s="30">
        <v>1.3915779283639899E-2</v>
      </c>
      <c r="H54">
        <v>30.118586640851881</v>
      </c>
      <c r="I54" s="31">
        <v>53922</v>
      </c>
      <c r="K54" s="5">
        <v>45537</v>
      </c>
      <c r="L54" t="s">
        <v>23</v>
      </c>
      <c r="M54" s="3">
        <v>5520</v>
      </c>
      <c r="X54" s="5">
        <v>45537</v>
      </c>
      <c r="Z54" s="3">
        <v>396672</v>
      </c>
    </row>
    <row r="55" spans="1:26" hidden="1" x14ac:dyDescent="0.3">
      <c r="A55" s="28">
        <v>45537</v>
      </c>
      <c r="B55" t="s">
        <v>23</v>
      </c>
      <c r="C55" s="3">
        <v>2179</v>
      </c>
      <c r="D55" s="3">
        <v>303</v>
      </c>
      <c r="E55" s="3">
        <v>398548</v>
      </c>
      <c r="F55" s="3">
        <f>YouTube!$C55-YouTube!$D55</f>
        <v>1876</v>
      </c>
      <c r="G55" s="30">
        <v>4.7070867248110602E-3</v>
      </c>
      <c r="H55">
        <v>33.909842729106657</v>
      </c>
      <c r="I55" s="31">
        <v>54848</v>
      </c>
      <c r="K55" s="5">
        <v>45537</v>
      </c>
      <c r="L55" t="s">
        <v>23</v>
      </c>
      <c r="M55" s="3">
        <v>1876</v>
      </c>
      <c r="X55" s="5">
        <v>45537</v>
      </c>
      <c r="Z55" s="3">
        <v>398548</v>
      </c>
    </row>
    <row r="56" spans="1:26" hidden="1" x14ac:dyDescent="0.3">
      <c r="A56" s="28">
        <v>45537</v>
      </c>
      <c r="B56" t="s">
        <v>41</v>
      </c>
      <c r="C56" s="3">
        <v>7406</v>
      </c>
      <c r="D56" s="3">
        <v>813</v>
      </c>
      <c r="E56" s="3">
        <v>405141</v>
      </c>
      <c r="F56" s="3">
        <f>YouTube!$C56-YouTube!$D56</f>
        <v>6593</v>
      </c>
      <c r="G56" s="30">
        <v>1.62733468101229E-2</v>
      </c>
      <c r="H56">
        <v>24.457411123534769</v>
      </c>
      <c r="I56" s="31">
        <v>13390</v>
      </c>
      <c r="K56" s="5">
        <v>45537</v>
      </c>
      <c r="L56" t="s">
        <v>41</v>
      </c>
      <c r="M56" s="3">
        <v>6593</v>
      </c>
      <c r="X56" s="5">
        <v>45537</v>
      </c>
      <c r="Z56" s="3">
        <v>405141</v>
      </c>
    </row>
    <row r="57" spans="1:26" hidden="1" x14ac:dyDescent="0.3">
      <c r="A57" s="28">
        <v>45537</v>
      </c>
      <c r="B57" t="s">
        <v>19</v>
      </c>
      <c r="C57" s="3">
        <v>9591</v>
      </c>
      <c r="D57" s="3">
        <v>1363</v>
      </c>
      <c r="E57" s="3">
        <v>413369</v>
      </c>
      <c r="F57" s="3">
        <f>YouTube!$C57-YouTube!$D57</f>
        <v>8228</v>
      </c>
      <c r="G57" s="30">
        <v>1.9904734026983201E-2</v>
      </c>
      <c r="H57">
        <v>10.494255737609739</v>
      </c>
      <c r="I57" s="31">
        <v>15997</v>
      </c>
      <c r="K57" s="5">
        <v>45537</v>
      </c>
      <c r="L57" t="s">
        <v>19</v>
      </c>
      <c r="M57" s="3">
        <v>8228</v>
      </c>
      <c r="X57" s="5">
        <v>45537</v>
      </c>
      <c r="Z57" s="3">
        <v>413369</v>
      </c>
    </row>
    <row r="58" spans="1:26" hidden="1" x14ac:dyDescent="0.3">
      <c r="A58" s="28">
        <v>45544</v>
      </c>
      <c r="B58" t="s">
        <v>23</v>
      </c>
      <c r="C58" s="3">
        <v>7907</v>
      </c>
      <c r="D58" s="3">
        <v>465</v>
      </c>
      <c r="E58" s="3">
        <v>420811</v>
      </c>
      <c r="F58" s="3">
        <f>YouTube!$C58-YouTube!$D58</f>
        <v>7442</v>
      </c>
      <c r="G58" s="30">
        <v>1.76848989213685E-2</v>
      </c>
      <c r="H58">
        <v>33.257448118038738</v>
      </c>
      <c r="I58" s="31">
        <v>22693</v>
      </c>
      <c r="K58" s="5">
        <v>45544</v>
      </c>
      <c r="L58" t="s">
        <v>23</v>
      </c>
      <c r="M58" s="3">
        <v>7442</v>
      </c>
      <c r="X58" s="5">
        <v>45544</v>
      </c>
      <c r="Z58" s="3">
        <v>420811</v>
      </c>
    </row>
    <row r="59" spans="1:26" x14ac:dyDescent="0.3">
      <c r="A59" s="28">
        <v>45544</v>
      </c>
      <c r="B59" t="s">
        <v>14</v>
      </c>
      <c r="C59" s="3">
        <v>9800</v>
      </c>
      <c r="D59" s="3">
        <v>682</v>
      </c>
      <c r="E59" s="3">
        <v>429929</v>
      </c>
      <c r="F59" s="3">
        <f>YouTube!$C59-YouTube!$D59</f>
        <v>9118</v>
      </c>
      <c r="G59" s="30">
        <v>2.1208152974095701E-2</v>
      </c>
      <c r="H59">
        <v>6.2966210699906267</v>
      </c>
      <c r="I59" s="31">
        <v>59815</v>
      </c>
      <c r="K59" s="5">
        <v>45544</v>
      </c>
      <c r="M59" s="3">
        <v>9118</v>
      </c>
      <c r="X59" s="5">
        <v>45544</v>
      </c>
      <c r="Z59" s="3">
        <v>429929</v>
      </c>
    </row>
    <row r="60" spans="1:26" x14ac:dyDescent="0.3">
      <c r="A60" s="28">
        <v>45544</v>
      </c>
      <c r="B60" t="s">
        <v>14</v>
      </c>
      <c r="C60" s="3">
        <v>2638</v>
      </c>
      <c r="D60" s="3">
        <v>143</v>
      </c>
      <c r="E60" s="3">
        <v>432424</v>
      </c>
      <c r="F60" s="3">
        <f>YouTube!$C60-YouTube!$D60</f>
        <v>2495</v>
      </c>
      <c r="G60" s="30">
        <v>5.76980001110022E-3</v>
      </c>
      <c r="H60">
        <v>6.9547481175882924</v>
      </c>
      <c r="I60" s="31">
        <v>52092</v>
      </c>
      <c r="K60" s="5">
        <v>45544</v>
      </c>
      <c r="M60" s="3">
        <v>2495</v>
      </c>
      <c r="X60" s="5">
        <v>45544</v>
      </c>
      <c r="Z60" s="3">
        <v>432424</v>
      </c>
    </row>
    <row r="61" spans="1:26" hidden="1" x14ac:dyDescent="0.3">
      <c r="A61" s="28">
        <v>45544</v>
      </c>
      <c r="B61" t="s">
        <v>19</v>
      </c>
      <c r="C61" s="3">
        <v>6671</v>
      </c>
      <c r="D61" s="3">
        <v>550</v>
      </c>
      <c r="E61" s="3">
        <v>438545</v>
      </c>
      <c r="F61" s="3">
        <f>YouTube!$C61-YouTube!$D61</f>
        <v>6121</v>
      </c>
      <c r="G61" s="30">
        <v>1.3957518612685099E-2</v>
      </c>
      <c r="H61">
        <v>17.750287883797562</v>
      </c>
      <c r="I61" s="31">
        <v>10541</v>
      </c>
      <c r="K61" s="5">
        <v>45544</v>
      </c>
      <c r="L61" t="s">
        <v>19</v>
      </c>
      <c r="M61" s="3">
        <v>6121</v>
      </c>
      <c r="X61" s="5">
        <v>45544</v>
      </c>
      <c r="Z61" s="3">
        <v>438545</v>
      </c>
    </row>
    <row r="62" spans="1:26" x14ac:dyDescent="0.3">
      <c r="A62" s="28">
        <v>45551</v>
      </c>
      <c r="B62" t="s">
        <v>14</v>
      </c>
      <c r="C62" s="3">
        <v>7928</v>
      </c>
      <c r="D62" s="3">
        <v>704</v>
      </c>
      <c r="E62" s="3">
        <v>445769</v>
      </c>
      <c r="F62" s="3">
        <f>YouTube!$C62-YouTube!$D62</f>
        <v>7224</v>
      </c>
      <c r="G62" s="30">
        <v>1.6205702953772001E-2</v>
      </c>
      <c r="H62">
        <v>11.194362999670229</v>
      </c>
      <c r="I62" s="31">
        <v>31817</v>
      </c>
      <c r="K62" s="5">
        <v>45551</v>
      </c>
      <c r="M62" s="3">
        <v>7224</v>
      </c>
      <c r="X62" s="5">
        <v>45551</v>
      </c>
      <c r="Z62" s="3">
        <v>445769</v>
      </c>
    </row>
    <row r="63" spans="1:26" hidden="1" x14ac:dyDescent="0.3">
      <c r="A63" s="28">
        <v>45551</v>
      </c>
      <c r="B63" t="s">
        <v>19</v>
      </c>
      <c r="C63" s="3">
        <v>2382</v>
      </c>
      <c r="D63" s="3">
        <v>183</v>
      </c>
      <c r="E63" s="3">
        <v>447968</v>
      </c>
      <c r="F63" s="3">
        <f>YouTube!$C63-YouTube!$D63</f>
        <v>2199</v>
      </c>
      <c r="G63" s="30">
        <v>4.9088327737695503E-3</v>
      </c>
      <c r="H63">
        <v>4.7335970426459033</v>
      </c>
      <c r="I63" s="31">
        <v>47861</v>
      </c>
      <c r="K63" s="5">
        <v>45551</v>
      </c>
      <c r="L63" t="s">
        <v>19</v>
      </c>
      <c r="M63" s="3">
        <v>2199</v>
      </c>
      <c r="X63" s="5">
        <v>45551</v>
      </c>
      <c r="Z63" s="3">
        <v>447968</v>
      </c>
    </row>
    <row r="64" spans="1:26" x14ac:dyDescent="0.3">
      <c r="A64" s="28">
        <v>45551</v>
      </c>
      <c r="B64" t="s">
        <v>14</v>
      </c>
      <c r="C64" s="3">
        <v>2403</v>
      </c>
      <c r="D64" s="3">
        <v>319</v>
      </c>
      <c r="E64" s="3">
        <v>450052</v>
      </c>
      <c r="F64" s="3">
        <f>YouTube!$C64-YouTube!$D64</f>
        <v>2084</v>
      </c>
      <c r="G64" s="30">
        <v>4.63057602232631E-3</v>
      </c>
      <c r="H64">
        <v>29.92120910472568</v>
      </c>
      <c r="I64" s="31">
        <v>23428</v>
      </c>
      <c r="K64" s="5">
        <v>45551</v>
      </c>
      <c r="M64" s="3">
        <v>2084</v>
      </c>
      <c r="X64" s="5">
        <v>45551</v>
      </c>
      <c r="Z64" s="3">
        <v>450052</v>
      </c>
    </row>
    <row r="65" spans="1:26" hidden="1" x14ac:dyDescent="0.3">
      <c r="A65" s="28">
        <v>45551</v>
      </c>
      <c r="B65" t="s">
        <v>41</v>
      </c>
      <c r="C65" s="3">
        <v>4292</v>
      </c>
      <c r="D65" s="3">
        <v>367</v>
      </c>
      <c r="E65" s="3">
        <v>453977</v>
      </c>
      <c r="F65" s="3">
        <f>YouTube!$C65-YouTube!$D65</f>
        <v>3925</v>
      </c>
      <c r="G65" s="30">
        <v>8.6458124530537899E-3</v>
      </c>
      <c r="H65">
        <v>3.5037017293827661</v>
      </c>
      <c r="I65" s="31">
        <v>53934</v>
      </c>
      <c r="K65" s="5">
        <v>45551</v>
      </c>
      <c r="L65" t="s">
        <v>41</v>
      </c>
      <c r="M65" s="3">
        <v>3925</v>
      </c>
      <c r="X65" s="5">
        <v>45551</v>
      </c>
      <c r="Z65" s="3">
        <v>453977</v>
      </c>
    </row>
    <row r="66" spans="1:26" hidden="1" x14ac:dyDescent="0.3">
      <c r="A66" s="28">
        <v>45558</v>
      </c>
      <c r="B66" t="s">
        <v>23</v>
      </c>
      <c r="C66" s="3">
        <v>1419</v>
      </c>
      <c r="D66" s="3">
        <v>110</v>
      </c>
      <c r="E66" s="3">
        <v>455286</v>
      </c>
      <c r="F66" s="3">
        <f>YouTube!$C66-YouTube!$D66</f>
        <v>1309</v>
      </c>
      <c r="G66" s="30">
        <v>2.8751158612388699E-3</v>
      </c>
      <c r="H66">
        <v>31.554451487636339</v>
      </c>
      <c r="I66" s="31">
        <v>58831</v>
      </c>
      <c r="K66" s="5">
        <v>45558</v>
      </c>
      <c r="L66" t="s">
        <v>23</v>
      </c>
      <c r="M66" s="3">
        <v>1309</v>
      </c>
      <c r="X66" s="5">
        <v>45558</v>
      </c>
      <c r="Z66" s="3">
        <v>455286</v>
      </c>
    </row>
    <row r="67" spans="1:26" hidden="1" x14ac:dyDescent="0.3">
      <c r="A67" s="28">
        <v>45558</v>
      </c>
      <c r="B67" t="s">
        <v>41</v>
      </c>
      <c r="C67" s="3">
        <v>5517</v>
      </c>
      <c r="D67" s="3">
        <v>575</v>
      </c>
      <c r="E67" s="3">
        <v>460228</v>
      </c>
      <c r="F67" s="3">
        <f>YouTube!$C67-YouTube!$D67</f>
        <v>4942</v>
      </c>
      <c r="G67" s="30">
        <v>1.07381558705685E-2</v>
      </c>
      <c r="H67">
        <v>29.45844233727631</v>
      </c>
      <c r="I67" s="31">
        <v>20258</v>
      </c>
      <c r="K67" s="5">
        <v>45558</v>
      </c>
      <c r="L67" t="s">
        <v>41</v>
      </c>
      <c r="M67" s="3">
        <v>4942</v>
      </c>
      <c r="X67" s="5">
        <v>45558</v>
      </c>
      <c r="Z67" s="3">
        <v>460228</v>
      </c>
    </row>
    <row r="68" spans="1:26" hidden="1" x14ac:dyDescent="0.3">
      <c r="A68" s="28">
        <v>45558</v>
      </c>
      <c r="B68" t="s">
        <v>23</v>
      </c>
      <c r="C68" s="3">
        <v>4302</v>
      </c>
      <c r="D68" s="3">
        <v>275</v>
      </c>
      <c r="E68" s="3">
        <v>464255</v>
      </c>
      <c r="F68" s="3">
        <f>YouTube!$C68-YouTube!$D68</f>
        <v>4027</v>
      </c>
      <c r="G68" s="30">
        <v>8.6741122874282404E-3</v>
      </c>
      <c r="H68">
        <v>15.72131694865968</v>
      </c>
      <c r="I68" s="31">
        <v>26044</v>
      </c>
      <c r="K68" s="5">
        <v>45558</v>
      </c>
      <c r="L68" t="s">
        <v>23</v>
      </c>
      <c r="M68" s="3">
        <v>4027</v>
      </c>
      <c r="X68" s="5">
        <v>45558</v>
      </c>
      <c r="Z68" s="3">
        <v>464255</v>
      </c>
    </row>
    <row r="69" spans="1:26" hidden="1" x14ac:dyDescent="0.3">
      <c r="A69" s="28">
        <v>45558</v>
      </c>
      <c r="B69" t="s">
        <v>23</v>
      </c>
      <c r="C69" s="3">
        <v>8857</v>
      </c>
      <c r="D69" s="3">
        <v>1153</v>
      </c>
      <c r="E69" s="3">
        <v>471959</v>
      </c>
      <c r="F69" s="3">
        <f>YouTube!$C69-YouTube!$D69</f>
        <v>7704</v>
      </c>
      <c r="G69" s="30">
        <v>1.6323451825264498E-2</v>
      </c>
      <c r="H69">
        <v>19.214592793018038</v>
      </c>
      <c r="I69" s="31">
        <v>39411</v>
      </c>
      <c r="K69" s="5">
        <v>45558</v>
      </c>
      <c r="L69" t="s">
        <v>23</v>
      </c>
      <c r="M69" s="3">
        <v>7704</v>
      </c>
      <c r="X69" s="5">
        <v>45558</v>
      </c>
      <c r="Z69" s="3">
        <v>471959</v>
      </c>
    </row>
    <row r="70" spans="1:26" hidden="1" x14ac:dyDescent="0.3">
      <c r="A70" s="28">
        <v>45565</v>
      </c>
      <c r="B70" t="s">
        <v>23</v>
      </c>
      <c r="C70" s="3">
        <v>8870</v>
      </c>
      <c r="D70" s="3">
        <v>509</v>
      </c>
      <c r="E70" s="3">
        <v>480320</v>
      </c>
      <c r="F70" s="3">
        <f>YouTube!$C70-YouTube!$D70</f>
        <v>8361</v>
      </c>
      <c r="G70" s="30">
        <v>1.7407145236508999E-2</v>
      </c>
      <c r="H70">
        <v>25.077864756828781</v>
      </c>
      <c r="I70" s="31">
        <v>15469</v>
      </c>
      <c r="K70" s="5">
        <v>45565</v>
      </c>
      <c r="L70" t="s">
        <v>23</v>
      </c>
      <c r="M70" s="3">
        <v>8361</v>
      </c>
      <c r="X70" s="5">
        <v>45565</v>
      </c>
      <c r="Z70" s="3">
        <v>480320</v>
      </c>
    </row>
    <row r="71" spans="1:26" hidden="1" x14ac:dyDescent="0.3">
      <c r="A71" s="28">
        <v>45565</v>
      </c>
      <c r="B71" t="s">
        <v>41</v>
      </c>
      <c r="C71" s="3">
        <v>6693</v>
      </c>
      <c r="D71" s="3">
        <v>995</v>
      </c>
      <c r="E71" s="3">
        <v>486018</v>
      </c>
      <c r="F71" s="3">
        <f>YouTube!$C71-YouTube!$D71</f>
        <v>5698</v>
      </c>
      <c r="G71" s="30">
        <v>1.1723845618886499E-2</v>
      </c>
      <c r="H71">
        <v>23.761877132122681</v>
      </c>
      <c r="I71" s="31">
        <v>38854</v>
      </c>
      <c r="K71" s="5">
        <v>45565</v>
      </c>
      <c r="L71" t="s">
        <v>41</v>
      </c>
      <c r="M71" s="3">
        <v>5698</v>
      </c>
      <c r="X71" s="5">
        <v>45565</v>
      </c>
      <c r="Z71" s="3">
        <v>486018</v>
      </c>
    </row>
    <row r="72" spans="1:26" hidden="1" x14ac:dyDescent="0.3">
      <c r="A72" s="28">
        <v>45565</v>
      </c>
      <c r="B72" t="s">
        <v>23</v>
      </c>
      <c r="C72" s="3">
        <v>1767</v>
      </c>
      <c r="D72" s="3">
        <v>224</v>
      </c>
      <c r="E72" s="3">
        <v>487561</v>
      </c>
      <c r="F72" s="3">
        <f>YouTube!$C72-YouTube!$D72</f>
        <v>1543</v>
      </c>
      <c r="G72" s="30">
        <v>3.1647322078673201E-3</v>
      </c>
      <c r="H72">
        <v>13.208603641390511</v>
      </c>
      <c r="I72" s="31">
        <v>16256</v>
      </c>
      <c r="K72" s="5">
        <v>45565</v>
      </c>
      <c r="L72" t="s">
        <v>23</v>
      </c>
      <c r="M72" s="3">
        <v>1543</v>
      </c>
      <c r="X72" s="5">
        <v>45565</v>
      </c>
      <c r="Z72" s="3">
        <v>487561</v>
      </c>
    </row>
    <row r="73" spans="1:26" hidden="1" x14ac:dyDescent="0.3">
      <c r="A73" s="28">
        <v>45565</v>
      </c>
      <c r="B73" t="s">
        <v>41</v>
      </c>
      <c r="C73" s="3">
        <v>3044</v>
      </c>
      <c r="D73" s="3">
        <v>212</v>
      </c>
      <c r="E73" s="3">
        <v>490393</v>
      </c>
      <c r="F73" s="3">
        <f>YouTube!$C73-YouTube!$D73</f>
        <v>2832</v>
      </c>
      <c r="G73" s="30">
        <v>5.7749600830354396E-3</v>
      </c>
      <c r="H73">
        <v>8.5343795690395261</v>
      </c>
      <c r="I73" s="31">
        <v>20720</v>
      </c>
      <c r="K73" s="5">
        <v>45565</v>
      </c>
      <c r="L73" t="s">
        <v>41</v>
      </c>
      <c r="M73" s="3">
        <v>2832</v>
      </c>
      <c r="X73" s="5">
        <v>45565</v>
      </c>
      <c r="Z73" s="3">
        <v>490393</v>
      </c>
    </row>
    <row r="74" spans="1:26" hidden="1" x14ac:dyDescent="0.3">
      <c r="A74" s="28">
        <v>45572</v>
      </c>
      <c r="B74" t="s">
        <v>19</v>
      </c>
      <c r="C74" s="3">
        <v>2549</v>
      </c>
      <c r="D74" s="3">
        <v>128</v>
      </c>
      <c r="E74" s="3">
        <v>492814</v>
      </c>
      <c r="F74" s="3">
        <f>YouTube!$C74-YouTube!$D74</f>
        <v>2421</v>
      </c>
      <c r="G74" s="30">
        <v>4.9126039438814597E-3</v>
      </c>
      <c r="H74">
        <v>12.734216154573531</v>
      </c>
      <c r="I74" s="31">
        <v>43937</v>
      </c>
      <c r="K74" s="5">
        <v>45572</v>
      </c>
      <c r="L74" t="s">
        <v>19</v>
      </c>
      <c r="M74" s="3">
        <v>2421</v>
      </c>
      <c r="X74" s="5">
        <v>45572</v>
      </c>
      <c r="Z74" s="3">
        <v>492814</v>
      </c>
    </row>
    <row r="75" spans="1:26" x14ac:dyDescent="0.3">
      <c r="A75" s="28">
        <v>45572</v>
      </c>
      <c r="B75" t="s">
        <v>14</v>
      </c>
      <c r="C75" s="3">
        <v>7140</v>
      </c>
      <c r="D75" s="3">
        <v>939</v>
      </c>
      <c r="E75" s="3">
        <v>499015</v>
      </c>
      <c r="F75" s="3">
        <f>YouTube!$C75-YouTube!$D75</f>
        <v>6201</v>
      </c>
      <c r="G75" s="30">
        <v>1.2426480165926901E-2</v>
      </c>
      <c r="H75">
        <v>25.120888149654821</v>
      </c>
      <c r="I75" s="31">
        <v>43598</v>
      </c>
      <c r="K75" s="5">
        <v>45572</v>
      </c>
      <c r="M75" s="3">
        <v>6201</v>
      </c>
      <c r="X75" s="5">
        <v>45572</v>
      </c>
      <c r="Z75" s="3">
        <v>499015</v>
      </c>
    </row>
    <row r="76" spans="1:26" x14ac:dyDescent="0.3">
      <c r="A76" s="28">
        <v>45572</v>
      </c>
      <c r="B76" t="s">
        <v>14</v>
      </c>
      <c r="C76" s="3">
        <v>4716</v>
      </c>
      <c r="D76" s="3">
        <v>569</v>
      </c>
      <c r="E76" s="3">
        <v>503162</v>
      </c>
      <c r="F76" s="3">
        <f>YouTube!$C76-YouTube!$D76</f>
        <v>4147</v>
      </c>
      <c r="G76" s="30">
        <v>8.2418783612434997E-3</v>
      </c>
      <c r="H76">
        <v>25.64820077827817</v>
      </c>
      <c r="I76" s="31">
        <v>11651</v>
      </c>
      <c r="K76" s="5">
        <v>45572</v>
      </c>
      <c r="M76" s="3">
        <v>4147</v>
      </c>
      <c r="X76" s="5">
        <v>45572</v>
      </c>
      <c r="Z76" s="3">
        <v>503162</v>
      </c>
    </row>
    <row r="77" spans="1:26" hidden="1" x14ac:dyDescent="0.3">
      <c r="A77" s="28">
        <v>45572</v>
      </c>
      <c r="B77" t="s">
        <v>23</v>
      </c>
      <c r="C77" s="3">
        <v>5481</v>
      </c>
      <c r="D77" s="3">
        <v>673</v>
      </c>
      <c r="E77" s="3">
        <v>507970</v>
      </c>
      <c r="F77" s="3">
        <f>YouTube!$C77-YouTube!$D77</f>
        <v>4808</v>
      </c>
      <c r="G77" s="30">
        <v>9.4651258932614106E-3</v>
      </c>
      <c r="H77">
        <v>13.08758391243577</v>
      </c>
      <c r="I77" s="31">
        <v>29194</v>
      </c>
      <c r="K77" s="5">
        <v>45572</v>
      </c>
      <c r="L77" t="s">
        <v>23</v>
      </c>
      <c r="M77" s="3">
        <v>4808</v>
      </c>
      <c r="X77" s="5">
        <v>45572</v>
      </c>
      <c r="Z77" s="3">
        <v>507970</v>
      </c>
    </row>
    <row r="78" spans="1:26" hidden="1" x14ac:dyDescent="0.3">
      <c r="A78" s="28">
        <v>45579</v>
      </c>
      <c r="B78" t="s">
        <v>41</v>
      </c>
      <c r="C78" s="3">
        <v>8898</v>
      </c>
      <c r="D78" s="3">
        <v>1131</v>
      </c>
      <c r="E78" s="3">
        <v>515737</v>
      </c>
      <c r="F78" s="3">
        <f>YouTube!$C78-YouTube!$D78</f>
        <v>7767</v>
      </c>
      <c r="G78" s="30">
        <v>1.50600015123988E-2</v>
      </c>
      <c r="H78">
        <v>2.1877429775253669</v>
      </c>
      <c r="I78" s="31">
        <v>35051</v>
      </c>
      <c r="K78" s="5">
        <v>45579</v>
      </c>
      <c r="L78" t="s">
        <v>41</v>
      </c>
      <c r="M78" s="3">
        <v>7767</v>
      </c>
      <c r="X78" s="5">
        <v>45579</v>
      </c>
      <c r="Z78" s="3">
        <v>515737</v>
      </c>
    </row>
    <row r="79" spans="1:26" x14ac:dyDescent="0.3">
      <c r="A79" s="28">
        <v>45579</v>
      </c>
      <c r="B79" t="s">
        <v>14</v>
      </c>
      <c r="C79" s="3">
        <v>7548</v>
      </c>
      <c r="D79" s="3">
        <v>433</v>
      </c>
      <c r="E79" s="3">
        <v>522852</v>
      </c>
      <c r="F79" s="3">
        <f>YouTube!$C79-YouTube!$D79</f>
        <v>7115</v>
      </c>
      <c r="G79" s="30">
        <v>1.36080573470122E-2</v>
      </c>
      <c r="H79">
        <v>8.3562843787534522</v>
      </c>
      <c r="I79" s="31">
        <v>37386</v>
      </c>
      <c r="K79" s="5">
        <v>45579</v>
      </c>
      <c r="M79" s="3">
        <v>7115</v>
      </c>
      <c r="X79" s="5">
        <v>45579</v>
      </c>
      <c r="Z79" s="3">
        <v>522852</v>
      </c>
    </row>
    <row r="80" spans="1:26" hidden="1" x14ac:dyDescent="0.3">
      <c r="A80" s="28">
        <v>45579</v>
      </c>
      <c r="B80" t="s">
        <v>41</v>
      </c>
      <c r="C80" s="3">
        <v>3293</v>
      </c>
      <c r="D80" s="3">
        <v>282</v>
      </c>
      <c r="E80" s="3">
        <v>525863</v>
      </c>
      <c r="F80" s="3">
        <f>YouTube!$C80-YouTube!$D80</f>
        <v>3011</v>
      </c>
      <c r="G80" s="30">
        <v>5.7258259280459E-3</v>
      </c>
      <c r="H80">
        <v>27.040693108281051</v>
      </c>
      <c r="I80" s="31">
        <v>19518</v>
      </c>
      <c r="K80" s="5">
        <v>45579</v>
      </c>
      <c r="L80" t="s">
        <v>41</v>
      </c>
      <c r="M80" s="3">
        <v>3011</v>
      </c>
      <c r="X80" s="5">
        <v>45579</v>
      </c>
      <c r="Z80" s="3">
        <v>525863</v>
      </c>
    </row>
    <row r="81" spans="1:26" hidden="1" x14ac:dyDescent="0.3">
      <c r="A81" s="28">
        <v>45579</v>
      </c>
      <c r="B81" t="s">
        <v>41</v>
      </c>
      <c r="C81" s="3">
        <v>5837</v>
      </c>
      <c r="D81" s="3">
        <v>359</v>
      </c>
      <c r="E81" s="3">
        <v>531341</v>
      </c>
      <c r="F81" s="3">
        <f>YouTube!$C81-YouTube!$D81</f>
        <v>5478</v>
      </c>
      <c r="G81" s="30">
        <v>1.03097634099383E-2</v>
      </c>
      <c r="H81">
        <v>6.8073045370110723</v>
      </c>
      <c r="I81" s="31">
        <v>56026</v>
      </c>
      <c r="K81" s="5">
        <v>45579</v>
      </c>
      <c r="L81" t="s">
        <v>41</v>
      </c>
      <c r="M81" s="3">
        <v>5478</v>
      </c>
      <c r="X81" s="5">
        <v>45579</v>
      </c>
      <c r="Z81" s="3">
        <v>531341</v>
      </c>
    </row>
    <row r="82" spans="1:26" hidden="1" x14ac:dyDescent="0.3">
      <c r="A82" s="28">
        <v>45586</v>
      </c>
      <c r="B82" t="s">
        <v>23</v>
      </c>
      <c r="C82" s="3">
        <v>8758</v>
      </c>
      <c r="D82" s="3">
        <v>1193</v>
      </c>
      <c r="E82" s="3">
        <v>538906</v>
      </c>
      <c r="F82" s="3">
        <f>YouTube!$C82-YouTube!$D82</f>
        <v>7565</v>
      </c>
      <c r="G82" s="30">
        <v>1.40376985967868E-2</v>
      </c>
      <c r="H82">
        <v>3.4213758985797149</v>
      </c>
      <c r="I82" s="31">
        <v>26184</v>
      </c>
      <c r="K82" s="5">
        <v>45586</v>
      </c>
      <c r="L82" t="s">
        <v>23</v>
      </c>
      <c r="M82" s="3">
        <v>7565</v>
      </c>
      <c r="X82" s="5">
        <v>45586</v>
      </c>
      <c r="Z82" s="3">
        <v>538906</v>
      </c>
    </row>
    <row r="83" spans="1:26" x14ac:dyDescent="0.3">
      <c r="A83" s="28">
        <v>45586</v>
      </c>
      <c r="B83" t="s">
        <v>14</v>
      </c>
      <c r="C83" s="3">
        <v>7793</v>
      </c>
      <c r="D83" s="3">
        <v>875</v>
      </c>
      <c r="E83" s="3">
        <v>545824</v>
      </c>
      <c r="F83" s="3">
        <f>YouTube!$C83-YouTube!$D83</f>
        <v>6918</v>
      </c>
      <c r="G83" s="30">
        <v>1.26744151961072E-2</v>
      </c>
      <c r="H83">
        <v>5.5136820660139527</v>
      </c>
      <c r="I83" s="31">
        <v>43787</v>
      </c>
      <c r="K83" s="5">
        <v>45586</v>
      </c>
      <c r="M83" s="3">
        <v>6918</v>
      </c>
      <c r="X83" s="5">
        <v>45586</v>
      </c>
      <c r="Z83" s="3">
        <v>545824</v>
      </c>
    </row>
    <row r="84" spans="1:26" hidden="1" x14ac:dyDescent="0.3">
      <c r="A84" s="28">
        <v>45586</v>
      </c>
      <c r="B84" t="s">
        <v>23</v>
      </c>
      <c r="C84" s="3">
        <v>8638</v>
      </c>
      <c r="D84" s="3">
        <v>717</v>
      </c>
      <c r="E84" s="3">
        <v>553745</v>
      </c>
      <c r="F84" s="3">
        <f>YouTube!$C84-YouTube!$D84</f>
        <v>7921</v>
      </c>
      <c r="G84" s="30">
        <v>1.4304418098583301E-2</v>
      </c>
      <c r="H84">
        <v>26.921416897669499</v>
      </c>
      <c r="I84" s="31">
        <v>31621</v>
      </c>
      <c r="K84" s="5">
        <v>45586</v>
      </c>
      <c r="L84" t="s">
        <v>23</v>
      </c>
      <c r="M84" s="3">
        <v>7921</v>
      </c>
      <c r="X84" s="5">
        <v>45586</v>
      </c>
      <c r="Z84" s="3">
        <v>553745</v>
      </c>
    </row>
    <row r="85" spans="1:26" hidden="1" x14ac:dyDescent="0.3">
      <c r="A85" s="28">
        <v>45586</v>
      </c>
      <c r="B85" t="s">
        <v>23</v>
      </c>
      <c r="C85" s="3">
        <v>8993</v>
      </c>
      <c r="D85" s="3">
        <v>506</v>
      </c>
      <c r="E85" s="3">
        <v>562232</v>
      </c>
      <c r="F85" s="3">
        <f>YouTube!$C85-YouTube!$D85</f>
        <v>8487</v>
      </c>
      <c r="G85" s="30">
        <v>1.5095192020375899E-2</v>
      </c>
      <c r="H85">
        <v>3.5131404829323132</v>
      </c>
      <c r="I85" s="31">
        <v>20028</v>
      </c>
      <c r="K85" s="5">
        <v>45586</v>
      </c>
      <c r="L85" t="s">
        <v>23</v>
      </c>
      <c r="M85" s="3">
        <v>8487</v>
      </c>
      <c r="X85" s="5">
        <v>45586</v>
      </c>
      <c r="Z85" s="3">
        <v>562232</v>
      </c>
    </row>
    <row r="86" spans="1:26" x14ac:dyDescent="0.3">
      <c r="A86" s="28">
        <v>45593</v>
      </c>
      <c r="B86" t="s">
        <v>14</v>
      </c>
      <c r="C86" s="3">
        <v>7007</v>
      </c>
      <c r="D86" s="3">
        <v>568</v>
      </c>
      <c r="E86" s="3">
        <v>568671</v>
      </c>
      <c r="F86" s="3">
        <f>YouTube!$C86-YouTube!$D86</f>
        <v>6439</v>
      </c>
      <c r="G86" s="30">
        <v>1.13228914433829E-2</v>
      </c>
      <c r="H86">
        <v>11.50507059442103</v>
      </c>
      <c r="I86" s="31">
        <v>22448</v>
      </c>
      <c r="K86" s="5">
        <v>45593</v>
      </c>
      <c r="M86" s="3">
        <v>6439</v>
      </c>
      <c r="X86" s="5">
        <v>45593</v>
      </c>
      <c r="Z86" s="3">
        <v>568671</v>
      </c>
    </row>
    <row r="87" spans="1:26" x14ac:dyDescent="0.3">
      <c r="A87" s="28">
        <v>45593</v>
      </c>
      <c r="B87" t="s">
        <v>14</v>
      </c>
      <c r="C87" s="3">
        <v>6542</v>
      </c>
      <c r="D87" s="3">
        <v>539</v>
      </c>
      <c r="E87" s="3">
        <v>574674</v>
      </c>
      <c r="F87" s="3">
        <f>YouTube!$C87-YouTube!$D87</f>
        <v>6003</v>
      </c>
      <c r="G87" s="30">
        <v>1.04459223838211E-2</v>
      </c>
      <c r="H87">
        <v>6.4069368024305948</v>
      </c>
      <c r="I87" s="31">
        <v>55253</v>
      </c>
      <c r="K87" s="5">
        <v>45593</v>
      </c>
      <c r="M87" s="3">
        <v>6003</v>
      </c>
      <c r="X87" s="5">
        <v>45593</v>
      </c>
      <c r="Z87" s="3">
        <v>574674</v>
      </c>
    </row>
    <row r="88" spans="1:26" hidden="1" x14ac:dyDescent="0.3">
      <c r="A88" s="28">
        <v>45593</v>
      </c>
      <c r="B88" t="s">
        <v>19</v>
      </c>
      <c r="C88" s="3">
        <v>7356</v>
      </c>
      <c r="D88" s="3">
        <v>904</v>
      </c>
      <c r="E88" s="3">
        <v>581126</v>
      </c>
      <c r="F88" s="3">
        <f>YouTube!$C88-YouTube!$D88</f>
        <v>6452</v>
      </c>
      <c r="G88" s="30">
        <v>1.1102583604932501E-2</v>
      </c>
      <c r="H88">
        <v>17.560907617280929</v>
      </c>
      <c r="I88" s="31">
        <v>44051</v>
      </c>
      <c r="K88" s="5">
        <v>45593</v>
      </c>
      <c r="L88" t="s">
        <v>19</v>
      </c>
      <c r="M88" s="3">
        <v>6452</v>
      </c>
      <c r="X88" s="5">
        <v>45593</v>
      </c>
      <c r="Z88" s="3">
        <v>581126</v>
      </c>
    </row>
    <row r="89" spans="1:26" hidden="1" x14ac:dyDescent="0.3">
      <c r="A89" s="28">
        <v>45593</v>
      </c>
      <c r="B89" t="s">
        <v>19</v>
      </c>
      <c r="C89" s="3">
        <v>9433</v>
      </c>
      <c r="D89" s="3">
        <v>1073</v>
      </c>
      <c r="E89" s="3">
        <v>589486</v>
      </c>
      <c r="F89" s="3">
        <f>YouTube!$C89-YouTube!$D89</f>
        <v>8360</v>
      </c>
      <c r="G89" s="30">
        <v>1.4181846557848699E-2</v>
      </c>
      <c r="H89">
        <v>7.2934726185185053</v>
      </c>
      <c r="I89" s="31">
        <v>59811</v>
      </c>
      <c r="K89" s="5">
        <v>45593</v>
      </c>
      <c r="L89" t="s">
        <v>19</v>
      </c>
      <c r="M89" s="3">
        <v>8360</v>
      </c>
      <c r="X89" s="5">
        <v>45593</v>
      </c>
      <c r="Z89" s="3">
        <v>589486</v>
      </c>
    </row>
    <row r="90" spans="1:26" hidden="1" x14ac:dyDescent="0.3">
      <c r="A90" s="28">
        <v>45600</v>
      </c>
      <c r="B90" t="s">
        <v>41</v>
      </c>
      <c r="C90" s="3">
        <v>8380</v>
      </c>
      <c r="D90" s="3">
        <v>1162</v>
      </c>
      <c r="E90" s="3">
        <v>596704</v>
      </c>
      <c r="F90" s="3">
        <f>YouTube!$C90-YouTube!$D90</f>
        <v>7218</v>
      </c>
      <c r="G90" s="30">
        <v>1.2096449831072E-2</v>
      </c>
      <c r="H90">
        <v>18.05853488496809</v>
      </c>
      <c r="I90" s="31">
        <v>40447</v>
      </c>
      <c r="K90" s="5">
        <v>45600</v>
      </c>
      <c r="L90" t="s">
        <v>41</v>
      </c>
      <c r="M90" s="3">
        <v>7218</v>
      </c>
      <c r="X90" s="5">
        <v>45600</v>
      </c>
      <c r="Z90" s="3">
        <v>596704</v>
      </c>
    </row>
    <row r="91" spans="1:26" x14ac:dyDescent="0.3">
      <c r="A91" s="28">
        <v>45600</v>
      </c>
      <c r="B91" t="s">
        <v>14</v>
      </c>
      <c r="C91" s="3">
        <v>3385</v>
      </c>
      <c r="D91" s="3">
        <v>329</v>
      </c>
      <c r="E91" s="3">
        <v>599760</v>
      </c>
      <c r="F91" s="3">
        <f>YouTube!$C91-YouTube!$D91</f>
        <v>3056</v>
      </c>
      <c r="G91" s="30">
        <v>5.0953714819261002E-3</v>
      </c>
      <c r="H91">
        <v>17.61788048552755</v>
      </c>
      <c r="I91" s="31">
        <v>28394</v>
      </c>
      <c r="K91" s="5">
        <v>45600</v>
      </c>
      <c r="M91" s="3">
        <v>3056</v>
      </c>
      <c r="X91" s="5">
        <v>45600</v>
      </c>
      <c r="Z91" s="3">
        <v>599760</v>
      </c>
    </row>
    <row r="92" spans="1:26" hidden="1" x14ac:dyDescent="0.3">
      <c r="A92" s="28">
        <v>45600</v>
      </c>
      <c r="B92" t="s">
        <v>19</v>
      </c>
      <c r="C92" s="3">
        <v>5268</v>
      </c>
      <c r="D92" s="3">
        <v>326</v>
      </c>
      <c r="E92" s="3">
        <v>604702</v>
      </c>
      <c r="F92" s="3">
        <f>YouTube!$C92-YouTube!$D92</f>
        <v>4942</v>
      </c>
      <c r="G92" s="30">
        <v>8.17262056351724E-3</v>
      </c>
      <c r="H92">
        <v>23.435841125050029</v>
      </c>
      <c r="I92" s="31">
        <v>44501</v>
      </c>
      <c r="K92" s="5">
        <v>45600</v>
      </c>
      <c r="L92" t="s">
        <v>19</v>
      </c>
      <c r="M92" s="3">
        <v>4942</v>
      </c>
      <c r="X92" s="5">
        <v>45600</v>
      </c>
      <c r="Z92" s="3">
        <v>604702</v>
      </c>
    </row>
    <row r="93" spans="1:26" hidden="1" x14ac:dyDescent="0.3">
      <c r="A93" s="28">
        <v>45600</v>
      </c>
      <c r="B93" t="s">
        <v>41</v>
      </c>
      <c r="C93" s="3">
        <v>1671</v>
      </c>
      <c r="D93" s="3">
        <v>202</v>
      </c>
      <c r="E93" s="3">
        <v>606171</v>
      </c>
      <c r="F93" s="3">
        <f>YouTube!$C93-YouTube!$D93</f>
        <v>1469</v>
      </c>
      <c r="G93" s="30">
        <v>2.42340857612786E-3</v>
      </c>
      <c r="H93">
        <v>15.150015424690389</v>
      </c>
      <c r="I93" s="31">
        <v>40254</v>
      </c>
      <c r="K93" s="5">
        <v>45600</v>
      </c>
      <c r="L93" t="s">
        <v>41</v>
      </c>
      <c r="M93" s="3">
        <v>1469</v>
      </c>
      <c r="X93" s="5">
        <v>45600</v>
      </c>
      <c r="Z93" s="3">
        <v>606171</v>
      </c>
    </row>
    <row r="94" spans="1:26" hidden="1" x14ac:dyDescent="0.3">
      <c r="A94" s="28">
        <v>45607</v>
      </c>
      <c r="B94" t="s">
        <v>41</v>
      </c>
      <c r="C94" s="3">
        <v>1163</v>
      </c>
      <c r="D94" s="3">
        <v>146</v>
      </c>
      <c r="E94" s="3">
        <v>607188</v>
      </c>
      <c r="F94" s="3">
        <f>YouTube!$C94-YouTube!$D94</f>
        <v>1017</v>
      </c>
      <c r="G94" s="30">
        <v>1.6749342872388799E-3</v>
      </c>
      <c r="H94">
        <v>21.77776899411715</v>
      </c>
      <c r="I94" s="31">
        <v>28509</v>
      </c>
      <c r="K94" s="5">
        <v>45607</v>
      </c>
      <c r="L94" t="s">
        <v>41</v>
      </c>
      <c r="M94" s="3">
        <v>1017</v>
      </c>
      <c r="X94" s="5">
        <v>45607</v>
      </c>
      <c r="Z94" s="3">
        <v>607188</v>
      </c>
    </row>
    <row r="95" spans="1:26" hidden="1" x14ac:dyDescent="0.3">
      <c r="A95" s="28">
        <v>45607</v>
      </c>
      <c r="B95" t="s">
        <v>41</v>
      </c>
      <c r="C95" s="3">
        <v>9656</v>
      </c>
      <c r="D95" s="3">
        <v>1024</v>
      </c>
      <c r="E95" s="3">
        <v>615820</v>
      </c>
      <c r="F95" s="3">
        <f>YouTube!$C95-YouTube!$D95</f>
        <v>8632</v>
      </c>
      <c r="G95" s="30">
        <v>1.40170829138385E-2</v>
      </c>
      <c r="H95">
        <v>8.7252768666168681</v>
      </c>
      <c r="I95" s="31">
        <v>58998</v>
      </c>
      <c r="K95" s="5">
        <v>45607</v>
      </c>
      <c r="L95" t="s">
        <v>41</v>
      </c>
      <c r="M95" s="3">
        <v>8632</v>
      </c>
      <c r="X95" s="5">
        <v>45607</v>
      </c>
      <c r="Z95" s="3">
        <v>615820</v>
      </c>
    </row>
    <row r="96" spans="1:26" hidden="1" x14ac:dyDescent="0.3">
      <c r="A96" s="28">
        <v>45607</v>
      </c>
      <c r="B96" t="s">
        <v>19</v>
      </c>
      <c r="C96" s="3">
        <v>5592</v>
      </c>
      <c r="D96" s="3">
        <v>710</v>
      </c>
      <c r="E96" s="3">
        <v>620702</v>
      </c>
      <c r="F96" s="3">
        <f>YouTube!$C96-YouTube!$D96</f>
        <v>4882</v>
      </c>
      <c r="G96" s="30">
        <v>7.86528801260508E-3</v>
      </c>
      <c r="H96">
        <v>9.07118069540617</v>
      </c>
      <c r="I96" s="31">
        <v>24472</v>
      </c>
      <c r="K96" s="5">
        <v>45607</v>
      </c>
      <c r="L96" t="s">
        <v>19</v>
      </c>
      <c r="M96" s="3">
        <v>4882</v>
      </c>
      <c r="X96" s="5">
        <v>45607</v>
      </c>
      <c r="Z96" s="3">
        <v>620702</v>
      </c>
    </row>
    <row r="97" spans="1:26" x14ac:dyDescent="0.3">
      <c r="A97" s="28">
        <v>45607</v>
      </c>
      <c r="B97" t="s">
        <v>14</v>
      </c>
      <c r="C97" s="3">
        <v>5795</v>
      </c>
      <c r="D97" s="3">
        <v>575</v>
      </c>
      <c r="E97" s="3">
        <v>625922</v>
      </c>
      <c r="F97" s="3">
        <f>YouTube!$C97-YouTube!$D97</f>
        <v>5220</v>
      </c>
      <c r="G97" s="30">
        <v>8.3396972785746391E-3</v>
      </c>
      <c r="H97">
        <v>3.0908004511744269</v>
      </c>
      <c r="I97" s="31">
        <v>55657</v>
      </c>
      <c r="K97" s="5">
        <v>45607</v>
      </c>
      <c r="M97" s="3">
        <v>5220</v>
      </c>
      <c r="X97" s="5">
        <v>45607</v>
      </c>
      <c r="Z97" s="3">
        <v>625922</v>
      </c>
    </row>
    <row r="98" spans="1:26" hidden="1" x14ac:dyDescent="0.3">
      <c r="A98" s="28">
        <v>45614</v>
      </c>
      <c r="B98" t="s">
        <v>23</v>
      </c>
      <c r="C98" s="3">
        <v>5798</v>
      </c>
      <c r="D98" s="3">
        <v>592</v>
      </c>
      <c r="E98" s="3">
        <v>631128</v>
      </c>
      <c r="F98" s="3">
        <f>YouTube!$C98-YouTube!$D98</f>
        <v>5206</v>
      </c>
      <c r="G98" s="30">
        <v>8.2487229214992797E-3</v>
      </c>
      <c r="H98">
        <v>1.6774727155188811</v>
      </c>
      <c r="I98" s="31">
        <v>13471</v>
      </c>
      <c r="K98" s="5">
        <v>45614</v>
      </c>
      <c r="L98" t="s">
        <v>23</v>
      </c>
      <c r="M98" s="3">
        <v>5206</v>
      </c>
      <c r="X98" s="5">
        <v>45614</v>
      </c>
      <c r="Z98" s="3">
        <v>631128</v>
      </c>
    </row>
    <row r="99" spans="1:26" hidden="1" x14ac:dyDescent="0.3">
      <c r="A99" s="28">
        <v>45614</v>
      </c>
      <c r="B99" t="s">
        <v>41</v>
      </c>
      <c r="C99" s="3">
        <v>7036</v>
      </c>
      <c r="D99" s="3">
        <v>652</v>
      </c>
      <c r="E99" s="3">
        <v>637512</v>
      </c>
      <c r="F99" s="3">
        <f>YouTube!$C99-YouTube!$D99</f>
        <v>6384</v>
      </c>
      <c r="G99" s="30">
        <v>1.00139291495689E-2</v>
      </c>
      <c r="H99">
        <v>3.5705994553828009</v>
      </c>
      <c r="I99" s="31">
        <v>51796</v>
      </c>
      <c r="K99" s="5">
        <v>45614</v>
      </c>
      <c r="L99" t="s">
        <v>41</v>
      </c>
      <c r="M99" s="3">
        <v>6384</v>
      </c>
      <c r="X99" s="5">
        <v>45614</v>
      </c>
      <c r="Z99" s="3">
        <v>637512</v>
      </c>
    </row>
    <row r="100" spans="1:26" hidden="1" x14ac:dyDescent="0.3">
      <c r="A100" s="28">
        <v>45614</v>
      </c>
      <c r="B100" t="s">
        <v>19</v>
      </c>
      <c r="C100" s="3">
        <v>3355</v>
      </c>
      <c r="D100" s="3">
        <v>176</v>
      </c>
      <c r="E100" s="3">
        <v>640691</v>
      </c>
      <c r="F100" s="3">
        <f>YouTube!$C100-YouTube!$D100</f>
        <v>3179</v>
      </c>
      <c r="G100" s="30">
        <v>4.96183027387618E-3</v>
      </c>
      <c r="H100">
        <v>12.426427091999111</v>
      </c>
      <c r="I100" s="31">
        <v>40268</v>
      </c>
      <c r="K100" s="5">
        <v>45614</v>
      </c>
      <c r="L100" t="s">
        <v>19</v>
      </c>
      <c r="M100" s="3">
        <v>3179</v>
      </c>
      <c r="X100" s="5">
        <v>45614</v>
      </c>
      <c r="Z100" s="3">
        <v>640691</v>
      </c>
    </row>
    <row r="101" spans="1:26" hidden="1" x14ac:dyDescent="0.3">
      <c r="A101" s="28">
        <v>45614</v>
      </c>
      <c r="B101" t="s">
        <v>19</v>
      </c>
      <c r="C101" s="3">
        <v>6887</v>
      </c>
      <c r="D101" s="3">
        <v>418</v>
      </c>
      <c r="E101" s="3">
        <v>647160</v>
      </c>
      <c r="F101" s="3">
        <f>YouTube!$C101-YouTube!$D101</f>
        <v>6469</v>
      </c>
      <c r="G101" s="30">
        <v>9.9959824463811096E-3</v>
      </c>
      <c r="H101">
        <v>20.240280610668151</v>
      </c>
      <c r="I101" s="31">
        <v>18329</v>
      </c>
      <c r="K101" s="5">
        <v>45614</v>
      </c>
      <c r="L101" t="s">
        <v>19</v>
      </c>
      <c r="M101" s="3">
        <v>6469</v>
      </c>
      <c r="X101" s="5">
        <v>45614</v>
      </c>
      <c r="Z101" s="3">
        <v>647160</v>
      </c>
    </row>
    <row r="102" spans="1:26" hidden="1" x14ac:dyDescent="0.3">
      <c r="A102" s="28">
        <v>45621</v>
      </c>
      <c r="B102" t="s">
        <v>23</v>
      </c>
      <c r="C102" s="3">
        <v>8961</v>
      </c>
      <c r="D102" s="3">
        <v>476</v>
      </c>
      <c r="E102" s="3">
        <v>655645</v>
      </c>
      <c r="F102" s="3">
        <f>YouTube!$C102-YouTube!$D102</f>
        <v>8485</v>
      </c>
      <c r="G102" s="30">
        <v>1.29414545981438E-2</v>
      </c>
      <c r="H102">
        <v>15.458517947974901</v>
      </c>
      <c r="I102" s="31">
        <v>44865</v>
      </c>
      <c r="K102" s="5">
        <v>45621</v>
      </c>
      <c r="L102" t="s">
        <v>23</v>
      </c>
      <c r="M102" s="3">
        <v>8485</v>
      </c>
      <c r="X102" s="5">
        <v>45621</v>
      </c>
      <c r="Z102" s="3">
        <v>655645</v>
      </c>
    </row>
    <row r="103" spans="1:26" hidden="1" x14ac:dyDescent="0.3">
      <c r="A103" s="28">
        <v>45621</v>
      </c>
      <c r="B103" t="s">
        <v>23</v>
      </c>
      <c r="C103" s="3">
        <v>6827</v>
      </c>
      <c r="D103" s="3">
        <v>775</v>
      </c>
      <c r="E103" s="3">
        <v>661697</v>
      </c>
      <c r="F103" s="3">
        <f>YouTube!$C103-YouTube!$D103</f>
        <v>6052</v>
      </c>
      <c r="G103" s="30">
        <v>9.1461802003031598E-3</v>
      </c>
      <c r="H103">
        <v>15.96622018839439</v>
      </c>
      <c r="I103" s="31">
        <v>56850</v>
      </c>
      <c r="K103" s="5">
        <v>45621</v>
      </c>
      <c r="L103" t="s">
        <v>23</v>
      </c>
      <c r="M103" s="3">
        <v>6052</v>
      </c>
      <c r="X103" s="5">
        <v>45621</v>
      </c>
      <c r="Z103" s="3">
        <v>661697</v>
      </c>
    </row>
    <row r="104" spans="1:26" hidden="1" x14ac:dyDescent="0.3">
      <c r="A104" s="28">
        <v>45621</v>
      </c>
      <c r="B104" t="s">
        <v>19</v>
      </c>
      <c r="C104" s="3">
        <v>9737</v>
      </c>
      <c r="D104" s="3">
        <v>792</v>
      </c>
      <c r="E104" s="3">
        <v>670642</v>
      </c>
      <c r="F104" s="3">
        <f>YouTube!$C104-YouTube!$D104</f>
        <v>8945</v>
      </c>
      <c r="G104" s="30">
        <v>1.33379657104685E-2</v>
      </c>
      <c r="H104">
        <v>5.301785453341723</v>
      </c>
      <c r="I104" s="31">
        <v>56698</v>
      </c>
      <c r="K104" s="5">
        <v>45621</v>
      </c>
      <c r="L104" t="s">
        <v>19</v>
      </c>
      <c r="M104" s="3">
        <v>8945</v>
      </c>
      <c r="X104" s="5">
        <v>45621</v>
      </c>
      <c r="Z104" s="3">
        <v>670642</v>
      </c>
    </row>
    <row r="105" spans="1:26" x14ac:dyDescent="0.3">
      <c r="A105" s="28">
        <v>45621</v>
      </c>
      <c r="B105" t="s">
        <v>14</v>
      </c>
      <c r="C105" s="3">
        <v>5719</v>
      </c>
      <c r="D105" s="3">
        <v>576</v>
      </c>
      <c r="E105" s="3">
        <v>675785</v>
      </c>
      <c r="F105" s="3">
        <f>YouTube!$C105-YouTube!$D105</f>
        <v>5143</v>
      </c>
      <c r="G105" s="30">
        <v>7.6104086358827197E-3</v>
      </c>
      <c r="H105">
        <v>10.21656296011305</v>
      </c>
      <c r="I105" s="31">
        <v>38272</v>
      </c>
      <c r="K105" s="5">
        <v>45621</v>
      </c>
      <c r="M105" s="3">
        <v>5143</v>
      </c>
      <c r="X105" s="5">
        <v>45621</v>
      </c>
      <c r="Z105" s="3">
        <v>675785</v>
      </c>
    </row>
    <row r="106" spans="1:26" hidden="1" x14ac:dyDescent="0.3">
      <c r="A106" s="28">
        <v>45628</v>
      </c>
      <c r="B106" t="s">
        <v>23</v>
      </c>
      <c r="C106" s="3">
        <v>1593</v>
      </c>
      <c r="D106" s="3">
        <v>224</v>
      </c>
      <c r="E106" s="3">
        <v>677154</v>
      </c>
      <c r="F106" s="3">
        <f>YouTube!$C106-YouTube!$D106</f>
        <v>1369</v>
      </c>
      <c r="G106" s="30">
        <v>2.0216966893793699E-3</v>
      </c>
      <c r="H106">
        <v>4.1495730660972248</v>
      </c>
      <c r="I106" s="31">
        <v>52845</v>
      </c>
      <c r="K106" s="5">
        <v>45628</v>
      </c>
      <c r="L106" t="s">
        <v>23</v>
      </c>
      <c r="M106" s="3">
        <v>1369</v>
      </c>
      <c r="X106" s="5">
        <v>45628</v>
      </c>
      <c r="Z106" s="3">
        <v>677154</v>
      </c>
    </row>
    <row r="107" spans="1:26" hidden="1" x14ac:dyDescent="0.3">
      <c r="A107" s="28">
        <v>45628</v>
      </c>
      <c r="B107" t="s">
        <v>19</v>
      </c>
      <c r="C107" s="3">
        <v>5839</v>
      </c>
      <c r="D107" s="3">
        <v>437</v>
      </c>
      <c r="E107" s="3">
        <v>682556</v>
      </c>
      <c r="F107" s="3">
        <f>YouTube!$C107-YouTube!$D107</f>
        <v>5402</v>
      </c>
      <c r="G107" s="30">
        <v>7.9143689309009099E-3</v>
      </c>
      <c r="H107">
        <v>17.44750613869045</v>
      </c>
      <c r="I107" s="31">
        <v>16397</v>
      </c>
      <c r="K107" s="5">
        <v>45628</v>
      </c>
      <c r="L107" t="s">
        <v>19</v>
      </c>
      <c r="M107" s="3">
        <v>5402</v>
      </c>
      <c r="X107" s="5">
        <v>45628</v>
      </c>
      <c r="Z107" s="3">
        <v>682556</v>
      </c>
    </row>
    <row r="108" spans="1:26" hidden="1" x14ac:dyDescent="0.3">
      <c r="A108" s="28">
        <v>45628</v>
      </c>
      <c r="B108" t="s">
        <v>23</v>
      </c>
      <c r="C108" s="3">
        <v>8394</v>
      </c>
      <c r="D108" s="3">
        <v>764</v>
      </c>
      <c r="E108" s="3">
        <v>690186</v>
      </c>
      <c r="F108" s="3">
        <f>YouTube!$C108-YouTube!$D108</f>
        <v>7630</v>
      </c>
      <c r="G108" s="30">
        <v>1.10549909734477E-2</v>
      </c>
      <c r="H108">
        <v>6.3556780346167558</v>
      </c>
      <c r="I108" s="31">
        <v>42373</v>
      </c>
      <c r="K108" s="5">
        <v>45628</v>
      </c>
      <c r="L108" t="s">
        <v>23</v>
      </c>
      <c r="M108" s="3">
        <v>7630</v>
      </c>
      <c r="X108" s="5">
        <v>45628</v>
      </c>
      <c r="Z108" s="3">
        <v>690186</v>
      </c>
    </row>
    <row r="109" spans="1:26" x14ac:dyDescent="0.3">
      <c r="A109" s="28">
        <v>45628</v>
      </c>
      <c r="B109" t="s">
        <v>14</v>
      </c>
      <c r="C109" s="3">
        <v>4493</v>
      </c>
      <c r="D109" s="3">
        <v>564</v>
      </c>
      <c r="E109" s="3">
        <v>694115</v>
      </c>
      <c r="F109" s="3">
        <f>YouTube!$C109-YouTube!$D109</f>
        <v>3929</v>
      </c>
      <c r="G109" s="30">
        <v>5.6604453152575597E-3</v>
      </c>
      <c r="H109">
        <v>16.625487131094989</v>
      </c>
      <c r="I109" s="31">
        <v>45525</v>
      </c>
      <c r="K109" s="5">
        <v>45628</v>
      </c>
      <c r="M109" s="3">
        <v>3929</v>
      </c>
      <c r="X109" s="5">
        <v>45628</v>
      </c>
      <c r="Z109" s="3">
        <v>694115</v>
      </c>
    </row>
    <row r="110" spans="1:26" hidden="1" x14ac:dyDescent="0.3">
      <c r="A110" s="28">
        <v>45635</v>
      </c>
      <c r="B110" t="s">
        <v>41</v>
      </c>
      <c r="C110" s="3">
        <v>7164</v>
      </c>
      <c r="D110" s="3">
        <v>522</v>
      </c>
      <c r="E110" s="3">
        <v>700757</v>
      </c>
      <c r="F110" s="3">
        <f>YouTube!$C110-YouTube!$D110</f>
        <v>6642</v>
      </c>
      <c r="G110" s="30">
        <v>9.4783213011072308E-3</v>
      </c>
      <c r="H110">
        <v>13.449169969047761</v>
      </c>
      <c r="I110" s="31">
        <v>34570</v>
      </c>
      <c r="K110" s="5">
        <v>45635</v>
      </c>
      <c r="L110" t="s">
        <v>41</v>
      </c>
      <c r="M110" s="3">
        <v>6642</v>
      </c>
      <c r="X110" s="5">
        <v>45635</v>
      </c>
      <c r="Z110" s="3">
        <v>700757</v>
      </c>
    </row>
    <row r="111" spans="1:26" hidden="1" x14ac:dyDescent="0.3">
      <c r="A111" s="28">
        <v>45635</v>
      </c>
      <c r="B111" t="s">
        <v>23</v>
      </c>
      <c r="C111" s="3">
        <v>3672</v>
      </c>
      <c r="D111" s="3">
        <v>211</v>
      </c>
      <c r="E111" s="3">
        <v>704218</v>
      </c>
      <c r="F111" s="3">
        <f>YouTube!$C111-YouTube!$D111</f>
        <v>3461</v>
      </c>
      <c r="G111" s="30">
        <v>4.9146713091684701E-3</v>
      </c>
      <c r="H111">
        <v>12.35057894004413</v>
      </c>
      <c r="I111" s="31">
        <v>28284</v>
      </c>
      <c r="K111" s="5">
        <v>45635</v>
      </c>
      <c r="L111" t="s">
        <v>23</v>
      </c>
      <c r="M111" s="3">
        <v>3461</v>
      </c>
      <c r="X111" s="5">
        <v>45635</v>
      </c>
      <c r="Z111" s="3">
        <v>704218</v>
      </c>
    </row>
    <row r="112" spans="1:26" x14ac:dyDescent="0.3">
      <c r="A112" s="28">
        <v>45635</v>
      </c>
      <c r="B112" t="s">
        <v>14</v>
      </c>
      <c r="C112" s="3">
        <v>5200</v>
      </c>
      <c r="D112" s="3">
        <v>410</v>
      </c>
      <c r="E112" s="3">
        <v>709008</v>
      </c>
      <c r="F112" s="3">
        <f>YouTube!$C112-YouTube!$D112</f>
        <v>4790</v>
      </c>
      <c r="G112" s="30">
        <v>6.7559181278631598E-3</v>
      </c>
      <c r="H112">
        <v>12.913394489201821</v>
      </c>
      <c r="I112" s="31">
        <v>28994</v>
      </c>
      <c r="K112" s="5">
        <v>45635</v>
      </c>
      <c r="M112" s="3">
        <v>4790</v>
      </c>
      <c r="X112" s="5">
        <v>45635</v>
      </c>
      <c r="Z112" s="3">
        <v>709008</v>
      </c>
    </row>
    <row r="113" spans="1:26" hidden="1" x14ac:dyDescent="0.3">
      <c r="A113" s="28">
        <v>45635</v>
      </c>
      <c r="B113" t="s">
        <v>19</v>
      </c>
      <c r="C113" s="3">
        <v>1016</v>
      </c>
      <c r="D113" s="3">
        <v>67</v>
      </c>
      <c r="E113" s="3">
        <v>709957</v>
      </c>
      <c r="F113" s="3">
        <f>YouTube!$C113-YouTube!$D113</f>
        <v>949</v>
      </c>
      <c r="G113" s="30">
        <v>1.3367006734210699E-3</v>
      </c>
      <c r="H113">
        <v>20.774215903216671</v>
      </c>
      <c r="I113" s="31">
        <v>33284</v>
      </c>
      <c r="K113" s="5">
        <v>45635</v>
      </c>
      <c r="L113" t="s">
        <v>19</v>
      </c>
      <c r="M113" s="3">
        <v>949</v>
      </c>
      <c r="X113" s="5">
        <v>45635</v>
      </c>
      <c r="Z113" s="3">
        <v>709957</v>
      </c>
    </row>
    <row r="114" spans="1:26" hidden="1" x14ac:dyDescent="0.3">
      <c r="A114" s="28">
        <v>45642</v>
      </c>
      <c r="B114" t="s">
        <v>23</v>
      </c>
      <c r="C114" s="3">
        <v>4191</v>
      </c>
      <c r="D114" s="3">
        <v>599</v>
      </c>
      <c r="E114" s="3">
        <v>713549</v>
      </c>
      <c r="F114" s="3">
        <f>YouTube!$C114-YouTube!$D114</f>
        <v>3592</v>
      </c>
      <c r="G114" s="30">
        <v>5.0339920594100803E-3</v>
      </c>
      <c r="H114">
        <v>11.56416728213479</v>
      </c>
      <c r="I114" s="31">
        <v>27833</v>
      </c>
      <c r="K114" s="5">
        <v>45642</v>
      </c>
      <c r="L114" t="s">
        <v>23</v>
      </c>
      <c r="M114" s="3">
        <v>3592</v>
      </c>
      <c r="X114" s="5">
        <v>45642</v>
      </c>
      <c r="Z114" s="3">
        <v>713549</v>
      </c>
    </row>
    <row r="115" spans="1:26" hidden="1" x14ac:dyDescent="0.3">
      <c r="A115" s="28">
        <v>45642</v>
      </c>
      <c r="B115" t="s">
        <v>23</v>
      </c>
      <c r="C115" s="3">
        <v>1392</v>
      </c>
      <c r="D115" s="3">
        <v>182</v>
      </c>
      <c r="E115" s="3">
        <v>714759</v>
      </c>
      <c r="F115" s="3">
        <f>YouTube!$C115-YouTube!$D115</f>
        <v>1210</v>
      </c>
      <c r="G115" s="30">
        <v>1.69287829883919E-3</v>
      </c>
      <c r="H115">
        <v>5.9603306848881932</v>
      </c>
      <c r="I115" s="31">
        <v>35122</v>
      </c>
      <c r="K115" s="5">
        <v>45642</v>
      </c>
      <c r="L115" t="s">
        <v>23</v>
      </c>
      <c r="M115" s="3">
        <v>1210</v>
      </c>
      <c r="X115" s="5">
        <v>45642</v>
      </c>
      <c r="Z115" s="3">
        <v>714759</v>
      </c>
    </row>
    <row r="116" spans="1:26" hidden="1" x14ac:dyDescent="0.3">
      <c r="A116" s="28">
        <v>45642</v>
      </c>
      <c r="B116" t="s">
        <v>19</v>
      </c>
      <c r="C116" s="3">
        <v>9616</v>
      </c>
      <c r="D116" s="3">
        <v>1089</v>
      </c>
      <c r="E116" s="3">
        <v>723286</v>
      </c>
      <c r="F116" s="3">
        <f>YouTube!$C116-YouTube!$D116</f>
        <v>8527</v>
      </c>
      <c r="G116" s="30">
        <v>1.17892507251627E-2</v>
      </c>
      <c r="H116">
        <v>19.25863351426683</v>
      </c>
      <c r="I116" s="31">
        <v>15017</v>
      </c>
      <c r="K116" s="5">
        <v>45642</v>
      </c>
      <c r="L116" t="s">
        <v>19</v>
      </c>
      <c r="M116" s="3">
        <v>8527</v>
      </c>
      <c r="X116" s="5">
        <v>45642</v>
      </c>
      <c r="Z116" s="3">
        <v>723286</v>
      </c>
    </row>
    <row r="117" spans="1:26" hidden="1" x14ac:dyDescent="0.3">
      <c r="A117" s="28">
        <v>45642</v>
      </c>
      <c r="B117" t="s">
        <v>41</v>
      </c>
      <c r="C117" s="3">
        <v>7272</v>
      </c>
      <c r="D117" s="3">
        <v>997</v>
      </c>
      <c r="E117" s="3">
        <v>729561</v>
      </c>
      <c r="F117" s="3">
        <f>YouTube!$C117-YouTube!$D117</f>
        <v>6275</v>
      </c>
      <c r="G117" s="30">
        <v>8.6010628309353201E-3</v>
      </c>
      <c r="H117">
        <v>13.428486445958599</v>
      </c>
      <c r="I117" s="31">
        <v>26370</v>
      </c>
      <c r="K117" s="5">
        <v>45642</v>
      </c>
      <c r="L117" t="s">
        <v>41</v>
      </c>
      <c r="M117" s="3">
        <v>6275</v>
      </c>
      <c r="X117" s="5">
        <v>45642</v>
      </c>
      <c r="Z117" s="3">
        <v>729561</v>
      </c>
    </row>
    <row r="118" spans="1:26" hidden="1" x14ac:dyDescent="0.3">
      <c r="A118" s="28">
        <v>45649</v>
      </c>
      <c r="B118" t="s">
        <v>19</v>
      </c>
      <c r="C118" s="3">
        <v>1571</v>
      </c>
      <c r="D118" s="3">
        <v>204</v>
      </c>
      <c r="E118" s="3">
        <v>730928</v>
      </c>
      <c r="F118" s="3">
        <f>YouTube!$C118-YouTube!$D118</f>
        <v>1367</v>
      </c>
      <c r="G118" s="30">
        <v>1.8702252479040301E-3</v>
      </c>
      <c r="H118">
        <v>19.449384891535139</v>
      </c>
      <c r="I118" s="31">
        <v>39252</v>
      </c>
      <c r="K118" s="5">
        <v>45649</v>
      </c>
      <c r="L118" t="s">
        <v>19</v>
      </c>
      <c r="M118" s="3">
        <v>1367</v>
      </c>
      <c r="X118" s="5">
        <v>45649</v>
      </c>
      <c r="Z118" s="3">
        <v>730928</v>
      </c>
    </row>
    <row r="119" spans="1:26" hidden="1" x14ac:dyDescent="0.3">
      <c r="A119" s="28">
        <v>45649</v>
      </c>
      <c r="B119" t="s">
        <v>23</v>
      </c>
      <c r="C119" s="3">
        <v>4631</v>
      </c>
      <c r="D119" s="3">
        <v>317</v>
      </c>
      <c r="E119" s="3">
        <v>735242</v>
      </c>
      <c r="F119" s="3">
        <f>YouTube!$C119-YouTube!$D119</f>
        <v>4314</v>
      </c>
      <c r="G119" s="30">
        <v>5.8674558852731496E-3</v>
      </c>
      <c r="H119">
        <v>1.381177897889402</v>
      </c>
      <c r="I119" s="31">
        <v>17999</v>
      </c>
      <c r="K119" s="5">
        <v>45649</v>
      </c>
      <c r="L119" t="s">
        <v>23</v>
      </c>
      <c r="M119" s="3">
        <v>4314</v>
      </c>
      <c r="X119" s="5">
        <v>45649</v>
      </c>
      <c r="Z119" s="3">
        <v>735242</v>
      </c>
    </row>
    <row r="120" spans="1:26" hidden="1" x14ac:dyDescent="0.3">
      <c r="A120" s="28">
        <v>45649</v>
      </c>
      <c r="B120" t="s">
        <v>19</v>
      </c>
      <c r="C120" s="3">
        <v>7172</v>
      </c>
      <c r="D120" s="3">
        <v>998</v>
      </c>
      <c r="E120" s="3">
        <v>741416</v>
      </c>
      <c r="F120" s="3">
        <f>YouTube!$C120-YouTube!$D120</f>
        <v>6174</v>
      </c>
      <c r="G120" s="30">
        <v>8.32730882527488E-3</v>
      </c>
      <c r="H120">
        <v>18.0667803230575</v>
      </c>
      <c r="I120" s="31">
        <v>32436</v>
      </c>
      <c r="K120" s="5">
        <v>45649</v>
      </c>
      <c r="L120" t="s">
        <v>19</v>
      </c>
      <c r="M120" s="3">
        <v>6174</v>
      </c>
      <c r="X120" s="5">
        <v>45649</v>
      </c>
      <c r="Z120" s="3">
        <v>741416</v>
      </c>
    </row>
    <row r="121" spans="1:26" x14ac:dyDescent="0.3">
      <c r="A121" s="28">
        <v>45649</v>
      </c>
      <c r="B121" t="s">
        <v>14</v>
      </c>
      <c r="C121" s="3">
        <v>8177</v>
      </c>
      <c r="D121" s="3">
        <v>849</v>
      </c>
      <c r="E121" s="3">
        <v>748744</v>
      </c>
      <c r="F121" s="3">
        <f>YouTube!$C121-YouTube!$D121</f>
        <v>7328</v>
      </c>
      <c r="G121" s="30">
        <v>9.78705672432768E-3</v>
      </c>
      <c r="H121">
        <v>10.34986590877523</v>
      </c>
      <c r="I121" s="31">
        <v>52963</v>
      </c>
      <c r="K121" s="5">
        <v>45649</v>
      </c>
      <c r="M121" s="3">
        <v>7328</v>
      </c>
      <c r="X121" s="5">
        <v>45649</v>
      </c>
      <c r="Z121" s="3">
        <v>748744</v>
      </c>
    </row>
    <row r="122" spans="1:26" hidden="1" x14ac:dyDescent="0.3">
      <c r="A122" s="28">
        <v>45656</v>
      </c>
      <c r="B122" t="s">
        <v>19</v>
      </c>
      <c r="C122" s="3">
        <v>9433</v>
      </c>
      <c r="D122" s="3">
        <v>1233</v>
      </c>
      <c r="E122" s="3">
        <v>756944</v>
      </c>
      <c r="F122" s="3">
        <f>YouTube!$C122-YouTube!$D122</f>
        <v>8200</v>
      </c>
      <c r="G122" s="30">
        <v>1.08330338836162E-2</v>
      </c>
      <c r="H122">
        <v>11.391727789638329</v>
      </c>
      <c r="I122" s="31">
        <v>12096</v>
      </c>
      <c r="K122" s="5">
        <v>45656</v>
      </c>
      <c r="L122" t="s">
        <v>19</v>
      </c>
      <c r="M122" s="3">
        <v>8200</v>
      </c>
      <c r="X122" s="5">
        <v>45656</v>
      </c>
      <c r="Z122" s="3">
        <v>756944</v>
      </c>
    </row>
    <row r="123" spans="1:26" hidden="1" x14ac:dyDescent="0.3">
      <c r="A123" s="28">
        <v>45656</v>
      </c>
      <c r="B123" t="s">
        <v>23</v>
      </c>
      <c r="C123" s="3">
        <v>4897</v>
      </c>
      <c r="D123" s="3">
        <v>683</v>
      </c>
      <c r="E123" s="3">
        <v>761158</v>
      </c>
      <c r="F123" s="3">
        <f>YouTube!$C123-YouTube!$D123</f>
        <v>4214</v>
      </c>
      <c r="G123" s="30">
        <v>5.5363012672795904E-3</v>
      </c>
      <c r="H123">
        <v>15.06231294947961</v>
      </c>
      <c r="I123" s="31">
        <v>58201</v>
      </c>
      <c r="K123" s="5">
        <v>45656</v>
      </c>
      <c r="L123" t="s">
        <v>23</v>
      </c>
      <c r="M123" s="3">
        <v>4214</v>
      </c>
      <c r="X123" s="5">
        <v>45656</v>
      </c>
      <c r="Z123" s="3">
        <v>761158</v>
      </c>
    </row>
    <row r="124" spans="1:26" hidden="1" x14ac:dyDescent="0.3">
      <c r="A124" s="28">
        <v>45656</v>
      </c>
      <c r="B124" t="s">
        <v>19</v>
      </c>
      <c r="C124" s="3">
        <v>9123</v>
      </c>
      <c r="D124" s="3">
        <v>746</v>
      </c>
      <c r="E124" s="3">
        <v>769535</v>
      </c>
      <c r="F124" s="3">
        <f>YouTube!$C124-YouTube!$D124</f>
        <v>8377</v>
      </c>
      <c r="G124" s="30">
        <v>1.0885794668208699E-2</v>
      </c>
      <c r="H124">
        <v>6.3086149427901264</v>
      </c>
      <c r="I124" s="31">
        <v>35279</v>
      </c>
      <c r="K124" s="5">
        <v>45656</v>
      </c>
      <c r="L124" t="s">
        <v>19</v>
      </c>
      <c r="M124" s="3">
        <v>8377</v>
      </c>
      <c r="X124" s="5">
        <v>45656</v>
      </c>
      <c r="Z124" s="3">
        <v>769535</v>
      </c>
    </row>
    <row r="125" spans="1:26" hidden="1" x14ac:dyDescent="0.3">
      <c r="A125" s="28">
        <v>45656</v>
      </c>
      <c r="B125" t="s">
        <v>41</v>
      </c>
      <c r="C125" s="3">
        <v>3279</v>
      </c>
      <c r="D125" s="3">
        <v>200</v>
      </c>
      <c r="E125" s="3">
        <v>772614</v>
      </c>
      <c r="F125" s="3">
        <f>YouTube!$C125-YouTube!$D125</f>
        <v>3079</v>
      </c>
      <c r="G125" s="30">
        <v>3.9851724146857297E-3</v>
      </c>
      <c r="H125">
        <v>5.0212654702089274</v>
      </c>
      <c r="I125" s="31">
        <v>53363</v>
      </c>
      <c r="K125" s="5">
        <v>45656</v>
      </c>
      <c r="L125" t="s">
        <v>41</v>
      </c>
      <c r="M125" s="3">
        <v>3079</v>
      </c>
      <c r="X125" s="5">
        <v>45656</v>
      </c>
      <c r="Z125" s="3">
        <v>772614</v>
      </c>
    </row>
    <row r="126" spans="1:26" hidden="1" x14ac:dyDescent="0.3">
      <c r="A126" s="28">
        <v>45663</v>
      </c>
      <c r="B126" t="s">
        <v>19</v>
      </c>
      <c r="C126" s="3">
        <v>9980</v>
      </c>
      <c r="D126" s="3">
        <v>726</v>
      </c>
      <c r="E126" s="3">
        <v>781868</v>
      </c>
      <c r="F126" s="3">
        <f>YouTube!$C126-YouTube!$D126</f>
        <v>9254</v>
      </c>
      <c r="G126" s="30">
        <v>1.18357574424327E-2</v>
      </c>
      <c r="H126">
        <v>4.0220344099003924</v>
      </c>
      <c r="I126" s="31">
        <v>58709</v>
      </c>
      <c r="K126" s="5">
        <v>45663</v>
      </c>
      <c r="L126" t="s">
        <v>19</v>
      </c>
      <c r="M126" s="3">
        <v>9254</v>
      </c>
      <c r="X126" s="5">
        <v>45663</v>
      </c>
      <c r="Z126" s="3">
        <v>781868</v>
      </c>
    </row>
    <row r="127" spans="1:26" hidden="1" x14ac:dyDescent="0.3">
      <c r="A127" s="28">
        <v>45663</v>
      </c>
      <c r="B127" t="s">
        <v>41</v>
      </c>
      <c r="C127" s="3">
        <v>8451</v>
      </c>
      <c r="D127" s="3">
        <v>783</v>
      </c>
      <c r="E127" s="3">
        <v>789536</v>
      </c>
      <c r="F127" s="3">
        <f>YouTube!$C127-YouTube!$D127</f>
        <v>7668</v>
      </c>
      <c r="G127" s="30">
        <v>9.7120333968305408E-3</v>
      </c>
      <c r="H127">
        <v>12.407287318121019</v>
      </c>
      <c r="I127" s="31">
        <v>36201</v>
      </c>
      <c r="K127" s="5">
        <v>45663</v>
      </c>
      <c r="L127" t="s">
        <v>41</v>
      </c>
      <c r="M127" s="3">
        <v>7668</v>
      </c>
      <c r="X127" s="5">
        <v>45663</v>
      </c>
      <c r="Z127" s="3">
        <v>789536</v>
      </c>
    </row>
    <row r="128" spans="1:26" x14ac:dyDescent="0.3">
      <c r="A128" s="28">
        <v>45663</v>
      </c>
      <c r="B128" t="s">
        <v>14</v>
      </c>
      <c r="C128" s="3">
        <v>9906</v>
      </c>
      <c r="D128" s="3">
        <v>1305</v>
      </c>
      <c r="E128" s="3">
        <v>798137</v>
      </c>
      <c r="F128" s="3">
        <f>YouTube!$C128-YouTube!$D128</f>
        <v>8601</v>
      </c>
      <c r="G128" s="30">
        <v>1.0776345414383701E-2</v>
      </c>
      <c r="H128">
        <v>9.1811305577864442</v>
      </c>
      <c r="I128" s="31">
        <v>29715</v>
      </c>
      <c r="K128" s="5">
        <v>45663</v>
      </c>
      <c r="M128" s="3">
        <v>8601</v>
      </c>
      <c r="X128" s="5">
        <v>45663</v>
      </c>
      <c r="Z128" s="3">
        <v>798137</v>
      </c>
    </row>
    <row r="129" spans="1:26" hidden="1" x14ac:dyDescent="0.3">
      <c r="A129" s="28">
        <v>45663</v>
      </c>
      <c r="B129" t="s">
        <v>41</v>
      </c>
      <c r="C129" s="3">
        <v>1775</v>
      </c>
      <c r="D129" s="3">
        <v>241</v>
      </c>
      <c r="E129" s="3">
        <v>799671</v>
      </c>
      <c r="F129" s="3">
        <f>YouTube!$C129-YouTube!$D129</f>
        <v>1534</v>
      </c>
      <c r="G129" s="30">
        <v>1.91828889630861E-3</v>
      </c>
      <c r="H129">
        <v>8.1379717408784362</v>
      </c>
      <c r="I129" s="31">
        <v>39309</v>
      </c>
      <c r="K129" s="5">
        <v>45663</v>
      </c>
      <c r="L129" t="s">
        <v>41</v>
      </c>
      <c r="M129" s="3">
        <v>1534</v>
      </c>
      <c r="X129" s="5">
        <v>45663</v>
      </c>
      <c r="Z129" s="3">
        <v>799671</v>
      </c>
    </row>
    <row r="130" spans="1:26" hidden="1" x14ac:dyDescent="0.3">
      <c r="A130" s="28">
        <v>45670</v>
      </c>
      <c r="B130" t="s">
        <v>19</v>
      </c>
      <c r="C130" s="3">
        <v>7869</v>
      </c>
      <c r="D130" s="3">
        <v>398</v>
      </c>
      <c r="E130" s="3">
        <v>807142</v>
      </c>
      <c r="F130" s="3">
        <f>YouTube!$C130-YouTube!$D130</f>
        <v>7471</v>
      </c>
      <c r="G130" s="30">
        <v>9.2561160241940096E-3</v>
      </c>
      <c r="H130">
        <v>15.211945357818079</v>
      </c>
      <c r="I130" s="31">
        <v>25078</v>
      </c>
      <c r="K130" s="5">
        <v>45670</v>
      </c>
      <c r="L130" t="s">
        <v>19</v>
      </c>
      <c r="M130" s="3">
        <v>7471</v>
      </c>
      <c r="X130" s="5">
        <v>45670</v>
      </c>
      <c r="Z130" s="3">
        <v>807142</v>
      </c>
    </row>
    <row r="131" spans="1:26" hidden="1" x14ac:dyDescent="0.3">
      <c r="A131" s="28">
        <v>45670</v>
      </c>
      <c r="B131" t="s">
        <v>23</v>
      </c>
      <c r="C131" s="3">
        <v>3247</v>
      </c>
      <c r="D131" s="3">
        <v>328</v>
      </c>
      <c r="E131" s="3">
        <v>810061</v>
      </c>
      <c r="F131" s="3">
        <f>YouTube!$C131-YouTube!$D131</f>
        <v>2919</v>
      </c>
      <c r="G131" s="30">
        <v>3.6034323341081701E-3</v>
      </c>
      <c r="H131">
        <v>13.941172331466399</v>
      </c>
      <c r="I131" s="31">
        <v>15105</v>
      </c>
      <c r="K131" s="5">
        <v>45670</v>
      </c>
      <c r="L131" t="s">
        <v>23</v>
      </c>
      <c r="M131" s="3">
        <v>2919</v>
      </c>
      <c r="X131" s="5">
        <v>45670</v>
      </c>
      <c r="Z131" s="3">
        <v>810061</v>
      </c>
    </row>
    <row r="132" spans="1:26" hidden="1" x14ac:dyDescent="0.3">
      <c r="A132" s="28">
        <v>45670</v>
      </c>
      <c r="B132" t="s">
        <v>41</v>
      </c>
      <c r="C132" s="3">
        <v>8088</v>
      </c>
      <c r="D132" s="3">
        <v>742</v>
      </c>
      <c r="E132" s="3">
        <v>817407</v>
      </c>
      <c r="F132" s="3">
        <f>YouTube!$C132-YouTube!$D132</f>
        <v>7346</v>
      </c>
      <c r="G132" s="30">
        <v>8.9869550909155403E-3</v>
      </c>
      <c r="H132">
        <v>14.664542877660701</v>
      </c>
      <c r="I132" s="31">
        <v>39312</v>
      </c>
      <c r="K132" s="5">
        <v>45670</v>
      </c>
      <c r="L132" t="s">
        <v>41</v>
      </c>
      <c r="M132" s="3">
        <v>7346</v>
      </c>
      <c r="X132" s="5">
        <v>45670</v>
      </c>
      <c r="Z132" s="3">
        <v>817407</v>
      </c>
    </row>
    <row r="133" spans="1:26" x14ac:dyDescent="0.3">
      <c r="A133" s="28">
        <v>45670</v>
      </c>
      <c r="B133" t="s">
        <v>14</v>
      </c>
      <c r="C133" s="3">
        <v>1078</v>
      </c>
      <c r="D133" s="3">
        <v>77</v>
      </c>
      <c r="E133" s="3">
        <v>818408</v>
      </c>
      <c r="F133" s="3">
        <f>YouTube!$C133-YouTube!$D133</f>
        <v>1001</v>
      </c>
      <c r="G133" s="30">
        <v>1.22310632349635E-3</v>
      </c>
      <c r="H133">
        <v>18.236747441373989</v>
      </c>
      <c r="I133" s="31">
        <v>12839</v>
      </c>
      <c r="K133" s="5">
        <v>45670</v>
      </c>
      <c r="M133" s="3">
        <v>1001</v>
      </c>
      <c r="X133" s="5">
        <v>45670</v>
      </c>
      <c r="Z133" s="3">
        <v>818408</v>
      </c>
    </row>
    <row r="134" spans="1:26" hidden="1" x14ac:dyDescent="0.3">
      <c r="A134" s="28">
        <v>45677</v>
      </c>
      <c r="B134" t="s">
        <v>41</v>
      </c>
      <c r="C134" s="3">
        <v>9080</v>
      </c>
      <c r="D134" s="3">
        <v>562</v>
      </c>
      <c r="E134" s="3">
        <v>826926</v>
      </c>
      <c r="F134" s="3">
        <f>YouTube!$C134-YouTube!$D134</f>
        <v>8518</v>
      </c>
      <c r="G134" s="30">
        <v>1.03008007971693E-2</v>
      </c>
      <c r="H134">
        <v>7.1083748727213809</v>
      </c>
      <c r="I134" s="31">
        <v>13384</v>
      </c>
      <c r="K134" s="5">
        <v>45677</v>
      </c>
      <c r="L134" t="s">
        <v>41</v>
      </c>
      <c r="M134" s="3">
        <v>8518</v>
      </c>
      <c r="X134" s="5">
        <v>45677</v>
      </c>
      <c r="Z134" s="3">
        <v>826926</v>
      </c>
    </row>
    <row r="135" spans="1:26" hidden="1" x14ac:dyDescent="0.3">
      <c r="A135" s="28">
        <v>45677</v>
      </c>
      <c r="B135" t="s">
        <v>41</v>
      </c>
      <c r="C135" s="3">
        <v>8099</v>
      </c>
      <c r="D135" s="3">
        <v>678</v>
      </c>
      <c r="E135" s="3">
        <v>834347</v>
      </c>
      <c r="F135" s="3">
        <f>YouTube!$C135-YouTube!$D135</f>
        <v>7421</v>
      </c>
      <c r="G135" s="30">
        <v>8.8943808751035195E-3</v>
      </c>
      <c r="H135">
        <v>7.6464588474579518</v>
      </c>
      <c r="I135" s="31">
        <v>53619</v>
      </c>
      <c r="K135" s="5">
        <v>45677</v>
      </c>
      <c r="L135" t="s">
        <v>41</v>
      </c>
      <c r="M135" s="3">
        <v>7421</v>
      </c>
      <c r="X135" s="5">
        <v>45677</v>
      </c>
      <c r="Z135" s="3">
        <v>834347</v>
      </c>
    </row>
    <row r="136" spans="1:26" hidden="1" x14ac:dyDescent="0.3">
      <c r="A136" s="28">
        <v>45677</v>
      </c>
      <c r="B136" t="s">
        <v>41</v>
      </c>
      <c r="C136" s="3">
        <v>4926</v>
      </c>
      <c r="D136" s="3">
        <v>710</v>
      </c>
      <c r="E136" s="3">
        <v>838563</v>
      </c>
      <c r="F136" s="3">
        <f>YouTube!$C136-YouTube!$D136</f>
        <v>4216</v>
      </c>
      <c r="G136" s="30">
        <v>5.0276484891415398E-3</v>
      </c>
      <c r="H136">
        <v>12.96217457722318</v>
      </c>
      <c r="I136" s="31">
        <v>52821</v>
      </c>
      <c r="K136" s="5">
        <v>45677</v>
      </c>
      <c r="L136" t="s">
        <v>41</v>
      </c>
      <c r="M136" s="3">
        <v>4216</v>
      </c>
      <c r="X136" s="5">
        <v>45677</v>
      </c>
      <c r="Z136" s="3">
        <v>838563</v>
      </c>
    </row>
    <row r="137" spans="1:26" x14ac:dyDescent="0.3">
      <c r="A137" s="28">
        <v>45677</v>
      </c>
      <c r="B137" t="s">
        <v>14</v>
      </c>
      <c r="C137" s="3">
        <v>8340</v>
      </c>
      <c r="D137" s="3">
        <v>686</v>
      </c>
      <c r="E137" s="3">
        <v>846217</v>
      </c>
      <c r="F137" s="3">
        <f>YouTube!$C137-YouTube!$D137</f>
        <v>7654</v>
      </c>
      <c r="G137" s="30">
        <v>9.04496128061715E-3</v>
      </c>
      <c r="H137">
        <v>7.201344336027284</v>
      </c>
      <c r="I137" s="31">
        <v>23493</v>
      </c>
      <c r="K137" s="5">
        <v>45677</v>
      </c>
      <c r="M137" s="3">
        <v>7654</v>
      </c>
      <c r="X137" s="5">
        <v>45677</v>
      </c>
      <c r="Z137" s="3">
        <v>846217</v>
      </c>
    </row>
    <row r="138" spans="1:26" hidden="1" x14ac:dyDescent="0.3">
      <c r="A138" s="28">
        <v>45684</v>
      </c>
      <c r="B138" t="s">
        <v>19</v>
      </c>
      <c r="C138" s="3">
        <v>8083</v>
      </c>
      <c r="D138" s="3">
        <v>823</v>
      </c>
      <c r="E138" s="3">
        <v>853477</v>
      </c>
      <c r="F138" s="3">
        <f>YouTube!$C138-YouTube!$D138</f>
        <v>7260</v>
      </c>
      <c r="G138" s="30">
        <v>8.5063803711172108E-3</v>
      </c>
      <c r="H138">
        <v>4.6300017457998282</v>
      </c>
      <c r="I138" s="31">
        <v>27069</v>
      </c>
      <c r="K138" s="5">
        <v>45684</v>
      </c>
      <c r="L138" t="s">
        <v>19</v>
      </c>
      <c r="M138" s="3">
        <v>7260</v>
      </c>
      <c r="X138" s="5">
        <v>45684</v>
      </c>
      <c r="Z138" s="3">
        <v>853477</v>
      </c>
    </row>
    <row r="139" spans="1:26" hidden="1" x14ac:dyDescent="0.3">
      <c r="A139" s="28">
        <v>45684</v>
      </c>
      <c r="B139" t="s">
        <v>41</v>
      </c>
      <c r="C139" s="3">
        <v>7230</v>
      </c>
      <c r="D139" s="3">
        <v>869</v>
      </c>
      <c r="E139" s="3">
        <v>859838</v>
      </c>
      <c r="F139" s="3">
        <f>YouTube!$C139-YouTube!$D139</f>
        <v>6361</v>
      </c>
      <c r="G139" s="30">
        <v>7.397905186791E-3</v>
      </c>
      <c r="H139">
        <v>7.0117859410726204</v>
      </c>
      <c r="I139" s="31">
        <v>56907</v>
      </c>
      <c r="K139" s="5">
        <v>45684</v>
      </c>
      <c r="L139" t="s">
        <v>41</v>
      </c>
      <c r="M139" s="3">
        <v>6361</v>
      </c>
      <c r="X139" s="5">
        <v>45684</v>
      </c>
      <c r="Z139" s="3">
        <v>859838</v>
      </c>
    </row>
    <row r="140" spans="1:26" hidden="1" x14ac:dyDescent="0.3">
      <c r="A140" s="28">
        <v>45684</v>
      </c>
      <c r="B140" t="s">
        <v>41</v>
      </c>
      <c r="C140" s="3">
        <v>5940</v>
      </c>
      <c r="D140" s="3">
        <v>512</v>
      </c>
      <c r="E140" s="3">
        <v>865266</v>
      </c>
      <c r="F140" s="3">
        <f>YouTube!$C140-YouTube!$D140</f>
        <v>5428</v>
      </c>
      <c r="G140" s="30">
        <v>6.2732154042802997E-3</v>
      </c>
      <c r="H140">
        <v>15.7972230504839</v>
      </c>
      <c r="I140" s="31">
        <v>17531</v>
      </c>
      <c r="K140" s="5">
        <v>45684</v>
      </c>
      <c r="L140" t="s">
        <v>41</v>
      </c>
      <c r="M140" s="3">
        <v>5428</v>
      </c>
      <c r="X140" s="5">
        <v>45684</v>
      </c>
      <c r="Z140" s="3">
        <v>865266</v>
      </c>
    </row>
    <row r="141" spans="1:26" hidden="1" x14ac:dyDescent="0.3">
      <c r="A141" s="28">
        <v>45684</v>
      </c>
      <c r="B141" t="s">
        <v>23</v>
      </c>
      <c r="C141" s="3">
        <v>4271</v>
      </c>
      <c r="D141" s="3">
        <v>628</v>
      </c>
      <c r="E141" s="3">
        <v>868909</v>
      </c>
      <c r="F141" s="3">
        <f>YouTube!$C141-YouTube!$D141</f>
        <v>3643</v>
      </c>
      <c r="G141" s="30">
        <v>4.1926139561219902E-3</v>
      </c>
      <c r="H141">
        <v>11.124410036033691</v>
      </c>
      <c r="I141" s="31">
        <v>47051</v>
      </c>
      <c r="K141" s="5">
        <v>45684</v>
      </c>
      <c r="L141" t="s">
        <v>23</v>
      </c>
      <c r="M141" s="3">
        <v>3643</v>
      </c>
      <c r="X141" s="5">
        <v>45684</v>
      </c>
      <c r="Z141" s="3">
        <v>868909</v>
      </c>
    </row>
    <row r="142" spans="1:26" x14ac:dyDescent="0.3">
      <c r="A142" s="28">
        <v>45691</v>
      </c>
      <c r="B142" t="s">
        <v>14</v>
      </c>
      <c r="C142" s="3">
        <v>4456</v>
      </c>
      <c r="D142" s="3">
        <v>651</v>
      </c>
      <c r="E142" s="3">
        <v>872714</v>
      </c>
      <c r="F142" s="3">
        <f>YouTube!$C142-YouTube!$D142</f>
        <v>3805</v>
      </c>
      <c r="G142" s="30">
        <v>4.3599621410908996E-3</v>
      </c>
      <c r="H142">
        <v>9.5052903929580594</v>
      </c>
      <c r="I142" s="31">
        <v>17736</v>
      </c>
      <c r="K142" s="5">
        <v>45691</v>
      </c>
      <c r="M142" s="3">
        <v>3805</v>
      </c>
      <c r="X142" s="5">
        <v>45691</v>
      </c>
      <c r="Z142" s="3">
        <v>872714</v>
      </c>
    </row>
    <row r="143" spans="1:26" hidden="1" x14ac:dyDescent="0.3">
      <c r="A143" s="28">
        <v>45691</v>
      </c>
      <c r="B143" t="s">
        <v>41</v>
      </c>
      <c r="C143" s="3">
        <v>8788</v>
      </c>
      <c r="D143" s="3">
        <v>660</v>
      </c>
      <c r="E143" s="3">
        <v>880842</v>
      </c>
      <c r="F143" s="3">
        <f>YouTube!$C143-YouTube!$D143</f>
        <v>8128</v>
      </c>
      <c r="G143" s="30">
        <v>9.2275345635198999E-3</v>
      </c>
      <c r="H143">
        <v>3.7175793161543158</v>
      </c>
      <c r="I143" s="31">
        <v>17710</v>
      </c>
      <c r="K143" s="5">
        <v>45691</v>
      </c>
      <c r="L143" t="s">
        <v>41</v>
      </c>
      <c r="M143" s="3">
        <v>8128</v>
      </c>
      <c r="X143" s="5">
        <v>45691</v>
      </c>
      <c r="Z143" s="3">
        <v>880842</v>
      </c>
    </row>
    <row r="144" spans="1:26" x14ac:dyDescent="0.3">
      <c r="A144" s="28">
        <v>45691</v>
      </c>
      <c r="B144" t="s">
        <v>14</v>
      </c>
      <c r="C144" s="3">
        <v>9599</v>
      </c>
      <c r="D144" s="3">
        <v>957</v>
      </c>
      <c r="E144" s="3">
        <v>889484</v>
      </c>
      <c r="F144" s="3">
        <f>YouTube!$C144-YouTube!$D144</f>
        <v>8642</v>
      </c>
      <c r="G144" s="30">
        <v>9.7157453085159502E-3</v>
      </c>
      <c r="H144">
        <v>8.768004820772493</v>
      </c>
      <c r="I144" s="31">
        <v>11619</v>
      </c>
      <c r="K144" s="5">
        <v>45691</v>
      </c>
      <c r="M144" s="3">
        <v>8642</v>
      </c>
      <c r="X144" s="5">
        <v>45691</v>
      </c>
      <c r="Z144" s="3">
        <v>889484</v>
      </c>
    </row>
    <row r="145" spans="1:26" hidden="1" x14ac:dyDescent="0.3">
      <c r="A145" s="28">
        <v>45691</v>
      </c>
      <c r="B145" t="s">
        <v>41</v>
      </c>
      <c r="C145" s="3">
        <v>8650</v>
      </c>
      <c r="D145" s="3">
        <v>692</v>
      </c>
      <c r="E145" s="3">
        <v>897442</v>
      </c>
      <c r="F145" s="3">
        <f>YouTube!$C145-YouTube!$D145</f>
        <v>7958</v>
      </c>
      <c r="G145" s="30">
        <v>8.8674254157928897E-3</v>
      </c>
      <c r="H145">
        <v>7.6673478620345374</v>
      </c>
      <c r="I145" s="31">
        <v>23975</v>
      </c>
      <c r="K145" s="5">
        <v>45691</v>
      </c>
      <c r="L145" t="s">
        <v>41</v>
      </c>
      <c r="M145" s="3">
        <v>7958</v>
      </c>
      <c r="X145" s="5">
        <v>45691</v>
      </c>
      <c r="Z145" s="3">
        <v>897442</v>
      </c>
    </row>
    <row r="146" spans="1:26" hidden="1" x14ac:dyDescent="0.3">
      <c r="A146" s="28">
        <v>45698</v>
      </c>
      <c r="B146" t="s">
        <v>19</v>
      </c>
      <c r="C146" s="3">
        <v>3711</v>
      </c>
      <c r="D146" s="3">
        <v>291</v>
      </c>
      <c r="E146" s="3">
        <v>900862</v>
      </c>
      <c r="F146" s="3">
        <f>YouTube!$C146-YouTube!$D146</f>
        <v>3420</v>
      </c>
      <c r="G146" s="30">
        <v>3.7963639269943698E-3</v>
      </c>
      <c r="H146">
        <v>14.24879726306582</v>
      </c>
      <c r="I146" s="31">
        <v>55603</v>
      </c>
      <c r="K146" s="5">
        <v>45698</v>
      </c>
      <c r="L146" t="s">
        <v>19</v>
      </c>
      <c r="M146" s="3">
        <v>3420</v>
      </c>
      <c r="X146" s="5">
        <v>45698</v>
      </c>
      <c r="Z146" s="3">
        <v>900862</v>
      </c>
    </row>
    <row r="147" spans="1:26" hidden="1" x14ac:dyDescent="0.3">
      <c r="A147" s="28">
        <v>45698</v>
      </c>
      <c r="B147" t="s">
        <v>19</v>
      </c>
      <c r="C147" s="3">
        <v>2668</v>
      </c>
      <c r="D147" s="3">
        <v>143</v>
      </c>
      <c r="E147" s="3">
        <v>903387</v>
      </c>
      <c r="F147" s="3">
        <f>YouTube!$C147-YouTube!$D147</f>
        <v>2525</v>
      </c>
      <c r="G147" s="30">
        <v>2.79503690002181E-3</v>
      </c>
      <c r="H147">
        <v>15.903372530266649</v>
      </c>
      <c r="I147" s="31">
        <v>33252</v>
      </c>
      <c r="K147" s="5">
        <v>45698</v>
      </c>
      <c r="L147" t="s">
        <v>19</v>
      </c>
      <c r="M147" s="3">
        <v>2525</v>
      </c>
      <c r="X147" s="5">
        <v>45698</v>
      </c>
      <c r="Z147" s="3">
        <v>903387</v>
      </c>
    </row>
    <row r="148" spans="1:26" hidden="1" x14ac:dyDescent="0.3">
      <c r="A148" s="28">
        <v>45698</v>
      </c>
      <c r="B148" t="s">
        <v>41</v>
      </c>
      <c r="C148" s="3">
        <v>1147</v>
      </c>
      <c r="D148" s="3">
        <v>127</v>
      </c>
      <c r="E148" s="3">
        <v>904407</v>
      </c>
      <c r="F148" s="3">
        <f>YouTube!$C148-YouTube!$D148</f>
        <v>1020</v>
      </c>
      <c r="G148" s="30">
        <v>1.12781081968627E-3</v>
      </c>
      <c r="H148">
        <v>1.3997016829812241</v>
      </c>
      <c r="I148" s="31">
        <v>25261</v>
      </c>
      <c r="K148" s="5">
        <v>45698</v>
      </c>
      <c r="L148" t="s">
        <v>41</v>
      </c>
      <c r="M148" s="3">
        <v>1020</v>
      </c>
      <c r="X148" s="5">
        <v>45698</v>
      </c>
      <c r="Z148" s="3">
        <v>904407</v>
      </c>
    </row>
    <row r="149" spans="1:26" hidden="1" x14ac:dyDescent="0.3">
      <c r="A149" s="28">
        <v>45698</v>
      </c>
      <c r="B149" t="s">
        <v>19</v>
      </c>
      <c r="C149" s="3">
        <v>7420</v>
      </c>
      <c r="D149" s="3">
        <v>743</v>
      </c>
      <c r="E149" s="3">
        <v>911084</v>
      </c>
      <c r="F149" s="3">
        <f>YouTube!$C149-YouTube!$D149</f>
        <v>6677</v>
      </c>
      <c r="G149" s="30">
        <v>7.3286327056561202E-3</v>
      </c>
      <c r="H149">
        <v>10.593534734448189</v>
      </c>
      <c r="I149" s="31">
        <v>11431</v>
      </c>
      <c r="K149" s="5">
        <v>45698</v>
      </c>
      <c r="L149" t="s">
        <v>19</v>
      </c>
      <c r="M149" s="3">
        <v>6677</v>
      </c>
      <c r="X149" s="5">
        <v>45698</v>
      </c>
      <c r="Z149" s="3">
        <v>911084</v>
      </c>
    </row>
    <row r="150" spans="1:26" hidden="1" x14ac:dyDescent="0.3">
      <c r="A150" s="28">
        <v>45705</v>
      </c>
      <c r="B150" t="s">
        <v>41</v>
      </c>
      <c r="C150" s="3">
        <v>1365</v>
      </c>
      <c r="D150" s="3">
        <v>75</v>
      </c>
      <c r="E150" s="3">
        <v>912374</v>
      </c>
      <c r="F150" s="3">
        <f>YouTube!$C150-YouTube!$D150</f>
        <v>1290</v>
      </c>
      <c r="G150" s="30">
        <v>1.4138938637006299E-3</v>
      </c>
      <c r="H150">
        <v>9.2688963078737441</v>
      </c>
      <c r="I150" s="31">
        <v>19067</v>
      </c>
      <c r="K150" s="5">
        <v>45705</v>
      </c>
      <c r="L150" t="s">
        <v>41</v>
      </c>
      <c r="M150" s="3">
        <v>1290</v>
      </c>
      <c r="X150" s="5">
        <v>45705</v>
      </c>
      <c r="Z150" s="3">
        <v>912374</v>
      </c>
    </row>
    <row r="151" spans="1:26" hidden="1" x14ac:dyDescent="0.3">
      <c r="A151" s="28">
        <v>45705</v>
      </c>
      <c r="B151" t="s">
        <v>19</v>
      </c>
      <c r="C151" s="3">
        <v>5531</v>
      </c>
      <c r="D151" s="3">
        <v>430</v>
      </c>
      <c r="E151" s="3">
        <v>917475</v>
      </c>
      <c r="F151" s="3">
        <f>YouTube!$C151-YouTube!$D151</f>
        <v>5101</v>
      </c>
      <c r="G151" s="30">
        <v>5.5598245183792498E-3</v>
      </c>
      <c r="H151">
        <v>2.7289026948963189</v>
      </c>
      <c r="I151" s="31">
        <v>47481</v>
      </c>
      <c r="K151" s="5">
        <v>45705</v>
      </c>
      <c r="L151" t="s">
        <v>19</v>
      </c>
      <c r="M151" s="3">
        <v>5101</v>
      </c>
      <c r="X151" s="5">
        <v>45705</v>
      </c>
      <c r="Z151" s="3">
        <v>917475</v>
      </c>
    </row>
    <row r="152" spans="1:26" hidden="1" x14ac:dyDescent="0.3">
      <c r="A152" s="28">
        <v>45705</v>
      </c>
      <c r="B152" t="s">
        <v>23</v>
      </c>
      <c r="C152" s="3">
        <v>6330</v>
      </c>
      <c r="D152" s="3">
        <v>891</v>
      </c>
      <c r="E152" s="3">
        <v>922914</v>
      </c>
      <c r="F152" s="3">
        <f>YouTube!$C152-YouTube!$D152</f>
        <v>5439</v>
      </c>
      <c r="G152" s="30">
        <v>5.8932901657142503E-3</v>
      </c>
      <c r="H152">
        <v>14.789893749580139</v>
      </c>
      <c r="I152" s="31">
        <v>37037</v>
      </c>
      <c r="K152" s="5">
        <v>45705</v>
      </c>
      <c r="L152" t="s">
        <v>23</v>
      </c>
      <c r="M152" s="3">
        <v>5439</v>
      </c>
      <c r="X152" s="5">
        <v>45705</v>
      </c>
      <c r="Z152" s="3">
        <v>922914</v>
      </c>
    </row>
    <row r="153" spans="1:26" hidden="1" x14ac:dyDescent="0.3">
      <c r="A153" s="28">
        <v>45705</v>
      </c>
      <c r="B153" t="s">
        <v>23</v>
      </c>
      <c r="C153" s="3">
        <v>6510</v>
      </c>
      <c r="D153" s="3">
        <v>481</v>
      </c>
      <c r="E153" s="3">
        <v>928943</v>
      </c>
      <c r="F153" s="3">
        <f>YouTube!$C153-YouTube!$D153</f>
        <v>6029</v>
      </c>
      <c r="G153" s="30">
        <v>6.4901721634158397E-3</v>
      </c>
      <c r="H153">
        <v>2.3800168578696428</v>
      </c>
      <c r="I153" s="31">
        <v>19557</v>
      </c>
      <c r="K153" s="5">
        <v>45705</v>
      </c>
      <c r="L153" t="s">
        <v>23</v>
      </c>
      <c r="M153" s="3">
        <v>6029</v>
      </c>
      <c r="X153" s="5">
        <v>45705</v>
      </c>
      <c r="Z153" s="3">
        <v>928943</v>
      </c>
    </row>
    <row r="154" spans="1:26" hidden="1" x14ac:dyDescent="0.3">
      <c r="A154" s="28">
        <v>45712</v>
      </c>
      <c r="B154" t="s">
        <v>23</v>
      </c>
      <c r="C154" s="3">
        <v>9754</v>
      </c>
      <c r="D154" s="3">
        <v>629</v>
      </c>
      <c r="E154" s="3">
        <v>938068</v>
      </c>
      <c r="F154" s="3">
        <f>YouTube!$C154-YouTube!$D154</f>
        <v>9125</v>
      </c>
      <c r="G154" s="30">
        <v>9.7274398018054094E-3</v>
      </c>
      <c r="H154">
        <v>3.4123325814333292</v>
      </c>
      <c r="I154" s="31">
        <v>19435</v>
      </c>
      <c r="K154" s="5">
        <v>45712</v>
      </c>
      <c r="L154" t="s">
        <v>23</v>
      </c>
      <c r="M154" s="3">
        <v>9125</v>
      </c>
      <c r="X154" s="5">
        <v>45712</v>
      </c>
      <c r="Z154" s="3">
        <v>938068</v>
      </c>
    </row>
    <row r="155" spans="1:26" x14ac:dyDescent="0.3">
      <c r="A155" s="28">
        <v>45712</v>
      </c>
      <c r="B155" t="s">
        <v>14</v>
      </c>
      <c r="C155" s="3">
        <v>9964</v>
      </c>
      <c r="D155" s="3">
        <v>985</v>
      </c>
      <c r="E155" s="3">
        <v>947047</v>
      </c>
      <c r="F155" s="3">
        <f>YouTube!$C155-YouTube!$D155</f>
        <v>8979</v>
      </c>
      <c r="G155" s="30">
        <v>9.4810500429228992E-3</v>
      </c>
      <c r="H155">
        <v>1.9837452629066989</v>
      </c>
      <c r="I155" s="31">
        <v>47766</v>
      </c>
      <c r="K155" s="5">
        <v>45712</v>
      </c>
      <c r="M155" s="3">
        <v>8979</v>
      </c>
      <c r="X155" s="5">
        <v>45712</v>
      </c>
      <c r="Z155" s="3">
        <v>947047</v>
      </c>
    </row>
    <row r="156" spans="1:26" x14ac:dyDescent="0.3">
      <c r="A156" s="28">
        <v>45712</v>
      </c>
      <c r="B156" t="s">
        <v>14</v>
      </c>
      <c r="C156" s="3">
        <v>7493</v>
      </c>
      <c r="D156" s="3">
        <v>1113</v>
      </c>
      <c r="E156" s="3">
        <v>953427</v>
      </c>
      <c r="F156" s="3">
        <f>YouTube!$C156-YouTube!$D156</f>
        <v>6380</v>
      </c>
      <c r="G156" s="30">
        <v>6.6916502259743004E-3</v>
      </c>
      <c r="H156">
        <v>15.684892498324469</v>
      </c>
      <c r="I156" s="31">
        <v>10162</v>
      </c>
      <c r="K156" s="5">
        <v>45712</v>
      </c>
      <c r="M156" s="3">
        <v>6380</v>
      </c>
      <c r="X156" s="5">
        <v>45712</v>
      </c>
      <c r="Z156" s="3">
        <v>953427</v>
      </c>
    </row>
    <row r="157" spans="1:26" hidden="1" x14ac:dyDescent="0.3">
      <c r="A157" s="28">
        <v>45712</v>
      </c>
      <c r="B157" t="s">
        <v>23</v>
      </c>
      <c r="C157" s="3">
        <v>6439</v>
      </c>
      <c r="D157" s="3">
        <v>477</v>
      </c>
      <c r="E157" s="3">
        <v>959389</v>
      </c>
      <c r="F157" s="3">
        <f>YouTube!$C157-YouTube!$D157</f>
        <v>5962</v>
      </c>
      <c r="G157" s="30">
        <v>6.2143718554204799E-3</v>
      </c>
      <c r="H157">
        <v>7.4744446725989153</v>
      </c>
      <c r="I157" s="31">
        <v>44742</v>
      </c>
      <c r="K157" s="5">
        <v>45712</v>
      </c>
      <c r="L157" t="s">
        <v>23</v>
      </c>
      <c r="M157" s="3">
        <v>5962</v>
      </c>
      <c r="X157" s="5">
        <v>45712</v>
      </c>
      <c r="Z157" s="3">
        <v>959389</v>
      </c>
    </row>
    <row r="158" spans="1:26" x14ac:dyDescent="0.3">
      <c r="A158" s="28">
        <v>45719</v>
      </c>
      <c r="B158" t="s">
        <v>14</v>
      </c>
      <c r="C158" s="3">
        <v>7511</v>
      </c>
      <c r="D158" s="3">
        <v>880</v>
      </c>
      <c r="E158" s="3">
        <v>966020</v>
      </c>
      <c r="F158" s="3">
        <f>YouTube!$C158-YouTube!$D158</f>
        <v>6631</v>
      </c>
      <c r="G158" s="30">
        <v>6.8642471170369196E-3</v>
      </c>
      <c r="H158">
        <v>4.6083932009689246</v>
      </c>
      <c r="I158" s="31">
        <v>29675</v>
      </c>
      <c r="K158" s="5">
        <v>45719</v>
      </c>
      <c r="M158" s="3">
        <v>6631</v>
      </c>
      <c r="X158" s="5">
        <v>45719</v>
      </c>
      <c r="Z158" s="3">
        <v>966020</v>
      </c>
    </row>
    <row r="159" spans="1:26" hidden="1" x14ac:dyDescent="0.3">
      <c r="A159" s="28">
        <v>45719</v>
      </c>
      <c r="B159" t="s">
        <v>19</v>
      </c>
      <c r="C159" s="3">
        <v>8504</v>
      </c>
      <c r="D159" s="3">
        <v>1072</v>
      </c>
      <c r="E159" s="3">
        <v>973452</v>
      </c>
      <c r="F159" s="3">
        <f>YouTube!$C159-YouTube!$D159</f>
        <v>7432</v>
      </c>
      <c r="G159" s="30">
        <v>7.6346856342172E-3</v>
      </c>
      <c r="H159">
        <v>6.5651927367759271</v>
      </c>
      <c r="I159" s="31">
        <v>18461</v>
      </c>
      <c r="K159" s="5">
        <v>45719</v>
      </c>
      <c r="L159" t="s">
        <v>19</v>
      </c>
      <c r="M159" s="3">
        <v>7432</v>
      </c>
      <c r="X159" s="5">
        <v>45719</v>
      </c>
      <c r="Z159" s="3">
        <v>973452</v>
      </c>
    </row>
    <row r="160" spans="1:26" hidden="1" x14ac:dyDescent="0.3">
      <c r="A160" s="28">
        <v>45719</v>
      </c>
      <c r="B160" t="s">
        <v>41</v>
      </c>
      <c r="C160" s="3">
        <v>2246</v>
      </c>
      <c r="D160" s="3">
        <v>165</v>
      </c>
      <c r="E160" s="3">
        <v>975533</v>
      </c>
      <c r="F160" s="3">
        <f>YouTube!$C160-YouTube!$D160</f>
        <v>2081</v>
      </c>
      <c r="G160" s="30">
        <v>2.1331928289458199E-3</v>
      </c>
      <c r="H160">
        <v>2.9062061457685191</v>
      </c>
      <c r="I160" s="31">
        <v>27015</v>
      </c>
      <c r="K160" s="5">
        <v>45719</v>
      </c>
      <c r="L160" t="s">
        <v>41</v>
      </c>
      <c r="M160" s="3">
        <v>2081</v>
      </c>
      <c r="X160" s="5">
        <v>45719</v>
      </c>
      <c r="Z160" s="3">
        <v>975533</v>
      </c>
    </row>
    <row r="161" spans="1:26" hidden="1" x14ac:dyDescent="0.3">
      <c r="A161" s="28">
        <v>45719</v>
      </c>
      <c r="B161" t="s">
        <v>41</v>
      </c>
      <c r="C161" s="3">
        <v>4839</v>
      </c>
      <c r="D161" s="3">
        <v>594</v>
      </c>
      <c r="E161" s="3">
        <v>979778</v>
      </c>
      <c r="F161" s="3">
        <f>YouTube!$C161-YouTube!$D161</f>
        <v>4245</v>
      </c>
      <c r="G161" s="30">
        <v>4.3326141227910796E-3</v>
      </c>
      <c r="H161">
        <v>2.5803804535313102</v>
      </c>
      <c r="I161" s="31">
        <v>42591</v>
      </c>
      <c r="K161" s="5">
        <v>45719</v>
      </c>
      <c r="L161" t="s">
        <v>41</v>
      </c>
      <c r="M161" s="3">
        <v>4245</v>
      </c>
      <c r="X161" s="5">
        <v>45719</v>
      </c>
      <c r="Z161" s="3">
        <v>979778</v>
      </c>
    </row>
    <row r="162" spans="1:26" hidden="1" x14ac:dyDescent="0.3">
      <c r="A162" s="28">
        <v>45726</v>
      </c>
      <c r="B162" t="s">
        <v>41</v>
      </c>
      <c r="C162" s="3">
        <v>9551</v>
      </c>
      <c r="D162" s="3">
        <v>828</v>
      </c>
      <c r="E162" s="3">
        <v>988501</v>
      </c>
      <c r="F162" s="3">
        <f>YouTube!$C162-YouTube!$D162</f>
        <v>8723</v>
      </c>
      <c r="G162" s="30">
        <v>8.8244726105487E-3</v>
      </c>
      <c r="H162">
        <v>1.525036393488727</v>
      </c>
      <c r="I162" s="31">
        <v>38047</v>
      </c>
      <c r="K162" s="5">
        <v>45726</v>
      </c>
      <c r="L162" t="s">
        <v>41</v>
      </c>
      <c r="M162" s="3">
        <v>8723</v>
      </c>
      <c r="X162" s="5">
        <v>45726</v>
      </c>
      <c r="Z162" s="3">
        <v>988501</v>
      </c>
    </row>
    <row r="163" spans="1:26" hidden="1" x14ac:dyDescent="0.3">
      <c r="A163" s="28">
        <v>45726</v>
      </c>
      <c r="B163" t="s">
        <v>23</v>
      </c>
      <c r="C163" s="3">
        <v>3376</v>
      </c>
      <c r="D163" s="3">
        <v>382</v>
      </c>
      <c r="E163" s="3">
        <v>991495</v>
      </c>
      <c r="F163" s="3">
        <f>YouTube!$C163-YouTube!$D163</f>
        <v>2994</v>
      </c>
      <c r="G163" s="30">
        <v>3.0196823988018098E-3</v>
      </c>
      <c r="H163">
        <v>3.8694093263203548</v>
      </c>
      <c r="I163" s="31">
        <v>44782</v>
      </c>
      <c r="K163" s="5">
        <v>45726</v>
      </c>
      <c r="L163" t="s">
        <v>23</v>
      </c>
      <c r="M163" s="3">
        <v>2994</v>
      </c>
      <c r="X163" s="5">
        <v>45726</v>
      </c>
      <c r="Z163" s="3">
        <v>991495</v>
      </c>
    </row>
    <row r="164" spans="1:26" x14ac:dyDescent="0.3">
      <c r="A164" s="28">
        <v>45726</v>
      </c>
      <c r="B164" t="s">
        <v>14</v>
      </c>
      <c r="C164" s="3">
        <v>4009</v>
      </c>
      <c r="D164" s="3">
        <v>454</v>
      </c>
      <c r="E164" s="3">
        <v>995050</v>
      </c>
      <c r="F164" s="3">
        <f>YouTube!$C164-YouTube!$D164</f>
        <v>3555</v>
      </c>
      <c r="G164" s="30">
        <v>3.5726847897090599E-3</v>
      </c>
      <c r="H164">
        <v>2.1106477061454201</v>
      </c>
      <c r="I164" s="31">
        <v>19833</v>
      </c>
      <c r="K164" s="5">
        <v>45726</v>
      </c>
      <c r="M164" s="3">
        <v>3555</v>
      </c>
      <c r="X164" s="5">
        <v>45726</v>
      </c>
      <c r="Z164" s="3">
        <v>995050</v>
      </c>
    </row>
    <row r="165" spans="1:26" hidden="1" x14ac:dyDescent="0.3">
      <c r="A165" s="28">
        <v>45726</v>
      </c>
      <c r="B165" t="s">
        <v>19</v>
      </c>
      <c r="C165" s="3">
        <v>2827</v>
      </c>
      <c r="D165" s="3">
        <v>292</v>
      </c>
      <c r="E165" s="3">
        <v>997585</v>
      </c>
      <c r="F165" s="3">
        <f>YouTube!$C165-YouTube!$D165</f>
        <v>2535</v>
      </c>
      <c r="G165" s="30">
        <v>2.5411368454818402E-3</v>
      </c>
      <c r="H165">
        <v>2.4004972007397871</v>
      </c>
      <c r="I165" s="31">
        <v>17896</v>
      </c>
      <c r="K165" s="5">
        <v>45726</v>
      </c>
      <c r="L165" t="s">
        <v>19</v>
      </c>
      <c r="M165" s="3">
        <v>2535</v>
      </c>
      <c r="X165" s="5">
        <v>45726</v>
      </c>
      <c r="Z165" s="3">
        <v>997585</v>
      </c>
    </row>
    <row r="166" spans="1:26" hidden="1" x14ac:dyDescent="0.3">
      <c r="A166" s="28">
        <v>45733</v>
      </c>
      <c r="B166" t="s">
        <v>19</v>
      </c>
      <c r="C166" s="3">
        <v>7979</v>
      </c>
      <c r="D166" s="3">
        <v>470</v>
      </c>
      <c r="E166" s="3">
        <v>1005094</v>
      </c>
      <c r="F166" s="3">
        <f>YouTube!$C166-YouTube!$D166</f>
        <v>7509</v>
      </c>
      <c r="G166" s="30">
        <v>7.4709430162751E-3</v>
      </c>
      <c r="H166">
        <v>10.43086517280971</v>
      </c>
      <c r="I166" s="31">
        <v>42972</v>
      </c>
      <c r="K166" s="5">
        <v>45733</v>
      </c>
      <c r="L166" t="s">
        <v>19</v>
      </c>
      <c r="M166" s="3">
        <v>7509</v>
      </c>
      <c r="X166" s="5">
        <v>45733</v>
      </c>
      <c r="Z166" s="3">
        <v>1005094</v>
      </c>
    </row>
    <row r="167" spans="1:26" hidden="1" x14ac:dyDescent="0.3">
      <c r="A167" s="28">
        <v>45733</v>
      </c>
      <c r="B167" t="s">
        <v>23</v>
      </c>
      <c r="C167" s="3">
        <v>9569</v>
      </c>
      <c r="D167" s="3">
        <v>1277</v>
      </c>
      <c r="E167" s="3">
        <v>1013386</v>
      </c>
      <c r="F167" s="3">
        <f>YouTube!$C167-YouTube!$D167</f>
        <v>8292</v>
      </c>
      <c r="G167" s="30">
        <v>8.1824694637581408E-3</v>
      </c>
      <c r="H167">
        <v>12.45517502708741</v>
      </c>
      <c r="I167" s="31">
        <v>59733</v>
      </c>
      <c r="K167" s="5">
        <v>45733</v>
      </c>
      <c r="L167" t="s">
        <v>23</v>
      </c>
      <c r="M167" s="3">
        <v>8292</v>
      </c>
      <c r="X167" s="5">
        <v>45733</v>
      </c>
      <c r="Z167" s="3">
        <v>1013386</v>
      </c>
    </row>
    <row r="168" spans="1:26" hidden="1" x14ac:dyDescent="0.3">
      <c r="A168" s="28">
        <v>45733</v>
      </c>
      <c r="B168" t="s">
        <v>19</v>
      </c>
      <c r="C168" s="3">
        <v>5285</v>
      </c>
      <c r="D168" s="3">
        <v>433</v>
      </c>
      <c r="E168" s="3">
        <v>1018238</v>
      </c>
      <c r="F168" s="3">
        <f>YouTube!$C168-YouTube!$D168</f>
        <v>4852</v>
      </c>
      <c r="G168" s="30">
        <v>4.7650942117658203E-3</v>
      </c>
      <c r="H168">
        <v>8.7022876773406619</v>
      </c>
      <c r="I168" s="31">
        <v>51800</v>
      </c>
      <c r="K168" s="5">
        <v>45733</v>
      </c>
      <c r="L168" t="s">
        <v>19</v>
      </c>
      <c r="M168" s="3">
        <v>4852</v>
      </c>
      <c r="X168" s="5">
        <v>45733</v>
      </c>
      <c r="Z168" s="3">
        <v>1018238</v>
      </c>
    </row>
    <row r="169" spans="1:26" hidden="1" x14ac:dyDescent="0.3">
      <c r="A169" s="28">
        <v>45733</v>
      </c>
      <c r="B169" t="s">
        <v>19</v>
      </c>
      <c r="C169" s="3">
        <v>7910</v>
      </c>
      <c r="D169" s="3">
        <v>543</v>
      </c>
      <c r="E169" s="3">
        <v>1025605</v>
      </c>
      <c r="F169" s="3">
        <f>YouTube!$C169-YouTube!$D169</f>
        <v>7367</v>
      </c>
      <c r="G169" s="30">
        <v>7.1830773055903598E-3</v>
      </c>
      <c r="H169">
        <v>6.0590578244060822</v>
      </c>
      <c r="I169" s="31">
        <v>40508</v>
      </c>
      <c r="K169" s="5">
        <v>45733</v>
      </c>
      <c r="L169" t="s">
        <v>19</v>
      </c>
      <c r="M169" s="3">
        <v>7367</v>
      </c>
      <c r="X169" s="5">
        <v>45733</v>
      </c>
      <c r="Z169" s="3">
        <v>1025605</v>
      </c>
    </row>
    <row r="170" spans="1:26" hidden="1" x14ac:dyDescent="0.3">
      <c r="A170" s="28">
        <v>45740</v>
      </c>
      <c r="B170" t="s">
        <v>19</v>
      </c>
      <c r="C170" s="3">
        <v>9561</v>
      </c>
      <c r="D170" s="3">
        <v>517</v>
      </c>
      <c r="E170" s="3">
        <v>1034649</v>
      </c>
      <c r="F170" s="3">
        <f>YouTube!$C170-YouTube!$D170</f>
        <v>9044</v>
      </c>
      <c r="G170" s="30">
        <v>8.7411286339618595E-3</v>
      </c>
      <c r="H170">
        <v>6.4086467971263694</v>
      </c>
      <c r="I170" s="31">
        <v>15347</v>
      </c>
      <c r="K170" s="5">
        <v>45740</v>
      </c>
      <c r="L170" t="s">
        <v>19</v>
      </c>
      <c r="M170" s="3">
        <v>9044</v>
      </c>
      <c r="X170" s="5">
        <v>45740</v>
      </c>
      <c r="Z170" s="3">
        <v>1034649</v>
      </c>
    </row>
    <row r="171" spans="1:26" hidden="1" x14ac:dyDescent="0.3">
      <c r="A171" s="28">
        <v>45740</v>
      </c>
      <c r="B171" t="s">
        <v>19</v>
      </c>
      <c r="C171" s="3">
        <v>3196</v>
      </c>
      <c r="D171" s="3">
        <v>348</v>
      </c>
      <c r="E171" s="3">
        <v>1037497</v>
      </c>
      <c r="F171" s="3">
        <f>YouTube!$C171-YouTube!$D171</f>
        <v>2848</v>
      </c>
      <c r="G171" s="30">
        <v>2.7450681785103999E-3</v>
      </c>
      <c r="H171">
        <v>14.03040201562029</v>
      </c>
      <c r="I171" s="31">
        <v>40314</v>
      </c>
      <c r="K171" s="5">
        <v>45740</v>
      </c>
      <c r="L171" t="s">
        <v>19</v>
      </c>
      <c r="M171" s="3">
        <v>2848</v>
      </c>
      <c r="X171" s="5">
        <v>45740</v>
      </c>
      <c r="Z171" s="3">
        <v>1037497</v>
      </c>
    </row>
    <row r="172" spans="1:26" x14ac:dyDescent="0.3">
      <c r="A172" s="28">
        <v>45740</v>
      </c>
      <c r="B172" t="s">
        <v>14</v>
      </c>
      <c r="C172" s="3">
        <v>4747</v>
      </c>
      <c r="D172" s="3">
        <v>558</v>
      </c>
      <c r="E172" s="3">
        <v>1041686</v>
      </c>
      <c r="F172" s="3">
        <f>YouTube!$C172-YouTube!$D172</f>
        <v>4189</v>
      </c>
      <c r="G172" s="30">
        <v>4.0213653634588497E-3</v>
      </c>
      <c r="H172">
        <v>5.7680529449373434</v>
      </c>
      <c r="I172" s="31">
        <v>12643</v>
      </c>
      <c r="K172" s="5">
        <v>45740</v>
      </c>
      <c r="M172" s="3">
        <v>4189</v>
      </c>
      <c r="X172" s="5">
        <v>45740</v>
      </c>
      <c r="Z172" s="3">
        <v>1041686</v>
      </c>
    </row>
    <row r="173" spans="1:26" hidden="1" x14ac:dyDescent="0.3">
      <c r="A173" s="28">
        <v>45740</v>
      </c>
      <c r="B173" t="s">
        <v>19</v>
      </c>
      <c r="C173" s="3">
        <v>9843</v>
      </c>
      <c r="D173" s="3">
        <v>508</v>
      </c>
      <c r="E173" s="3">
        <v>1051021</v>
      </c>
      <c r="F173" s="3">
        <f>YouTube!$C173-YouTube!$D173</f>
        <v>9335</v>
      </c>
      <c r="G173" s="30">
        <v>8.8818396587699005E-3</v>
      </c>
      <c r="H173">
        <v>4.2080986012648651</v>
      </c>
      <c r="I173" s="31">
        <v>50785</v>
      </c>
      <c r="K173" s="5">
        <v>45740</v>
      </c>
      <c r="L173" t="s">
        <v>19</v>
      </c>
      <c r="M173" s="3">
        <v>9335</v>
      </c>
      <c r="X173" s="5">
        <v>45740</v>
      </c>
      <c r="Z173" s="3">
        <v>1051021</v>
      </c>
    </row>
    <row r="174" spans="1:26" hidden="1" x14ac:dyDescent="0.3">
      <c r="A174" s="28">
        <v>45747</v>
      </c>
      <c r="B174" t="s">
        <v>41</v>
      </c>
      <c r="C174" s="3">
        <v>6978</v>
      </c>
      <c r="D174" s="3">
        <v>706</v>
      </c>
      <c r="E174" s="3">
        <v>1057293</v>
      </c>
      <c r="F174" s="3">
        <f>YouTube!$C174-YouTube!$D174</f>
        <v>6272</v>
      </c>
      <c r="G174" s="30">
        <v>5.9321304501212101E-3</v>
      </c>
      <c r="H174">
        <v>5.057443868445171</v>
      </c>
      <c r="I174" s="31">
        <v>28681</v>
      </c>
      <c r="K174" s="5">
        <v>45747</v>
      </c>
      <c r="L174" t="s">
        <v>41</v>
      </c>
      <c r="M174" s="3">
        <v>6272</v>
      </c>
      <c r="X174" s="5">
        <v>45747</v>
      </c>
      <c r="Z174" s="3">
        <v>1057293</v>
      </c>
    </row>
    <row r="175" spans="1:26" hidden="1" x14ac:dyDescent="0.3">
      <c r="A175" s="28">
        <v>45747</v>
      </c>
      <c r="B175" t="s">
        <v>23</v>
      </c>
      <c r="C175" s="3">
        <v>6607</v>
      </c>
      <c r="D175" s="3">
        <v>479</v>
      </c>
      <c r="E175" s="3">
        <v>1063421</v>
      </c>
      <c r="F175" s="3">
        <f>YouTube!$C175-YouTube!$D175</f>
        <v>6128</v>
      </c>
      <c r="G175" s="30">
        <v>5.7625343114345098E-3</v>
      </c>
      <c r="H175">
        <v>5.5892257158735816</v>
      </c>
      <c r="I175" s="31">
        <v>48328</v>
      </c>
      <c r="K175" s="5">
        <v>45747</v>
      </c>
      <c r="L175" t="s">
        <v>23</v>
      </c>
      <c r="M175" s="3">
        <v>6128</v>
      </c>
      <c r="X175" s="5">
        <v>45747</v>
      </c>
      <c r="Z175" s="3">
        <v>1063421</v>
      </c>
    </row>
    <row r="176" spans="1:26" x14ac:dyDescent="0.3">
      <c r="A176" s="28">
        <v>45747</v>
      </c>
      <c r="B176" t="s">
        <v>14</v>
      </c>
      <c r="C176" s="3">
        <v>1769</v>
      </c>
      <c r="D176" s="3">
        <v>202</v>
      </c>
      <c r="E176" s="3">
        <v>1064988</v>
      </c>
      <c r="F176" s="3">
        <f>YouTube!$C176-YouTube!$D176</f>
        <v>1567</v>
      </c>
      <c r="G176" s="30">
        <v>1.47137808125538E-3</v>
      </c>
      <c r="H176">
        <v>6.5457075572682513</v>
      </c>
      <c r="I176" s="31">
        <v>25892</v>
      </c>
      <c r="K176" s="5">
        <v>45747</v>
      </c>
      <c r="M176" s="3">
        <v>1567</v>
      </c>
      <c r="X176" s="5">
        <v>45747</v>
      </c>
      <c r="Z176" s="3">
        <v>1064988</v>
      </c>
    </row>
    <row r="177" spans="1:26" hidden="1" x14ac:dyDescent="0.3">
      <c r="A177" s="28">
        <v>45747</v>
      </c>
      <c r="B177" t="s">
        <v>19</v>
      </c>
      <c r="C177" s="3">
        <v>1780</v>
      </c>
      <c r="D177" s="3">
        <v>120</v>
      </c>
      <c r="E177" s="3">
        <v>1066648</v>
      </c>
      <c r="F177" s="3">
        <f>YouTube!$C177-YouTube!$D177</f>
        <v>1660</v>
      </c>
      <c r="G177" s="30">
        <v>1.55627723485161E-3</v>
      </c>
      <c r="H177">
        <v>13.86474263299608</v>
      </c>
      <c r="I177" s="31">
        <v>57299</v>
      </c>
      <c r="K177" s="5">
        <v>45747</v>
      </c>
      <c r="L177" t="s">
        <v>19</v>
      </c>
      <c r="M177" s="3">
        <v>1660</v>
      </c>
      <c r="X177" s="5">
        <v>45747</v>
      </c>
      <c r="Z177" s="3">
        <v>1066648</v>
      </c>
    </row>
    <row r="178" spans="1:26" x14ac:dyDescent="0.3">
      <c r="A178" s="28">
        <v>45754</v>
      </c>
      <c r="B178" t="s">
        <v>14</v>
      </c>
      <c r="C178" s="3">
        <v>7303</v>
      </c>
      <c r="D178" s="3">
        <v>869</v>
      </c>
      <c r="E178" s="3">
        <v>1073082</v>
      </c>
      <c r="F178" s="3">
        <f>YouTube!$C178-YouTube!$D178</f>
        <v>6434</v>
      </c>
      <c r="G178" s="30">
        <v>5.9958139266151197E-3</v>
      </c>
      <c r="H178">
        <v>8.1237966902808925</v>
      </c>
      <c r="I178" s="31">
        <v>27073</v>
      </c>
      <c r="K178" s="5">
        <v>45754</v>
      </c>
      <c r="M178" s="3">
        <v>6434</v>
      </c>
      <c r="X178" s="5">
        <v>45754</v>
      </c>
      <c r="Z178" s="3">
        <v>1073082</v>
      </c>
    </row>
    <row r="179" spans="1:26" hidden="1" x14ac:dyDescent="0.3">
      <c r="A179" s="28">
        <v>45754</v>
      </c>
      <c r="B179" t="s">
        <v>19</v>
      </c>
      <c r="C179" s="3">
        <v>4983</v>
      </c>
      <c r="D179" s="3">
        <v>441</v>
      </c>
      <c r="E179" s="3">
        <v>1077624</v>
      </c>
      <c r="F179" s="3">
        <f>YouTube!$C179-YouTube!$D179</f>
        <v>4542</v>
      </c>
      <c r="G179" s="30">
        <v>4.2148281775461604E-3</v>
      </c>
      <c r="H179">
        <v>6.8954477628560609</v>
      </c>
      <c r="I179" s="31">
        <v>46768</v>
      </c>
      <c r="K179" s="5">
        <v>45754</v>
      </c>
      <c r="L179" t="s">
        <v>19</v>
      </c>
      <c r="M179" s="3">
        <v>4542</v>
      </c>
      <c r="X179" s="5">
        <v>45754</v>
      </c>
      <c r="Z179" s="3">
        <v>1077624</v>
      </c>
    </row>
    <row r="180" spans="1:26" hidden="1" x14ac:dyDescent="0.3">
      <c r="A180" s="28">
        <v>45754</v>
      </c>
      <c r="B180" t="s">
        <v>41</v>
      </c>
      <c r="C180" s="3">
        <v>9714</v>
      </c>
      <c r="D180" s="3">
        <v>1395</v>
      </c>
      <c r="E180" s="3">
        <v>1085943</v>
      </c>
      <c r="F180" s="3">
        <f>YouTube!$C180-YouTube!$D180</f>
        <v>8319</v>
      </c>
      <c r="G180" s="30">
        <v>7.6606230713766798E-3</v>
      </c>
      <c r="H180">
        <v>5.2243073531483697</v>
      </c>
      <c r="I180" s="31">
        <v>40682</v>
      </c>
      <c r="K180" s="5">
        <v>45754</v>
      </c>
      <c r="L180" t="s">
        <v>41</v>
      </c>
      <c r="M180" s="3">
        <v>8319</v>
      </c>
      <c r="X180" s="5">
        <v>45754</v>
      </c>
      <c r="Z180" s="3">
        <v>1085943</v>
      </c>
    </row>
    <row r="181" spans="1:26" hidden="1" x14ac:dyDescent="0.3">
      <c r="A181" s="28">
        <v>45754</v>
      </c>
      <c r="B181" t="s">
        <v>23</v>
      </c>
      <c r="C181" s="3">
        <v>1521</v>
      </c>
      <c r="D181" s="3">
        <v>96</v>
      </c>
      <c r="E181" s="3">
        <v>1087368</v>
      </c>
      <c r="F181" s="3">
        <f>YouTube!$C181-YouTube!$D181</f>
        <v>1425</v>
      </c>
      <c r="G181" s="30">
        <v>1.31050389564526E-3</v>
      </c>
      <c r="H181">
        <v>12.709772588488899</v>
      </c>
      <c r="I181" s="31">
        <v>42262</v>
      </c>
      <c r="K181" s="5">
        <v>45754</v>
      </c>
      <c r="L181" t="s">
        <v>23</v>
      </c>
      <c r="M181" s="3">
        <v>1425</v>
      </c>
      <c r="X181" s="5">
        <v>45754</v>
      </c>
      <c r="Z181" s="3">
        <v>1087368</v>
      </c>
    </row>
    <row r="182" spans="1:26" hidden="1" x14ac:dyDescent="0.3">
      <c r="A182" s="28">
        <v>45761</v>
      </c>
      <c r="B182" t="s">
        <v>19</v>
      </c>
      <c r="C182" s="3">
        <v>8569</v>
      </c>
      <c r="D182" s="3">
        <v>720</v>
      </c>
      <c r="E182" s="3">
        <v>1095217</v>
      </c>
      <c r="F182" s="3">
        <f>YouTube!$C182-YouTube!$D182</f>
        <v>7849</v>
      </c>
      <c r="G182" s="30">
        <v>7.1666162961312703E-3</v>
      </c>
      <c r="H182">
        <v>9.589697749395782</v>
      </c>
      <c r="I182" s="31">
        <v>41358</v>
      </c>
      <c r="K182" s="5">
        <v>45761</v>
      </c>
      <c r="L182" t="s">
        <v>19</v>
      </c>
      <c r="M182" s="3">
        <v>7849</v>
      </c>
      <c r="X182" s="5">
        <v>45761</v>
      </c>
      <c r="Z182" s="3">
        <v>1095217</v>
      </c>
    </row>
    <row r="183" spans="1:26" hidden="1" x14ac:dyDescent="0.3">
      <c r="A183" s="28">
        <v>45761</v>
      </c>
      <c r="B183" t="s">
        <v>19</v>
      </c>
      <c r="C183" s="3">
        <v>6784</v>
      </c>
      <c r="D183" s="3">
        <v>416</v>
      </c>
      <c r="E183" s="3">
        <v>1101585</v>
      </c>
      <c r="F183" s="3">
        <f>YouTube!$C183-YouTube!$D183</f>
        <v>6368</v>
      </c>
      <c r="G183" s="30">
        <v>5.7807613574985097E-3</v>
      </c>
      <c r="H183">
        <v>9.3041390360253633</v>
      </c>
      <c r="I183" s="31">
        <v>24289</v>
      </c>
      <c r="K183" s="5">
        <v>45761</v>
      </c>
      <c r="L183" t="s">
        <v>19</v>
      </c>
      <c r="M183" s="3">
        <v>6368</v>
      </c>
      <c r="X183" s="5">
        <v>45761</v>
      </c>
      <c r="Z183" s="3">
        <v>1101585</v>
      </c>
    </row>
    <row r="184" spans="1:26" hidden="1" x14ac:dyDescent="0.3">
      <c r="A184" s="28">
        <v>45761</v>
      </c>
      <c r="B184" t="s">
        <v>19</v>
      </c>
      <c r="C184" s="3">
        <v>5583</v>
      </c>
      <c r="D184" s="3">
        <v>795</v>
      </c>
      <c r="E184" s="3">
        <v>1106373</v>
      </c>
      <c r="F184" s="3">
        <f>YouTube!$C184-YouTube!$D184</f>
        <v>4788</v>
      </c>
      <c r="G184" s="30">
        <v>4.3276544167292598E-3</v>
      </c>
      <c r="H184">
        <v>12.21550055903389</v>
      </c>
      <c r="I184" s="31">
        <v>59823</v>
      </c>
      <c r="K184" s="5">
        <v>45761</v>
      </c>
      <c r="L184" t="s">
        <v>19</v>
      </c>
      <c r="M184" s="3">
        <v>4788</v>
      </c>
      <c r="X184" s="5">
        <v>45761</v>
      </c>
      <c r="Z184" s="3">
        <v>1106373</v>
      </c>
    </row>
    <row r="185" spans="1:26" hidden="1" x14ac:dyDescent="0.3">
      <c r="A185" s="28">
        <v>45761</v>
      </c>
      <c r="B185" t="s">
        <v>19</v>
      </c>
      <c r="C185" s="3">
        <v>6946</v>
      </c>
      <c r="D185" s="3">
        <v>956</v>
      </c>
      <c r="E185" s="3">
        <v>1112363</v>
      </c>
      <c r="F185" s="3">
        <f>YouTube!$C185-YouTube!$D185</f>
        <v>5990</v>
      </c>
      <c r="G185" s="30">
        <v>5.3849327962185002E-3</v>
      </c>
      <c r="H185">
        <v>1.64146056637986</v>
      </c>
      <c r="I185" s="31">
        <v>17927</v>
      </c>
      <c r="K185" s="5">
        <v>45761</v>
      </c>
      <c r="L185" t="s">
        <v>19</v>
      </c>
      <c r="M185" s="3">
        <v>5990</v>
      </c>
      <c r="X185" s="5">
        <v>45761</v>
      </c>
      <c r="Z185" s="3">
        <v>1112363</v>
      </c>
    </row>
    <row r="186" spans="1:26" hidden="1" x14ac:dyDescent="0.3">
      <c r="A186" s="28">
        <v>45768</v>
      </c>
      <c r="B186" t="s">
        <v>23</v>
      </c>
      <c r="C186" s="3">
        <v>5941</v>
      </c>
      <c r="D186" s="3">
        <v>450</v>
      </c>
      <c r="E186" s="3">
        <v>1117854</v>
      </c>
      <c r="F186" s="3">
        <f>YouTube!$C186-YouTube!$D186</f>
        <v>5491</v>
      </c>
      <c r="G186" s="30">
        <v>4.9120904876665504E-3</v>
      </c>
      <c r="H186">
        <v>12.414411899944</v>
      </c>
      <c r="I186" s="31">
        <v>58330</v>
      </c>
      <c r="K186" s="5">
        <v>45768</v>
      </c>
      <c r="L186" t="s">
        <v>23</v>
      </c>
      <c r="M186" s="3">
        <v>5491</v>
      </c>
      <c r="X186" s="5">
        <v>45768</v>
      </c>
      <c r="Z186" s="3">
        <v>1117854</v>
      </c>
    </row>
    <row r="187" spans="1:26" hidden="1" x14ac:dyDescent="0.3">
      <c r="A187" s="28">
        <v>45768</v>
      </c>
      <c r="B187" t="s">
        <v>23</v>
      </c>
      <c r="C187" s="3">
        <v>7267</v>
      </c>
      <c r="D187" s="3">
        <v>842</v>
      </c>
      <c r="E187" s="3">
        <v>1124279</v>
      </c>
      <c r="F187" s="3">
        <f>YouTube!$C187-YouTube!$D187</f>
        <v>6425</v>
      </c>
      <c r="G187" s="30">
        <v>5.7147736460433796E-3</v>
      </c>
      <c r="H187">
        <v>2.2102165031989389</v>
      </c>
      <c r="I187" s="31">
        <v>11171</v>
      </c>
      <c r="K187" s="5">
        <v>45768</v>
      </c>
      <c r="L187" t="s">
        <v>23</v>
      </c>
      <c r="M187" s="3">
        <v>6425</v>
      </c>
      <c r="X187" s="5">
        <v>45768</v>
      </c>
      <c r="Z187" s="3">
        <v>1124279</v>
      </c>
    </row>
    <row r="188" spans="1:26" hidden="1" x14ac:dyDescent="0.3">
      <c r="A188" s="28">
        <v>45768</v>
      </c>
      <c r="B188" t="s">
        <v>41</v>
      </c>
      <c r="C188" s="3">
        <v>8128</v>
      </c>
      <c r="D188" s="3">
        <v>1070</v>
      </c>
      <c r="E188" s="3">
        <v>1131337</v>
      </c>
      <c r="F188" s="3">
        <f>YouTube!$C188-YouTube!$D188</f>
        <v>7058</v>
      </c>
      <c r="G188" s="30">
        <v>6.2386362330587603E-3</v>
      </c>
      <c r="H188">
        <v>8.1114645768679008</v>
      </c>
      <c r="I188" s="31">
        <v>21918</v>
      </c>
      <c r="K188" s="5">
        <v>45768</v>
      </c>
      <c r="L188" t="s">
        <v>41</v>
      </c>
      <c r="M188" s="3">
        <v>7058</v>
      </c>
      <c r="X188" s="5">
        <v>45768</v>
      </c>
      <c r="Z188" s="3">
        <v>1131337</v>
      </c>
    </row>
    <row r="189" spans="1:26" hidden="1" x14ac:dyDescent="0.3">
      <c r="A189" s="28">
        <v>45768</v>
      </c>
      <c r="B189" t="s">
        <v>23</v>
      </c>
      <c r="C189" s="3">
        <v>3461</v>
      </c>
      <c r="D189" s="3">
        <v>365</v>
      </c>
      <c r="E189" s="3">
        <v>1134433</v>
      </c>
      <c r="F189" s="3">
        <f>YouTube!$C189-YouTube!$D189</f>
        <v>3096</v>
      </c>
      <c r="G189" s="30">
        <v>2.7291166600407401E-3</v>
      </c>
      <c r="H189">
        <v>10.23489267325616</v>
      </c>
      <c r="I189" s="31">
        <v>51903</v>
      </c>
      <c r="K189" s="5">
        <v>45768</v>
      </c>
      <c r="L189" t="s">
        <v>23</v>
      </c>
      <c r="M189" s="3">
        <v>3096</v>
      </c>
      <c r="X189" s="5">
        <v>45768</v>
      </c>
      <c r="Z189" s="3">
        <v>1134433</v>
      </c>
    </row>
    <row r="190" spans="1:26" hidden="1" x14ac:dyDescent="0.3">
      <c r="A190" s="28">
        <v>45775</v>
      </c>
      <c r="B190" t="s">
        <v>19</v>
      </c>
      <c r="C190" s="3">
        <v>1685</v>
      </c>
      <c r="D190" s="3">
        <v>173</v>
      </c>
      <c r="E190" s="3">
        <v>1135945</v>
      </c>
      <c r="F190" s="3">
        <f>YouTube!$C190-YouTube!$D190</f>
        <v>1512</v>
      </c>
      <c r="G190" s="30">
        <v>1.33105035895224E-3</v>
      </c>
      <c r="H190">
        <v>8.7776256772995165</v>
      </c>
      <c r="I190" s="31">
        <v>49110</v>
      </c>
      <c r="K190" s="5">
        <v>45775</v>
      </c>
      <c r="L190" t="s">
        <v>19</v>
      </c>
      <c r="M190" s="3">
        <v>1512</v>
      </c>
      <c r="X190" s="5">
        <v>45775</v>
      </c>
      <c r="Z190" s="3">
        <v>1135945</v>
      </c>
    </row>
    <row r="191" spans="1:26" hidden="1" x14ac:dyDescent="0.3">
      <c r="A191" s="28">
        <v>45775</v>
      </c>
      <c r="B191" t="s">
        <v>41</v>
      </c>
      <c r="C191" s="3">
        <v>3160</v>
      </c>
      <c r="D191" s="3">
        <v>234</v>
      </c>
      <c r="E191" s="3">
        <v>1138871</v>
      </c>
      <c r="F191" s="3">
        <f>YouTube!$C191-YouTube!$D191</f>
        <v>2926</v>
      </c>
      <c r="G191" s="30">
        <v>2.5692110871204901E-3</v>
      </c>
      <c r="H191">
        <v>5.6959041015180816</v>
      </c>
      <c r="I191" s="31">
        <v>21929</v>
      </c>
      <c r="K191" s="5">
        <v>45775</v>
      </c>
      <c r="L191" t="s">
        <v>41</v>
      </c>
      <c r="M191" s="3">
        <v>2926</v>
      </c>
      <c r="X191" s="5">
        <v>45775</v>
      </c>
      <c r="Z191" s="3">
        <v>1138871</v>
      </c>
    </row>
    <row r="192" spans="1:26" hidden="1" x14ac:dyDescent="0.3">
      <c r="A192" s="28">
        <v>45775</v>
      </c>
      <c r="B192" t="s">
        <v>41</v>
      </c>
      <c r="C192" s="3">
        <v>8031</v>
      </c>
      <c r="D192" s="3">
        <v>476</v>
      </c>
      <c r="E192" s="3">
        <v>1146426</v>
      </c>
      <c r="F192" s="3">
        <f>YouTube!$C192-YouTube!$D192</f>
        <v>7555</v>
      </c>
      <c r="G192" s="30">
        <v>6.5900459340594202E-3</v>
      </c>
      <c r="H192">
        <v>11.940413075069831</v>
      </c>
      <c r="I192" s="31">
        <v>12539</v>
      </c>
      <c r="K192" s="5">
        <v>45775</v>
      </c>
      <c r="L192" t="s">
        <v>41</v>
      </c>
      <c r="M192" s="3">
        <v>7555</v>
      </c>
      <c r="X192" s="5">
        <v>45775</v>
      </c>
      <c r="Z192" s="3">
        <v>1146426</v>
      </c>
    </row>
    <row r="193" spans="1:26" hidden="1" x14ac:dyDescent="0.3">
      <c r="A193" s="28">
        <v>45775</v>
      </c>
      <c r="B193" t="s">
        <v>41</v>
      </c>
      <c r="C193" s="3">
        <v>6341</v>
      </c>
      <c r="D193" s="3">
        <v>885</v>
      </c>
      <c r="E193" s="3">
        <v>1151882</v>
      </c>
      <c r="F193" s="3">
        <f>YouTube!$C193-YouTube!$D193</f>
        <v>5456</v>
      </c>
      <c r="G193" s="30">
        <v>4.7365962832998498E-3</v>
      </c>
      <c r="H193">
        <v>6.3457020771224837</v>
      </c>
      <c r="I193" s="31">
        <v>46727</v>
      </c>
      <c r="K193" s="5">
        <v>45775</v>
      </c>
      <c r="L193" t="s">
        <v>41</v>
      </c>
      <c r="M193" s="3">
        <v>5456</v>
      </c>
      <c r="X193" s="5">
        <v>45775</v>
      </c>
      <c r="Z193" s="3">
        <v>1151882</v>
      </c>
    </row>
    <row r="194" spans="1:26" hidden="1" x14ac:dyDescent="0.3">
      <c r="A194" s="28">
        <v>45782</v>
      </c>
      <c r="B194" t="s">
        <v>19</v>
      </c>
      <c r="C194" s="3">
        <v>1038</v>
      </c>
      <c r="D194" s="3">
        <v>145</v>
      </c>
      <c r="E194" s="3">
        <v>1152775</v>
      </c>
      <c r="F194" s="3">
        <f>YouTube!$C194-YouTube!$D194</f>
        <v>893</v>
      </c>
      <c r="G194" s="30">
        <v>7.7465246904209403E-4</v>
      </c>
      <c r="H194">
        <v>11.093752033137431</v>
      </c>
      <c r="I194" s="31">
        <v>55951</v>
      </c>
      <c r="K194" s="5">
        <v>45782</v>
      </c>
      <c r="L194" t="s">
        <v>19</v>
      </c>
      <c r="M194" s="3">
        <v>893</v>
      </c>
      <c r="X194" s="5">
        <v>45782</v>
      </c>
      <c r="Z194" s="3">
        <v>1152775</v>
      </c>
    </row>
    <row r="195" spans="1:26" x14ac:dyDescent="0.3">
      <c r="A195" s="28">
        <v>45782</v>
      </c>
      <c r="B195" t="s">
        <v>14</v>
      </c>
      <c r="C195" s="3">
        <v>5875</v>
      </c>
      <c r="D195" s="3">
        <v>665</v>
      </c>
      <c r="E195" s="3">
        <v>1157985</v>
      </c>
      <c r="F195" s="3">
        <f>YouTube!$C195-YouTube!$D195</f>
        <v>5210</v>
      </c>
      <c r="G195" s="30">
        <v>4.4991947218659999E-3</v>
      </c>
      <c r="H195">
        <v>6.9871371390821126</v>
      </c>
      <c r="I195" s="31">
        <v>32669</v>
      </c>
      <c r="K195" s="5">
        <v>45782</v>
      </c>
      <c r="M195" s="3">
        <v>5210</v>
      </c>
      <c r="X195" s="5">
        <v>45782</v>
      </c>
      <c r="Z195" s="3">
        <v>1157985</v>
      </c>
    </row>
    <row r="196" spans="1:26" hidden="1" x14ac:dyDescent="0.3">
      <c r="A196" s="28">
        <v>45782</v>
      </c>
      <c r="B196" t="s">
        <v>19</v>
      </c>
      <c r="C196" s="3">
        <v>2256</v>
      </c>
      <c r="D196" s="3">
        <v>189</v>
      </c>
      <c r="E196" s="3">
        <v>1160052</v>
      </c>
      <c r="F196" s="3">
        <f>YouTube!$C196-YouTube!$D196</f>
        <v>2067</v>
      </c>
      <c r="G196" s="30">
        <v>1.7818166771834401E-3</v>
      </c>
      <c r="H196">
        <v>2.8935771844710412</v>
      </c>
      <c r="I196" s="31">
        <v>15432</v>
      </c>
      <c r="K196" s="5">
        <v>45782</v>
      </c>
      <c r="L196" t="s">
        <v>19</v>
      </c>
      <c r="M196" s="3">
        <v>2067</v>
      </c>
      <c r="X196" s="5">
        <v>45782</v>
      </c>
      <c r="Z196" s="3">
        <v>1160052</v>
      </c>
    </row>
    <row r="197" spans="1:26" hidden="1" x14ac:dyDescent="0.3">
      <c r="A197" s="28">
        <v>45782</v>
      </c>
      <c r="B197" t="s">
        <v>23</v>
      </c>
      <c r="C197" s="3">
        <v>8697</v>
      </c>
      <c r="D197" s="3">
        <v>738</v>
      </c>
      <c r="E197" s="3">
        <v>1168011</v>
      </c>
      <c r="F197" s="3">
        <f>YouTube!$C197-YouTube!$D197</f>
        <v>7959</v>
      </c>
      <c r="G197" s="30">
        <v>6.8141481544266302E-3</v>
      </c>
      <c r="H197">
        <v>3.8777032065622672</v>
      </c>
      <c r="I197" s="31">
        <v>30644</v>
      </c>
      <c r="K197" s="5">
        <v>45782</v>
      </c>
      <c r="L197" t="s">
        <v>23</v>
      </c>
      <c r="M197" s="3">
        <v>7959</v>
      </c>
      <c r="X197" s="5">
        <v>45782</v>
      </c>
      <c r="Z197" s="3">
        <v>1168011</v>
      </c>
    </row>
    <row r="198" spans="1:26" hidden="1" x14ac:dyDescent="0.3">
      <c r="A198" s="28">
        <v>45789</v>
      </c>
      <c r="B198" t="s">
        <v>23</v>
      </c>
      <c r="C198" s="3">
        <v>3196</v>
      </c>
      <c r="D198" s="3">
        <v>391</v>
      </c>
      <c r="E198" s="3">
        <v>1170816</v>
      </c>
      <c r="F198" s="3">
        <f>YouTube!$C198-YouTube!$D198</f>
        <v>2805</v>
      </c>
      <c r="G198" s="30">
        <v>2.39576500491965E-3</v>
      </c>
      <c r="H198">
        <v>7.2439221876024931</v>
      </c>
      <c r="I198" s="31">
        <v>28745</v>
      </c>
      <c r="K198" s="5">
        <v>45789</v>
      </c>
      <c r="L198" t="s">
        <v>23</v>
      </c>
      <c r="M198" s="3">
        <v>2805</v>
      </c>
      <c r="X198" s="5">
        <v>45789</v>
      </c>
      <c r="Z198" s="3">
        <v>1170816</v>
      </c>
    </row>
    <row r="199" spans="1:26" hidden="1" x14ac:dyDescent="0.3">
      <c r="A199" s="28">
        <v>45789</v>
      </c>
      <c r="B199" t="s">
        <v>19</v>
      </c>
      <c r="C199" s="3">
        <v>8165</v>
      </c>
      <c r="D199" s="3">
        <v>1140</v>
      </c>
      <c r="E199" s="3">
        <v>1177841</v>
      </c>
      <c r="F199" s="3">
        <f>YouTube!$C199-YouTube!$D199</f>
        <v>7025</v>
      </c>
      <c r="G199" s="30">
        <v>5.9643024822535499E-3</v>
      </c>
      <c r="H199">
        <v>9.095964565675672</v>
      </c>
      <c r="I199" s="31">
        <v>38228</v>
      </c>
      <c r="K199" s="5">
        <v>45789</v>
      </c>
      <c r="L199" t="s">
        <v>19</v>
      </c>
      <c r="M199" s="3">
        <v>7025</v>
      </c>
      <c r="X199" s="5">
        <v>45789</v>
      </c>
      <c r="Z199" s="3">
        <v>1177841</v>
      </c>
    </row>
    <row r="200" spans="1:26" hidden="1" x14ac:dyDescent="0.3">
      <c r="A200" s="28">
        <v>45789</v>
      </c>
      <c r="B200" t="s">
        <v>19</v>
      </c>
      <c r="C200" s="3">
        <v>1301</v>
      </c>
      <c r="D200" s="3">
        <v>180</v>
      </c>
      <c r="E200" s="3">
        <v>1178962</v>
      </c>
      <c r="F200" s="3">
        <f>YouTube!$C200-YouTube!$D200</f>
        <v>1121</v>
      </c>
      <c r="G200" s="30">
        <v>9.5083641372665096E-4</v>
      </c>
      <c r="H200">
        <v>5.2275645864752214</v>
      </c>
      <c r="I200" s="31">
        <v>44521</v>
      </c>
      <c r="K200" s="5">
        <v>45789</v>
      </c>
      <c r="L200" t="s">
        <v>19</v>
      </c>
      <c r="M200" s="3">
        <v>1121</v>
      </c>
      <c r="X200" s="5">
        <v>45789</v>
      </c>
      <c r="Z200" s="3">
        <v>1178962</v>
      </c>
    </row>
    <row r="201" spans="1:26" hidden="1" x14ac:dyDescent="0.3">
      <c r="A201" s="29">
        <v>45789</v>
      </c>
      <c r="B201" s="27" t="s">
        <v>41</v>
      </c>
      <c r="C201" s="32">
        <v>8527</v>
      </c>
      <c r="D201" s="32">
        <v>1091</v>
      </c>
      <c r="E201" s="32">
        <v>1186398</v>
      </c>
      <c r="F201" s="32">
        <f>YouTube!$C201-YouTube!$D201</f>
        <v>7436</v>
      </c>
      <c r="G201" s="33">
        <v>6.2677111728104704E-3</v>
      </c>
      <c r="H201" s="27">
        <v>1.676081719625286</v>
      </c>
      <c r="I201" s="34">
        <v>41703</v>
      </c>
      <c r="K201" s="5">
        <v>45789</v>
      </c>
      <c r="L201" t="s">
        <v>41</v>
      </c>
      <c r="M201" s="3">
        <v>7436</v>
      </c>
      <c r="X201" s="5">
        <v>45789</v>
      </c>
      <c r="Z201" s="3">
        <v>1186398</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CF036-84BD-4BEC-83E6-6C3D31CCBF93}">
  <dimension ref="A1:Y201"/>
  <sheetViews>
    <sheetView topLeftCell="K1" workbookViewId="0">
      <selection activeCell="W63" sqref="W63"/>
    </sheetView>
  </sheetViews>
  <sheetFormatPr defaultRowHeight="14.4" x14ac:dyDescent="0.3"/>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88671875" bestFit="1" customWidth="1"/>
    <col min="7" max="7" width="21" bestFit="1" customWidth="1"/>
    <col min="8" max="8" width="18" bestFit="1" customWidth="1"/>
    <col min="9" max="9" width="11.5546875" bestFit="1" customWidth="1"/>
    <col min="11" max="11" width="17.5546875" bestFit="1" customWidth="1"/>
    <col min="12" max="12" width="10.44140625" bestFit="1" customWidth="1"/>
    <col min="13" max="13" width="18.88671875" bestFit="1" customWidth="1"/>
    <col min="23" max="23" width="17.5546875" bestFit="1" customWidth="1"/>
    <col min="24" max="24" width="10.44140625" bestFit="1" customWidth="1"/>
    <col min="25" max="25" width="16.21875" bestFit="1" customWidth="1"/>
  </cols>
  <sheetData>
    <row r="1" spans="1:25" x14ac:dyDescent="0.3">
      <c r="A1" t="s">
        <v>338</v>
      </c>
      <c r="B1" t="s">
        <v>1</v>
      </c>
      <c r="C1" t="s">
        <v>339</v>
      </c>
      <c r="D1" t="s">
        <v>340</v>
      </c>
      <c r="E1" t="s">
        <v>341</v>
      </c>
      <c r="F1" t="s">
        <v>379</v>
      </c>
      <c r="G1" t="s">
        <v>342</v>
      </c>
      <c r="H1" t="s">
        <v>343</v>
      </c>
      <c r="I1" t="s">
        <v>344</v>
      </c>
      <c r="K1" t="s">
        <v>338</v>
      </c>
      <c r="L1" t="s">
        <v>386</v>
      </c>
      <c r="M1" t="s">
        <v>379</v>
      </c>
      <c r="W1" t="s">
        <v>338</v>
      </c>
      <c r="X1" t="s">
        <v>386</v>
      </c>
      <c r="Y1" t="s">
        <v>341</v>
      </c>
    </row>
    <row r="2" spans="1:25" hidden="1" x14ac:dyDescent="0.3">
      <c r="A2" s="5">
        <v>45446</v>
      </c>
      <c r="B2" t="s">
        <v>23</v>
      </c>
      <c r="C2" s="3">
        <v>4138</v>
      </c>
      <c r="D2" s="3">
        <v>361</v>
      </c>
      <c r="E2" s="3">
        <v>103777</v>
      </c>
      <c r="F2" s="3">
        <f>Table4_1416[[#This Row],[New_Followers]]-Table4_1416[[#This Row],[Unfollows]]</f>
        <v>3777</v>
      </c>
      <c r="G2" s="4">
        <v>3.6395347716738802E-2</v>
      </c>
      <c r="H2">
        <v>56.637790647253247</v>
      </c>
      <c r="I2" s="6">
        <v>23944</v>
      </c>
      <c r="K2" s="5">
        <v>45446</v>
      </c>
      <c r="L2" t="s">
        <v>23</v>
      </c>
      <c r="M2" s="3">
        <v>3777</v>
      </c>
      <c r="W2" s="5">
        <v>45446</v>
      </c>
      <c r="Y2" s="3">
        <v>103777</v>
      </c>
    </row>
    <row r="3" spans="1:25" hidden="1" x14ac:dyDescent="0.3">
      <c r="A3" s="5">
        <v>45446</v>
      </c>
      <c r="B3" t="s">
        <v>41</v>
      </c>
      <c r="C3" s="3">
        <v>8693</v>
      </c>
      <c r="D3" s="3">
        <v>1261</v>
      </c>
      <c r="E3" s="3">
        <v>111209</v>
      </c>
      <c r="F3" s="3">
        <f>Table4_1416[[#This Row],[New_Followers]]-Table4_1416[[#This Row],[Unfollows]]</f>
        <v>7432</v>
      </c>
      <c r="G3" s="4">
        <v>6.6829123542159405E-2</v>
      </c>
      <c r="H3">
        <v>69.475492091467416</v>
      </c>
      <c r="I3" s="6">
        <v>29873</v>
      </c>
      <c r="K3" s="5">
        <v>45446</v>
      </c>
      <c r="L3" t="s">
        <v>41</v>
      </c>
      <c r="M3" s="3">
        <v>7432</v>
      </c>
      <c r="W3" s="5">
        <v>45446</v>
      </c>
      <c r="Y3" s="3">
        <v>111209</v>
      </c>
    </row>
    <row r="4" spans="1:25" hidden="1" x14ac:dyDescent="0.3">
      <c r="A4" s="5">
        <v>45446</v>
      </c>
      <c r="B4" t="s">
        <v>14</v>
      </c>
      <c r="C4" s="3">
        <v>9264</v>
      </c>
      <c r="D4" s="3">
        <v>1141</v>
      </c>
      <c r="E4" s="3">
        <v>119332</v>
      </c>
      <c r="F4" s="3">
        <f>Table4_1416[[#This Row],[New_Followers]]-Table4_1416[[#This Row],[Unfollows]]</f>
        <v>8123</v>
      </c>
      <c r="G4" s="4">
        <v>6.8070592967519203E-2</v>
      </c>
      <c r="H4">
        <v>92.312204605638044</v>
      </c>
      <c r="I4" s="6">
        <v>50372</v>
      </c>
      <c r="K4" s="5">
        <v>45446</v>
      </c>
      <c r="L4" t="s">
        <v>14</v>
      </c>
      <c r="M4" s="3">
        <v>8123</v>
      </c>
      <c r="W4" s="5">
        <v>45446</v>
      </c>
      <c r="Y4" s="3">
        <v>119332</v>
      </c>
    </row>
    <row r="5" spans="1:25" hidden="1" x14ac:dyDescent="0.3">
      <c r="A5" s="5">
        <v>45446</v>
      </c>
      <c r="B5" t="s">
        <v>14</v>
      </c>
      <c r="C5" s="3">
        <v>8842</v>
      </c>
      <c r="D5" s="3">
        <v>971</v>
      </c>
      <c r="E5" s="3">
        <v>127203</v>
      </c>
      <c r="F5" s="3">
        <f>Table4_1416[[#This Row],[New_Followers]]-Table4_1416[[#This Row],[Unfollows]]</f>
        <v>7871</v>
      </c>
      <c r="G5" s="4">
        <v>6.1877471443283601E-2</v>
      </c>
      <c r="H5">
        <v>16.351815601833291</v>
      </c>
      <c r="I5" s="6">
        <v>33928</v>
      </c>
      <c r="K5" s="5">
        <v>45446</v>
      </c>
      <c r="L5" t="s">
        <v>14</v>
      </c>
      <c r="M5" s="3">
        <v>7871</v>
      </c>
      <c r="W5" s="5">
        <v>45446</v>
      </c>
      <c r="Y5" s="3">
        <v>127203</v>
      </c>
    </row>
    <row r="6" spans="1:25" hidden="1" x14ac:dyDescent="0.3">
      <c r="A6" s="5">
        <v>45453</v>
      </c>
      <c r="B6" t="s">
        <v>23</v>
      </c>
      <c r="C6" s="3">
        <v>7721</v>
      </c>
      <c r="D6" s="3">
        <v>506</v>
      </c>
      <c r="E6" s="3">
        <v>134418</v>
      </c>
      <c r="F6" s="3">
        <f>Table4_1416[[#This Row],[New_Followers]]-Table4_1416[[#This Row],[Unfollows]]</f>
        <v>7215</v>
      </c>
      <c r="G6" s="4">
        <v>5.3675846984778799E-2</v>
      </c>
      <c r="H6">
        <v>35.577824398518047</v>
      </c>
      <c r="I6" s="6">
        <v>25379</v>
      </c>
      <c r="K6" s="5">
        <v>45453</v>
      </c>
      <c r="L6" t="s">
        <v>23</v>
      </c>
      <c r="M6" s="3">
        <v>7215</v>
      </c>
      <c r="W6" s="5">
        <v>45453</v>
      </c>
      <c r="Y6" s="3">
        <v>134418</v>
      </c>
    </row>
    <row r="7" spans="1:25" hidden="1" x14ac:dyDescent="0.3">
      <c r="A7" s="5">
        <v>45453</v>
      </c>
      <c r="B7" t="s">
        <v>14</v>
      </c>
      <c r="C7" s="3">
        <v>8002</v>
      </c>
      <c r="D7" s="3">
        <v>524</v>
      </c>
      <c r="E7" s="3">
        <v>141896</v>
      </c>
      <c r="F7" s="3">
        <f>Table4_1416[[#This Row],[New_Followers]]-Table4_1416[[#This Row],[Unfollows]]</f>
        <v>7478</v>
      </c>
      <c r="G7" s="4">
        <v>5.2700569431132702E-2</v>
      </c>
      <c r="H7">
        <v>52.064892597395271</v>
      </c>
      <c r="I7" s="6">
        <v>46751</v>
      </c>
      <c r="K7" s="5">
        <v>45453</v>
      </c>
      <c r="L7" t="s">
        <v>14</v>
      </c>
      <c r="M7" s="3">
        <v>7478</v>
      </c>
      <c r="W7" s="5">
        <v>45453</v>
      </c>
      <c r="Y7" s="3">
        <v>141896</v>
      </c>
    </row>
    <row r="8" spans="1:25" hidden="1" x14ac:dyDescent="0.3">
      <c r="A8" s="5">
        <v>45453</v>
      </c>
      <c r="B8" t="s">
        <v>41</v>
      </c>
      <c r="C8" s="3">
        <v>5225</v>
      </c>
      <c r="D8" s="3">
        <v>291</v>
      </c>
      <c r="E8" s="3">
        <v>146830</v>
      </c>
      <c r="F8" s="3">
        <f>Table4_1416[[#This Row],[New_Followers]]-Table4_1416[[#This Row],[Unfollows]]</f>
        <v>4934</v>
      </c>
      <c r="G8" s="4">
        <v>3.3603487025812201E-2</v>
      </c>
      <c r="H8">
        <v>19.551862698358651</v>
      </c>
      <c r="I8" s="6">
        <v>44546</v>
      </c>
      <c r="K8" s="5">
        <v>45453</v>
      </c>
      <c r="L8" t="s">
        <v>41</v>
      </c>
      <c r="M8" s="3">
        <v>4934</v>
      </c>
      <c r="W8" s="5">
        <v>45453</v>
      </c>
      <c r="Y8" s="3">
        <v>146830</v>
      </c>
    </row>
    <row r="9" spans="1:25" hidden="1" x14ac:dyDescent="0.3">
      <c r="A9" s="5">
        <v>45453</v>
      </c>
      <c r="B9" t="s">
        <v>41</v>
      </c>
      <c r="C9" s="3">
        <v>3978</v>
      </c>
      <c r="D9" s="3">
        <v>543</v>
      </c>
      <c r="E9" s="3">
        <v>150265</v>
      </c>
      <c r="F9" s="3">
        <f>Table4_1416[[#This Row],[New_Followers]]-Table4_1416[[#This Row],[Unfollows]]</f>
        <v>3435</v>
      </c>
      <c r="G9" s="4">
        <v>2.2859614680730701E-2</v>
      </c>
      <c r="H9">
        <v>49.159817655475329</v>
      </c>
      <c r="I9" s="6">
        <v>34286</v>
      </c>
      <c r="K9" s="5">
        <v>45453</v>
      </c>
      <c r="L9" t="s">
        <v>41</v>
      </c>
      <c r="M9" s="3">
        <v>3435</v>
      </c>
      <c r="W9" s="5">
        <v>45453</v>
      </c>
      <c r="Y9" s="3">
        <v>150265</v>
      </c>
    </row>
    <row r="10" spans="1:25" hidden="1" x14ac:dyDescent="0.3">
      <c r="A10" s="5">
        <v>45460</v>
      </c>
      <c r="B10" t="s">
        <v>23</v>
      </c>
      <c r="C10" s="3">
        <v>8373</v>
      </c>
      <c r="D10" s="3">
        <v>921</v>
      </c>
      <c r="E10" s="3">
        <v>157717</v>
      </c>
      <c r="F10" s="3">
        <f>Table4_1416[[#This Row],[New_Followers]]-Table4_1416[[#This Row],[Unfollows]]</f>
        <v>7452</v>
      </c>
      <c r="G10" s="4">
        <v>4.7249186834646899E-2</v>
      </c>
      <c r="H10">
        <v>12.2263294381709</v>
      </c>
      <c r="I10" s="6">
        <v>15110</v>
      </c>
      <c r="K10" s="5">
        <v>45460</v>
      </c>
      <c r="L10" t="s">
        <v>23</v>
      </c>
      <c r="M10" s="3">
        <v>7452</v>
      </c>
      <c r="W10" s="5">
        <v>45460</v>
      </c>
      <c r="Y10" s="3">
        <v>157717</v>
      </c>
    </row>
    <row r="11" spans="1:25" hidden="1" x14ac:dyDescent="0.3">
      <c r="A11" s="5">
        <v>45460</v>
      </c>
      <c r="B11" t="s">
        <v>41</v>
      </c>
      <c r="C11" s="3">
        <v>6907</v>
      </c>
      <c r="D11" s="3">
        <v>834</v>
      </c>
      <c r="E11" s="3">
        <v>163790</v>
      </c>
      <c r="F11" s="3">
        <f>Table4_1416[[#This Row],[New_Followers]]-Table4_1416[[#This Row],[Unfollows]]</f>
        <v>6073</v>
      </c>
      <c r="G11" s="4">
        <v>3.70779656877709E-2</v>
      </c>
      <c r="H11">
        <v>54.158984064961238</v>
      </c>
      <c r="I11" s="6">
        <v>22087</v>
      </c>
      <c r="K11" s="5">
        <v>45460</v>
      </c>
      <c r="L11" t="s">
        <v>41</v>
      </c>
      <c r="M11" s="3">
        <v>6073</v>
      </c>
      <c r="W11" s="5">
        <v>45460</v>
      </c>
      <c r="Y11" s="3">
        <v>163790</v>
      </c>
    </row>
    <row r="12" spans="1:25" x14ac:dyDescent="0.3">
      <c r="A12" s="5">
        <v>45460</v>
      </c>
      <c r="B12" t="s">
        <v>19</v>
      </c>
      <c r="C12" s="3">
        <v>7097</v>
      </c>
      <c r="D12" s="3">
        <v>369</v>
      </c>
      <c r="E12" s="3">
        <v>170518</v>
      </c>
      <c r="F12" s="3">
        <f>Table4_1416[[#This Row],[New_Followers]]-Table4_1416[[#This Row],[Unfollows]]</f>
        <v>6728</v>
      </c>
      <c r="G12" s="4">
        <v>3.9456245088495101E-2</v>
      </c>
      <c r="H12">
        <v>9.2506362964613711</v>
      </c>
      <c r="I12" s="6">
        <v>33762</v>
      </c>
      <c r="K12" s="5">
        <v>45460</v>
      </c>
      <c r="M12" s="3">
        <v>6728</v>
      </c>
      <c r="W12" s="5">
        <v>45460</v>
      </c>
      <c r="Y12" s="3">
        <v>170518</v>
      </c>
    </row>
    <row r="13" spans="1:25" hidden="1" x14ac:dyDescent="0.3">
      <c r="A13" s="5">
        <v>45460</v>
      </c>
      <c r="B13" t="s">
        <v>23</v>
      </c>
      <c r="C13" s="3">
        <v>6656</v>
      </c>
      <c r="D13" s="3">
        <v>978</v>
      </c>
      <c r="E13" s="3">
        <v>176196</v>
      </c>
      <c r="F13" s="3">
        <f>Table4_1416[[#This Row],[New_Followers]]-Table4_1416[[#This Row],[Unfollows]]</f>
        <v>5678</v>
      </c>
      <c r="G13" s="4">
        <v>3.2225476174260498E-2</v>
      </c>
      <c r="H13">
        <v>60.425889350496043</v>
      </c>
      <c r="I13" s="6">
        <v>27081</v>
      </c>
      <c r="K13" s="5">
        <v>45460</v>
      </c>
      <c r="L13" t="s">
        <v>23</v>
      </c>
      <c r="M13" s="3">
        <v>5678</v>
      </c>
      <c r="W13" s="5">
        <v>45460</v>
      </c>
      <c r="Y13" s="3">
        <v>176196</v>
      </c>
    </row>
    <row r="14" spans="1:25" hidden="1" x14ac:dyDescent="0.3">
      <c r="A14" s="5">
        <v>45467</v>
      </c>
      <c r="B14" t="s">
        <v>41</v>
      </c>
      <c r="C14" s="3">
        <v>9984</v>
      </c>
      <c r="D14" s="3">
        <v>1330</v>
      </c>
      <c r="E14" s="3">
        <v>184850</v>
      </c>
      <c r="F14" s="3">
        <f>Table4_1416[[#This Row],[New_Followers]]-Table4_1416[[#This Row],[Unfollows]]</f>
        <v>8654</v>
      </c>
      <c r="G14" s="4">
        <v>4.6816337571003501E-2</v>
      </c>
      <c r="H14">
        <v>57.524479307546663</v>
      </c>
      <c r="I14" s="6">
        <v>44947</v>
      </c>
      <c r="K14" s="5">
        <v>45467</v>
      </c>
      <c r="L14" t="s">
        <v>41</v>
      </c>
      <c r="M14" s="3">
        <v>8654</v>
      </c>
      <c r="W14" s="5">
        <v>45467</v>
      </c>
      <c r="Y14" s="3">
        <v>184850</v>
      </c>
    </row>
    <row r="15" spans="1:25" hidden="1" x14ac:dyDescent="0.3">
      <c r="A15" s="5">
        <v>45467</v>
      </c>
      <c r="B15" t="s">
        <v>23</v>
      </c>
      <c r="C15" s="3">
        <v>5259</v>
      </c>
      <c r="D15" s="3">
        <v>374</v>
      </c>
      <c r="E15" s="3">
        <v>189735</v>
      </c>
      <c r="F15" s="3">
        <f>Table4_1416[[#This Row],[New_Followers]]-Table4_1416[[#This Row],[Unfollows]]</f>
        <v>4885</v>
      </c>
      <c r="G15" s="4">
        <v>2.5746435818378301E-2</v>
      </c>
      <c r="H15">
        <v>14.827522597306769</v>
      </c>
      <c r="I15" s="6">
        <v>19596</v>
      </c>
      <c r="K15" s="5">
        <v>45467</v>
      </c>
      <c r="L15" t="s">
        <v>23</v>
      </c>
      <c r="M15" s="3">
        <v>4885</v>
      </c>
      <c r="W15" s="5">
        <v>45467</v>
      </c>
      <c r="Y15" s="3">
        <v>189735</v>
      </c>
    </row>
    <row r="16" spans="1:25" hidden="1" x14ac:dyDescent="0.3">
      <c r="A16" s="5">
        <v>45467</v>
      </c>
      <c r="B16" t="s">
        <v>14</v>
      </c>
      <c r="C16" s="3">
        <v>9286</v>
      </c>
      <c r="D16" s="3">
        <v>633</v>
      </c>
      <c r="E16" s="3">
        <v>198388</v>
      </c>
      <c r="F16" s="3">
        <f>Table4_1416[[#This Row],[New_Followers]]-Table4_1416[[#This Row],[Unfollows]]</f>
        <v>8653</v>
      </c>
      <c r="G16" s="4">
        <v>4.3616549388067798E-2</v>
      </c>
      <c r="H16">
        <v>5.4343004617214756</v>
      </c>
      <c r="I16" s="6">
        <v>48019</v>
      </c>
      <c r="K16" s="5">
        <v>45467</v>
      </c>
      <c r="L16" t="s">
        <v>14</v>
      </c>
      <c r="M16" s="3">
        <v>8653</v>
      </c>
      <c r="W16" s="5">
        <v>45467</v>
      </c>
      <c r="Y16" s="3">
        <v>198388</v>
      </c>
    </row>
    <row r="17" spans="1:25" hidden="1" x14ac:dyDescent="0.3">
      <c r="A17" s="5">
        <v>45467</v>
      </c>
      <c r="B17" t="s">
        <v>41</v>
      </c>
      <c r="C17" s="3">
        <v>6901</v>
      </c>
      <c r="D17" s="3">
        <v>471</v>
      </c>
      <c r="E17" s="3">
        <v>204818</v>
      </c>
      <c r="F17" s="3">
        <f>Table4_1416[[#This Row],[New_Followers]]-Table4_1416[[#This Row],[Unfollows]]</f>
        <v>6430</v>
      </c>
      <c r="G17" s="4">
        <v>3.1393725160874499E-2</v>
      </c>
      <c r="H17">
        <v>60.827661631301943</v>
      </c>
      <c r="I17" s="6">
        <v>52003</v>
      </c>
      <c r="K17" s="5">
        <v>45467</v>
      </c>
      <c r="L17" t="s">
        <v>41</v>
      </c>
      <c r="M17" s="3">
        <v>6430</v>
      </c>
      <c r="W17" s="5">
        <v>45467</v>
      </c>
      <c r="Y17" s="3">
        <v>204818</v>
      </c>
    </row>
    <row r="18" spans="1:25" x14ac:dyDescent="0.3">
      <c r="A18" s="5">
        <v>45474</v>
      </c>
      <c r="B18" t="s">
        <v>19</v>
      </c>
      <c r="C18" s="3">
        <v>5917</v>
      </c>
      <c r="D18" s="3">
        <v>475</v>
      </c>
      <c r="E18" s="3">
        <v>210260</v>
      </c>
      <c r="F18" s="3">
        <f>Table4_1416[[#This Row],[New_Followers]]-Table4_1416[[#This Row],[Unfollows]]</f>
        <v>5442</v>
      </c>
      <c r="G18" s="4">
        <v>2.5882241034909201E-2</v>
      </c>
      <c r="H18">
        <v>17.894035955483691</v>
      </c>
      <c r="I18" s="6">
        <v>28313</v>
      </c>
      <c r="K18" s="5">
        <v>45474</v>
      </c>
      <c r="M18" s="3">
        <v>5442</v>
      </c>
      <c r="W18" s="5">
        <v>45474</v>
      </c>
      <c r="Y18" s="3">
        <v>210260</v>
      </c>
    </row>
    <row r="19" spans="1:25" hidden="1" x14ac:dyDescent="0.3">
      <c r="A19" s="5">
        <v>45474</v>
      </c>
      <c r="B19" t="s">
        <v>41</v>
      </c>
      <c r="C19" s="3">
        <v>9429</v>
      </c>
      <c r="D19" s="3">
        <v>966</v>
      </c>
      <c r="E19" s="3">
        <v>218723</v>
      </c>
      <c r="F19" s="3">
        <f>Table4_1416[[#This Row],[New_Followers]]-Table4_1416[[#This Row],[Unfollows]]</f>
        <v>8463</v>
      </c>
      <c r="G19" s="4">
        <v>3.8692775794040901E-2</v>
      </c>
      <c r="H19">
        <v>7.6914636320825887</v>
      </c>
      <c r="I19" s="6">
        <v>57639</v>
      </c>
      <c r="K19" s="5">
        <v>45474</v>
      </c>
      <c r="L19" t="s">
        <v>41</v>
      </c>
      <c r="M19" s="3">
        <v>8463</v>
      </c>
      <c r="W19" s="5">
        <v>45474</v>
      </c>
      <c r="Y19" s="3">
        <v>218723</v>
      </c>
    </row>
    <row r="20" spans="1:25" hidden="1" x14ac:dyDescent="0.3">
      <c r="A20" s="5">
        <v>45474</v>
      </c>
      <c r="B20" t="s">
        <v>23</v>
      </c>
      <c r="C20" s="3">
        <v>3530</v>
      </c>
      <c r="D20" s="3">
        <v>328</v>
      </c>
      <c r="E20" s="3">
        <v>221925</v>
      </c>
      <c r="F20" s="3">
        <f>Table4_1416[[#This Row],[New_Followers]]-Table4_1416[[#This Row],[Unfollows]]</f>
        <v>3202</v>
      </c>
      <c r="G20" s="4">
        <v>1.44282978483722E-2</v>
      </c>
      <c r="H20">
        <v>12.8372197814577</v>
      </c>
      <c r="I20" s="6">
        <v>11013</v>
      </c>
      <c r="K20" s="5">
        <v>45474</v>
      </c>
      <c r="L20" t="s">
        <v>23</v>
      </c>
      <c r="M20" s="3">
        <v>3202</v>
      </c>
      <c r="W20" s="5">
        <v>45474</v>
      </c>
      <c r="Y20" s="3">
        <v>221925</v>
      </c>
    </row>
    <row r="21" spans="1:25" hidden="1" x14ac:dyDescent="0.3">
      <c r="A21" s="5">
        <v>45474</v>
      </c>
      <c r="B21" t="s">
        <v>23</v>
      </c>
      <c r="C21" s="3">
        <v>2960</v>
      </c>
      <c r="D21" s="3">
        <v>234</v>
      </c>
      <c r="E21" s="3">
        <v>224651</v>
      </c>
      <c r="F21" s="3">
        <f>Table4_1416[[#This Row],[New_Followers]]-Table4_1416[[#This Row],[Unfollows]]</f>
        <v>2726</v>
      </c>
      <c r="G21" s="4">
        <v>1.21343773230478E-2</v>
      </c>
      <c r="H21">
        <v>17.41278694508371</v>
      </c>
      <c r="I21" s="6">
        <v>59378</v>
      </c>
      <c r="K21" s="5">
        <v>45474</v>
      </c>
      <c r="L21" t="s">
        <v>23</v>
      </c>
      <c r="M21" s="3">
        <v>2726</v>
      </c>
      <c r="W21" s="5">
        <v>45474</v>
      </c>
      <c r="Y21" s="3">
        <v>224651</v>
      </c>
    </row>
    <row r="22" spans="1:25" hidden="1" x14ac:dyDescent="0.3">
      <c r="A22" s="5">
        <v>45481</v>
      </c>
      <c r="B22" t="s">
        <v>41</v>
      </c>
      <c r="C22" s="3">
        <v>8045</v>
      </c>
      <c r="D22" s="3">
        <v>894</v>
      </c>
      <c r="E22" s="3">
        <v>231802</v>
      </c>
      <c r="F22" s="3">
        <f>Table4_1416[[#This Row],[New_Followers]]-Table4_1416[[#This Row],[Unfollows]]</f>
        <v>7151</v>
      </c>
      <c r="G22" s="4">
        <v>3.0849604403758401E-2</v>
      </c>
      <c r="H22">
        <v>47.634187798207087</v>
      </c>
      <c r="I22" s="6">
        <v>33705</v>
      </c>
      <c r="K22" s="5">
        <v>45481</v>
      </c>
      <c r="L22" t="s">
        <v>41</v>
      </c>
      <c r="M22" s="3">
        <v>7151</v>
      </c>
      <c r="W22" s="5">
        <v>45481</v>
      </c>
      <c r="Y22" s="3">
        <v>231802</v>
      </c>
    </row>
    <row r="23" spans="1:25" x14ac:dyDescent="0.3">
      <c r="A23" s="5">
        <v>45481</v>
      </c>
      <c r="B23" t="s">
        <v>19</v>
      </c>
      <c r="C23" s="3">
        <v>2048</v>
      </c>
      <c r="D23" s="3">
        <v>130</v>
      </c>
      <c r="E23" s="3">
        <v>233720</v>
      </c>
      <c r="F23" s="3">
        <f>Table4_1416[[#This Row],[New_Followers]]-Table4_1416[[#This Row],[Unfollows]]</f>
        <v>1918</v>
      </c>
      <c r="G23" s="4">
        <v>8.2064008214958097E-3</v>
      </c>
      <c r="H23">
        <v>39.284614068115687</v>
      </c>
      <c r="I23" s="6">
        <v>11828</v>
      </c>
      <c r="K23" s="5">
        <v>45481</v>
      </c>
      <c r="M23" s="3">
        <v>1918</v>
      </c>
      <c r="W23" s="5">
        <v>45481</v>
      </c>
      <c r="Y23" s="3">
        <v>233720</v>
      </c>
    </row>
    <row r="24" spans="1:25" x14ac:dyDescent="0.3">
      <c r="A24" s="5">
        <v>45481</v>
      </c>
      <c r="B24" t="s">
        <v>19</v>
      </c>
      <c r="C24" s="3">
        <v>6772</v>
      </c>
      <c r="D24" s="3">
        <v>536</v>
      </c>
      <c r="E24" s="3">
        <v>239956</v>
      </c>
      <c r="F24" s="3">
        <f>Table4_1416[[#This Row],[New_Followers]]-Table4_1416[[#This Row],[Unfollows]]</f>
        <v>6236</v>
      </c>
      <c r="G24" s="4">
        <v>2.5988097817933299E-2</v>
      </c>
      <c r="H24">
        <v>9.8205504342462788</v>
      </c>
      <c r="I24" s="6">
        <v>17909</v>
      </c>
      <c r="K24" s="5">
        <v>45481</v>
      </c>
      <c r="M24" s="3">
        <v>6236</v>
      </c>
      <c r="W24" s="5">
        <v>45481</v>
      </c>
      <c r="Y24" s="3">
        <v>239956</v>
      </c>
    </row>
    <row r="25" spans="1:25" x14ac:dyDescent="0.3">
      <c r="A25" s="5">
        <v>45481</v>
      </c>
      <c r="B25" t="s">
        <v>19</v>
      </c>
      <c r="C25" s="3">
        <v>3529</v>
      </c>
      <c r="D25" s="3">
        <v>305</v>
      </c>
      <c r="E25" s="3">
        <v>243180</v>
      </c>
      <c r="F25" s="3">
        <f>Table4_1416[[#This Row],[New_Followers]]-Table4_1416[[#This Row],[Unfollows]]</f>
        <v>3224</v>
      </c>
      <c r="G25" s="4">
        <v>1.3257669216218401E-2</v>
      </c>
      <c r="H25">
        <v>41.606628834608109</v>
      </c>
      <c r="I25" s="6">
        <v>48356</v>
      </c>
      <c r="K25" s="5">
        <v>45481</v>
      </c>
      <c r="M25" s="3">
        <v>3224</v>
      </c>
      <c r="W25" s="5">
        <v>45481</v>
      </c>
      <c r="Y25" s="3">
        <v>243180</v>
      </c>
    </row>
    <row r="26" spans="1:25" hidden="1" x14ac:dyDescent="0.3">
      <c r="A26" s="5">
        <v>45488</v>
      </c>
      <c r="B26" t="s">
        <v>23</v>
      </c>
      <c r="C26" s="3">
        <v>3964</v>
      </c>
      <c r="D26" s="3">
        <v>378</v>
      </c>
      <c r="E26" s="3">
        <v>246766</v>
      </c>
      <c r="F26" s="3">
        <f>Table4_1416[[#This Row],[New_Followers]]-Table4_1416[[#This Row],[Unfollows]]</f>
        <v>3586</v>
      </c>
      <c r="G26" s="4">
        <v>1.45319857678935E-2</v>
      </c>
      <c r="H26">
        <v>13.6355899921383</v>
      </c>
      <c r="I26" s="6">
        <v>23109</v>
      </c>
      <c r="K26" s="5">
        <v>45488</v>
      </c>
      <c r="L26" t="s">
        <v>23</v>
      </c>
      <c r="M26" s="3">
        <v>3586</v>
      </c>
      <c r="W26" s="5">
        <v>45488</v>
      </c>
      <c r="Y26" s="3">
        <v>246766</v>
      </c>
    </row>
    <row r="27" spans="1:25" hidden="1" x14ac:dyDescent="0.3">
      <c r="A27" s="5">
        <v>45488</v>
      </c>
      <c r="B27" t="s">
        <v>41</v>
      </c>
      <c r="C27" s="3">
        <v>8137</v>
      </c>
      <c r="D27" s="3">
        <v>1045</v>
      </c>
      <c r="E27" s="3">
        <v>253858</v>
      </c>
      <c r="F27" s="3">
        <f>Table4_1416[[#This Row],[New_Followers]]-Table4_1416[[#This Row],[Unfollows]]</f>
        <v>7092</v>
      </c>
      <c r="G27" s="4">
        <v>2.79368780972039E-2</v>
      </c>
      <c r="H27">
        <v>20.47246886054408</v>
      </c>
      <c r="I27" s="6">
        <v>12023</v>
      </c>
      <c r="K27" s="5">
        <v>45488</v>
      </c>
      <c r="L27" t="s">
        <v>41</v>
      </c>
      <c r="M27" s="3">
        <v>7092</v>
      </c>
      <c r="W27" s="5">
        <v>45488</v>
      </c>
      <c r="Y27" s="3">
        <v>253858</v>
      </c>
    </row>
    <row r="28" spans="1:25" hidden="1" x14ac:dyDescent="0.3">
      <c r="A28" s="5">
        <v>45488</v>
      </c>
      <c r="B28" t="s">
        <v>14</v>
      </c>
      <c r="C28" s="3">
        <v>1963</v>
      </c>
      <c r="D28" s="3">
        <v>137</v>
      </c>
      <c r="E28" s="3">
        <v>255684</v>
      </c>
      <c r="F28" s="3">
        <f>Table4_1416[[#This Row],[New_Followers]]-Table4_1416[[#This Row],[Unfollows]]</f>
        <v>1826</v>
      </c>
      <c r="G28" s="4">
        <v>7.1416279469970799E-3</v>
      </c>
      <c r="H28">
        <v>11.2083665774941</v>
      </c>
      <c r="I28" s="6">
        <v>24537</v>
      </c>
      <c r="K28" s="5">
        <v>45488</v>
      </c>
      <c r="L28" t="s">
        <v>14</v>
      </c>
      <c r="M28" s="3">
        <v>1826</v>
      </c>
      <c r="W28" s="5">
        <v>45488</v>
      </c>
      <c r="Y28" s="3">
        <v>255684</v>
      </c>
    </row>
    <row r="29" spans="1:25" hidden="1" x14ac:dyDescent="0.3">
      <c r="A29" s="5">
        <v>45488</v>
      </c>
      <c r="B29" t="s">
        <v>23</v>
      </c>
      <c r="C29" s="3">
        <v>1536</v>
      </c>
      <c r="D29" s="3">
        <v>155</v>
      </c>
      <c r="E29" s="3">
        <v>257065</v>
      </c>
      <c r="F29" s="3">
        <f>Table4_1416[[#This Row],[New_Followers]]-Table4_1416[[#This Row],[Unfollows]]</f>
        <v>1381</v>
      </c>
      <c r="G29" s="4">
        <v>5.3721821329235798E-3</v>
      </c>
      <c r="H29">
        <v>12.15762550327738</v>
      </c>
      <c r="I29" s="6">
        <v>36661</v>
      </c>
      <c r="K29" s="5">
        <v>45488</v>
      </c>
      <c r="L29" t="s">
        <v>23</v>
      </c>
      <c r="M29" s="3">
        <v>1381</v>
      </c>
      <c r="W29" s="5">
        <v>45488</v>
      </c>
      <c r="Y29" s="3">
        <v>257065</v>
      </c>
    </row>
    <row r="30" spans="1:25" x14ac:dyDescent="0.3">
      <c r="A30" s="5">
        <v>45495</v>
      </c>
      <c r="B30" t="s">
        <v>19</v>
      </c>
      <c r="C30" s="3">
        <v>8340</v>
      </c>
      <c r="D30" s="3">
        <v>911</v>
      </c>
      <c r="E30" s="3">
        <v>264494</v>
      </c>
      <c r="F30" s="3">
        <f>Table4_1416[[#This Row],[New_Followers]]-Table4_1416[[#This Row],[Unfollows]]</f>
        <v>7429</v>
      </c>
      <c r="G30" s="4">
        <v>2.8087593669421599E-2</v>
      </c>
      <c r="H30">
        <v>37.302925586213682</v>
      </c>
      <c r="I30" s="6">
        <v>48659</v>
      </c>
      <c r="K30" s="5">
        <v>45495</v>
      </c>
      <c r="M30" s="3">
        <v>7429</v>
      </c>
      <c r="W30" s="5">
        <v>45495</v>
      </c>
      <c r="Y30" s="3">
        <v>264494</v>
      </c>
    </row>
    <row r="31" spans="1:25" hidden="1" x14ac:dyDescent="0.3">
      <c r="A31" s="5">
        <v>45495</v>
      </c>
      <c r="B31" t="s">
        <v>41</v>
      </c>
      <c r="C31" s="3">
        <v>8179</v>
      </c>
      <c r="D31" s="3">
        <v>446</v>
      </c>
      <c r="E31" s="3">
        <v>272227</v>
      </c>
      <c r="F31" s="3">
        <f>Table4_1416[[#This Row],[New_Followers]]-Table4_1416[[#This Row],[Unfollows]]</f>
        <v>7733</v>
      </c>
      <c r="G31" s="4">
        <v>2.84064402134983E-2</v>
      </c>
      <c r="H31">
        <v>41.82171496581897</v>
      </c>
      <c r="I31" s="6">
        <v>43848</v>
      </c>
      <c r="K31" s="5">
        <v>45495</v>
      </c>
      <c r="L31" t="s">
        <v>41</v>
      </c>
      <c r="M31" s="3">
        <v>7733</v>
      </c>
      <c r="W31" s="5">
        <v>45495</v>
      </c>
      <c r="Y31" s="3">
        <v>272227</v>
      </c>
    </row>
    <row r="32" spans="1:25" x14ac:dyDescent="0.3">
      <c r="A32" s="5">
        <v>45495</v>
      </c>
      <c r="B32" t="s">
        <v>19</v>
      </c>
      <c r="C32" s="3">
        <v>8967</v>
      </c>
      <c r="D32" s="3">
        <v>993</v>
      </c>
      <c r="E32" s="3">
        <v>280201</v>
      </c>
      <c r="F32" s="3">
        <f>Table4_1416[[#This Row],[New_Followers]]-Table4_1416[[#This Row],[Unfollows]]</f>
        <v>7974</v>
      </c>
      <c r="G32" s="4">
        <v>2.8458142547671102E-2</v>
      </c>
      <c r="H32">
        <v>52.792102811910027</v>
      </c>
      <c r="I32" s="6">
        <v>47804</v>
      </c>
      <c r="K32" s="5">
        <v>45495</v>
      </c>
      <c r="M32" s="3">
        <v>7974</v>
      </c>
      <c r="W32" s="5">
        <v>45495</v>
      </c>
      <c r="Y32" s="3">
        <v>280201</v>
      </c>
    </row>
    <row r="33" spans="1:25" hidden="1" x14ac:dyDescent="0.3">
      <c r="A33" s="5">
        <v>45495</v>
      </c>
      <c r="B33" t="s">
        <v>14</v>
      </c>
      <c r="C33" s="3">
        <v>9734</v>
      </c>
      <c r="D33" s="3">
        <v>652</v>
      </c>
      <c r="E33" s="3">
        <v>289283</v>
      </c>
      <c r="F33" s="3">
        <f>Table4_1416[[#This Row],[New_Followers]]-Table4_1416[[#This Row],[Unfollows]]</f>
        <v>9082</v>
      </c>
      <c r="G33" s="4">
        <v>3.1394862470314498E-2</v>
      </c>
      <c r="H33">
        <v>49.647922622483861</v>
      </c>
      <c r="I33" s="6">
        <v>25379</v>
      </c>
      <c r="K33" s="5">
        <v>45495</v>
      </c>
      <c r="L33" t="s">
        <v>14</v>
      </c>
      <c r="M33" s="3">
        <v>9082</v>
      </c>
      <c r="W33" s="5">
        <v>45495</v>
      </c>
      <c r="Y33" s="3">
        <v>289283</v>
      </c>
    </row>
    <row r="34" spans="1:25" x14ac:dyDescent="0.3">
      <c r="A34" s="5">
        <v>45502</v>
      </c>
      <c r="B34" t="s">
        <v>19</v>
      </c>
      <c r="C34" s="3">
        <v>1845</v>
      </c>
      <c r="D34" s="3">
        <v>104</v>
      </c>
      <c r="E34" s="3">
        <v>291024</v>
      </c>
      <c r="F34" s="3">
        <f>Table4_1416[[#This Row],[New_Followers]]-Table4_1416[[#This Row],[Unfollows]]</f>
        <v>1741</v>
      </c>
      <c r="G34" s="4">
        <v>5.9823244818296801E-3</v>
      </c>
      <c r="H34">
        <v>28.158158777282971</v>
      </c>
      <c r="I34" s="6">
        <v>37766</v>
      </c>
      <c r="K34" s="5">
        <v>45502</v>
      </c>
      <c r="M34" s="3">
        <v>1741</v>
      </c>
      <c r="W34" s="5">
        <v>45502</v>
      </c>
      <c r="Y34" s="3">
        <v>291024</v>
      </c>
    </row>
    <row r="35" spans="1:25" x14ac:dyDescent="0.3">
      <c r="A35" s="5">
        <v>45502</v>
      </c>
      <c r="B35" t="s">
        <v>19</v>
      </c>
      <c r="C35" s="3">
        <v>6777</v>
      </c>
      <c r="D35" s="3">
        <v>981</v>
      </c>
      <c r="E35" s="3">
        <v>296820</v>
      </c>
      <c r="F35" s="3">
        <f>Table4_1416[[#This Row],[New_Followers]]-Table4_1416[[#This Row],[Unfollows]]</f>
        <v>5796</v>
      </c>
      <c r="G35" s="4">
        <v>1.9526986052152799E-2</v>
      </c>
      <c r="H35">
        <v>23.920557913887201</v>
      </c>
      <c r="I35" s="6">
        <v>53590</v>
      </c>
      <c r="K35" s="5">
        <v>45502</v>
      </c>
      <c r="M35" s="3">
        <v>5796</v>
      </c>
      <c r="W35" s="5">
        <v>45502</v>
      </c>
      <c r="Y35" s="3">
        <v>296820</v>
      </c>
    </row>
    <row r="36" spans="1:25" hidden="1" x14ac:dyDescent="0.3">
      <c r="A36" s="5">
        <v>45502</v>
      </c>
      <c r="B36" t="s">
        <v>14</v>
      </c>
      <c r="C36" s="3">
        <v>4036</v>
      </c>
      <c r="D36" s="3">
        <v>591</v>
      </c>
      <c r="E36" s="3">
        <v>300265</v>
      </c>
      <c r="F36" s="3">
        <f>Table4_1416[[#This Row],[New_Followers]]-Table4_1416[[#This Row],[Unfollows]]</f>
        <v>3445</v>
      </c>
      <c r="G36" s="4">
        <v>1.1473198674504199E-2</v>
      </c>
      <c r="H36">
        <v>44.219272975538267</v>
      </c>
      <c r="I36" s="6">
        <v>12563</v>
      </c>
      <c r="K36" s="5">
        <v>45502</v>
      </c>
      <c r="L36" t="s">
        <v>14</v>
      </c>
      <c r="M36" s="3">
        <v>3445</v>
      </c>
      <c r="W36" s="5">
        <v>45502</v>
      </c>
      <c r="Y36" s="3">
        <v>300265</v>
      </c>
    </row>
    <row r="37" spans="1:25" hidden="1" x14ac:dyDescent="0.3">
      <c r="A37" s="5">
        <v>45502</v>
      </c>
      <c r="B37" t="s">
        <v>41</v>
      </c>
      <c r="C37" s="3">
        <v>6947</v>
      </c>
      <c r="D37" s="3">
        <v>908</v>
      </c>
      <c r="E37" s="3">
        <v>306304</v>
      </c>
      <c r="F37" s="3">
        <f>Table4_1416[[#This Row],[New_Followers]]-Table4_1416[[#This Row],[Unfollows]]</f>
        <v>6039</v>
      </c>
      <c r="G37" s="4">
        <v>1.9715707271207701E-2</v>
      </c>
      <c r="H37">
        <v>14.117673944839121</v>
      </c>
      <c r="I37" s="6">
        <v>46060</v>
      </c>
      <c r="K37" s="5">
        <v>45502</v>
      </c>
      <c r="L37" t="s">
        <v>41</v>
      </c>
      <c r="M37" s="3">
        <v>6039</v>
      </c>
      <c r="W37" s="5">
        <v>45502</v>
      </c>
      <c r="Y37" s="3">
        <v>306304</v>
      </c>
    </row>
    <row r="38" spans="1:25" hidden="1" x14ac:dyDescent="0.3">
      <c r="A38" s="5">
        <v>45509</v>
      </c>
      <c r="B38" t="s">
        <v>23</v>
      </c>
      <c r="C38" s="3">
        <v>3494</v>
      </c>
      <c r="D38" s="3">
        <v>281</v>
      </c>
      <c r="E38" s="3">
        <v>309517</v>
      </c>
      <c r="F38" s="3">
        <f>Table4_1416[[#This Row],[New_Followers]]-Table4_1416[[#This Row],[Unfollows]]</f>
        <v>3213</v>
      </c>
      <c r="G38" s="4">
        <v>1.03806899136396E-2</v>
      </c>
      <c r="H38">
        <v>27.765518533715429</v>
      </c>
      <c r="I38" s="6">
        <v>39197</v>
      </c>
      <c r="K38" s="5">
        <v>45509</v>
      </c>
      <c r="L38" t="s">
        <v>23</v>
      </c>
      <c r="M38" s="3">
        <v>3213</v>
      </c>
      <c r="W38" s="5">
        <v>45509</v>
      </c>
      <c r="Y38" s="3">
        <v>309517</v>
      </c>
    </row>
    <row r="39" spans="1:25" hidden="1" x14ac:dyDescent="0.3">
      <c r="A39" s="5">
        <v>45509</v>
      </c>
      <c r="B39" t="s">
        <v>41</v>
      </c>
      <c r="C39" s="3">
        <v>3719</v>
      </c>
      <c r="D39" s="3">
        <v>222</v>
      </c>
      <c r="E39" s="3">
        <v>313014</v>
      </c>
      <c r="F39" s="3">
        <f>Table4_1416[[#This Row],[New_Followers]]-Table4_1416[[#This Row],[Unfollows]]</f>
        <v>3497</v>
      </c>
      <c r="G39" s="4">
        <v>1.11720242545062E-2</v>
      </c>
      <c r="H39">
        <v>21.669318305251519</v>
      </c>
      <c r="I39" s="6">
        <v>13586</v>
      </c>
      <c r="K39" s="5">
        <v>45509</v>
      </c>
      <c r="L39" t="s">
        <v>41</v>
      </c>
      <c r="M39" s="3">
        <v>3497</v>
      </c>
      <c r="W39" s="5">
        <v>45509</v>
      </c>
      <c r="Y39" s="3">
        <v>313014</v>
      </c>
    </row>
    <row r="40" spans="1:25" hidden="1" x14ac:dyDescent="0.3">
      <c r="A40" s="5">
        <v>45509</v>
      </c>
      <c r="B40" t="s">
        <v>14</v>
      </c>
      <c r="C40" s="3">
        <v>2884</v>
      </c>
      <c r="D40" s="3">
        <v>341</v>
      </c>
      <c r="E40" s="3">
        <v>315557</v>
      </c>
      <c r="F40" s="3">
        <f>Table4_1416[[#This Row],[New_Followers]]-Table4_1416[[#This Row],[Unfollows]]</f>
        <v>2543</v>
      </c>
      <c r="G40" s="4">
        <v>8.0587659281841292E-3</v>
      </c>
      <c r="H40">
        <v>46.999749649033298</v>
      </c>
      <c r="I40" s="6">
        <v>26087</v>
      </c>
      <c r="K40" s="5">
        <v>45509</v>
      </c>
      <c r="L40" t="s">
        <v>14</v>
      </c>
      <c r="M40" s="3">
        <v>2543</v>
      </c>
      <c r="W40" s="5">
        <v>45509</v>
      </c>
      <c r="Y40" s="3">
        <v>315557</v>
      </c>
    </row>
    <row r="41" spans="1:25" x14ac:dyDescent="0.3">
      <c r="A41" s="5">
        <v>45509</v>
      </c>
      <c r="B41" t="s">
        <v>19</v>
      </c>
      <c r="C41" s="3">
        <v>5349</v>
      </c>
      <c r="D41" s="3">
        <v>502</v>
      </c>
      <c r="E41" s="3">
        <v>320404</v>
      </c>
      <c r="F41" s="3">
        <f>Table4_1416[[#This Row],[New_Followers]]-Table4_1416[[#This Row],[Unfollows]]</f>
        <v>4847</v>
      </c>
      <c r="G41" s="4">
        <v>1.51277761825695E-2</v>
      </c>
      <c r="H41">
        <v>5.2152906954969351</v>
      </c>
      <c r="I41" s="6">
        <v>58868</v>
      </c>
      <c r="K41" s="5">
        <v>45509</v>
      </c>
      <c r="M41" s="3">
        <v>4847</v>
      </c>
      <c r="W41" s="5">
        <v>45509</v>
      </c>
      <c r="Y41" s="3">
        <v>320404</v>
      </c>
    </row>
    <row r="42" spans="1:25" hidden="1" x14ac:dyDescent="0.3">
      <c r="A42" s="5">
        <v>45516</v>
      </c>
      <c r="B42" t="s">
        <v>41</v>
      </c>
      <c r="C42" s="3">
        <v>6179</v>
      </c>
      <c r="D42" s="3">
        <v>384</v>
      </c>
      <c r="E42" s="3">
        <v>326199</v>
      </c>
      <c r="F42" s="3">
        <f>Table4_1416[[#This Row],[New_Followers]]-Table4_1416[[#This Row],[Unfollows]]</f>
        <v>5795</v>
      </c>
      <c r="G42" s="4">
        <v>1.7765229200580001E-2</v>
      </c>
      <c r="H42">
        <v>14.71218489327067</v>
      </c>
      <c r="I42" s="6">
        <v>33225</v>
      </c>
      <c r="K42" s="5">
        <v>45516</v>
      </c>
      <c r="L42" t="s">
        <v>41</v>
      </c>
      <c r="M42" s="3">
        <v>5795</v>
      </c>
      <c r="W42" s="5">
        <v>45516</v>
      </c>
      <c r="Y42" s="3">
        <v>326199</v>
      </c>
    </row>
    <row r="43" spans="1:25" hidden="1" x14ac:dyDescent="0.3">
      <c r="A43" s="5">
        <v>45516</v>
      </c>
      <c r="B43" t="s">
        <v>23</v>
      </c>
      <c r="C43" s="3">
        <v>7610</v>
      </c>
      <c r="D43" s="3">
        <v>757</v>
      </c>
      <c r="E43" s="3">
        <v>333052</v>
      </c>
      <c r="F43" s="3">
        <f>Table4_1416[[#This Row],[New_Followers]]-Table4_1416[[#This Row],[Unfollows]]</f>
        <v>6853</v>
      </c>
      <c r="G43" s="4">
        <v>2.0576366453286601E-2</v>
      </c>
      <c r="H43">
        <v>44.450416151231643</v>
      </c>
      <c r="I43" s="6">
        <v>39750</v>
      </c>
      <c r="K43" s="5">
        <v>45516</v>
      </c>
      <c r="L43" t="s">
        <v>23</v>
      </c>
      <c r="M43" s="3">
        <v>6853</v>
      </c>
      <c r="W43" s="5">
        <v>45516</v>
      </c>
      <c r="Y43" s="3">
        <v>333052</v>
      </c>
    </row>
    <row r="44" spans="1:25" hidden="1" x14ac:dyDescent="0.3">
      <c r="A44" s="5">
        <v>45516</v>
      </c>
      <c r="B44" t="s">
        <v>14</v>
      </c>
      <c r="C44" s="3">
        <v>7430</v>
      </c>
      <c r="D44" s="3">
        <v>397</v>
      </c>
      <c r="E44" s="3">
        <v>340085</v>
      </c>
      <c r="F44" s="3">
        <f>Table4_1416[[#This Row],[New_Followers]]-Table4_1416[[#This Row],[Unfollows]]</f>
        <v>7033</v>
      </c>
      <c r="G44" s="4">
        <v>2.0680124086625399E-2</v>
      </c>
      <c r="H44">
        <v>28.065042562888689</v>
      </c>
      <c r="I44" s="6">
        <v>16643</v>
      </c>
      <c r="K44" s="5">
        <v>45516</v>
      </c>
      <c r="L44" t="s">
        <v>14</v>
      </c>
      <c r="M44" s="3">
        <v>7033</v>
      </c>
      <c r="W44" s="5">
        <v>45516</v>
      </c>
      <c r="Y44" s="3">
        <v>340085</v>
      </c>
    </row>
    <row r="45" spans="1:25" hidden="1" x14ac:dyDescent="0.3">
      <c r="A45" s="5">
        <v>45516</v>
      </c>
      <c r="B45" t="s">
        <v>41</v>
      </c>
      <c r="C45" s="3">
        <v>8154</v>
      </c>
      <c r="D45" s="3">
        <v>1149</v>
      </c>
      <c r="E45" s="3">
        <v>347090</v>
      </c>
      <c r="F45" s="3">
        <f>Table4_1416[[#This Row],[New_Followers]]-Table4_1416[[#This Row],[Unfollows]]</f>
        <v>7005</v>
      </c>
      <c r="G45" s="4">
        <v>2.0182085338096699E-2</v>
      </c>
      <c r="H45">
        <v>26.003918292085629</v>
      </c>
      <c r="I45" s="6">
        <v>37523</v>
      </c>
      <c r="K45" s="5">
        <v>45516</v>
      </c>
      <c r="L45" t="s">
        <v>41</v>
      </c>
      <c r="M45" s="3">
        <v>7005</v>
      </c>
      <c r="W45" s="5">
        <v>45516</v>
      </c>
      <c r="Y45" s="3">
        <v>347090</v>
      </c>
    </row>
    <row r="46" spans="1:25" hidden="1" x14ac:dyDescent="0.3">
      <c r="A46" s="5">
        <v>45523</v>
      </c>
      <c r="B46" t="s">
        <v>23</v>
      </c>
      <c r="C46" s="3">
        <v>7488</v>
      </c>
      <c r="D46" s="3">
        <v>568</v>
      </c>
      <c r="E46" s="3">
        <v>354010</v>
      </c>
      <c r="F46" s="3">
        <f>Table4_1416[[#This Row],[New_Followers]]-Table4_1416[[#This Row],[Unfollows]]</f>
        <v>6920</v>
      </c>
      <c r="G46" s="4">
        <v>1.9547470410440401E-2</v>
      </c>
      <c r="H46">
        <v>13.47730290104799</v>
      </c>
      <c r="I46" s="6">
        <v>46727</v>
      </c>
      <c r="K46" s="5">
        <v>45523</v>
      </c>
      <c r="L46" t="s">
        <v>23</v>
      </c>
      <c r="M46" s="3">
        <v>6920</v>
      </c>
      <c r="W46" s="5">
        <v>45523</v>
      </c>
      <c r="Y46" s="3">
        <v>354010</v>
      </c>
    </row>
    <row r="47" spans="1:25" hidden="1" x14ac:dyDescent="0.3">
      <c r="A47" s="5">
        <v>45523</v>
      </c>
      <c r="B47" t="s">
        <v>14</v>
      </c>
      <c r="C47" s="3">
        <v>5737</v>
      </c>
      <c r="D47" s="3">
        <v>666</v>
      </c>
      <c r="E47" s="3">
        <v>359081</v>
      </c>
      <c r="F47" s="3">
        <f>Table4_1416[[#This Row],[New_Followers]]-Table4_1416[[#This Row],[Unfollows]]</f>
        <v>5071</v>
      </c>
      <c r="G47" s="4">
        <v>1.4122161852061201E-2</v>
      </c>
      <c r="H47">
        <v>4.6034181702735593</v>
      </c>
      <c r="I47" s="6">
        <v>21005</v>
      </c>
      <c r="K47" s="5">
        <v>45523</v>
      </c>
      <c r="L47" t="s">
        <v>14</v>
      </c>
      <c r="M47" s="3">
        <v>5071</v>
      </c>
      <c r="W47" s="5">
        <v>45523</v>
      </c>
      <c r="Y47" s="3">
        <v>359081</v>
      </c>
    </row>
    <row r="48" spans="1:25" hidden="1" x14ac:dyDescent="0.3">
      <c r="A48" s="5">
        <v>45523</v>
      </c>
      <c r="B48" t="s">
        <v>23</v>
      </c>
      <c r="C48" s="3">
        <v>7525</v>
      </c>
      <c r="D48" s="3">
        <v>610</v>
      </c>
      <c r="E48" s="3">
        <v>365996</v>
      </c>
      <c r="F48" s="3">
        <f>Table4_1416[[#This Row],[New_Followers]]-Table4_1416[[#This Row],[Unfollows]]</f>
        <v>6915</v>
      </c>
      <c r="G48" s="4">
        <v>1.8893649110919199E-2</v>
      </c>
      <c r="H48">
        <v>5.7694619613329108</v>
      </c>
      <c r="I48" s="6">
        <v>53543</v>
      </c>
      <c r="K48" s="5">
        <v>45523</v>
      </c>
      <c r="L48" t="s">
        <v>23</v>
      </c>
      <c r="M48" s="3">
        <v>6915</v>
      </c>
      <c r="W48" s="5">
        <v>45523</v>
      </c>
      <c r="Y48" s="3">
        <v>365996</v>
      </c>
    </row>
    <row r="49" spans="1:25" hidden="1" x14ac:dyDescent="0.3">
      <c r="A49" s="5">
        <v>45523</v>
      </c>
      <c r="B49" t="s">
        <v>14</v>
      </c>
      <c r="C49" s="3">
        <v>4850</v>
      </c>
      <c r="D49" s="3">
        <v>494</v>
      </c>
      <c r="E49" s="3">
        <v>370352</v>
      </c>
      <c r="F49" s="3">
        <f>Table4_1416[[#This Row],[New_Followers]]-Table4_1416[[#This Row],[Unfollows]]</f>
        <v>4356</v>
      </c>
      <c r="G49" s="4">
        <v>1.1761783384455901E-2</v>
      </c>
      <c r="H49">
        <v>20.46539508359615</v>
      </c>
      <c r="I49" s="6">
        <v>10161</v>
      </c>
      <c r="K49" s="5">
        <v>45523</v>
      </c>
      <c r="L49" t="s">
        <v>14</v>
      </c>
      <c r="M49" s="3">
        <v>4356</v>
      </c>
      <c r="W49" s="5">
        <v>45523</v>
      </c>
      <c r="Y49" s="3">
        <v>370352</v>
      </c>
    </row>
    <row r="50" spans="1:25" x14ac:dyDescent="0.3">
      <c r="A50" s="5">
        <v>45530</v>
      </c>
      <c r="B50" t="s">
        <v>19</v>
      </c>
      <c r="C50" s="3">
        <v>1689</v>
      </c>
      <c r="D50" s="3">
        <v>176</v>
      </c>
      <c r="E50" s="3">
        <v>371865</v>
      </c>
      <c r="F50" s="3">
        <f>Table4_1416[[#This Row],[New_Followers]]-Table4_1416[[#This Row],[Unfollows]]</f>
        <v>1513</v>
      </c>
      <c r="G50" s="4">
        <v>4.0686808384763299E-3</v>
      </c>
      <c r="H50">
        <v>38.012181840183942</v>
      </c>
      <c r="I50" s="6">
        <v>26029</v>
      </c>
      <c r="K50" s="5">
        <v>45530</v>
      </c>
      <c r="M50" s="3">
        <v>1513</v>
      </c>
      <c r="W50" s="5">
        <v>45530</v>
      </c>
      <c r="Y50" s="3">
        <v>371865</v>
      </c>
    </row>
    <row r="51" spans="1:25" hidden="1" x14ac:dyDescent="0.3">
      <c r="A51" s="5">
        <v>45530</v>
      </c>
      <c r="B51" t="s">
        <v>41</v>
      </c>
      <c r="C51" s="3">
        <v>6175</v>
      </c>
      <c r="D51" s="3">
        <v>422</v>
      </c>
      <c r="E51" s="3">
        <v>377618</v>
      </c>
      <c r="F51" s="3">
        <f>Table4_1416[[#This Row],[New_Followers]]-Table4_1416[[#This Row],[Unfollows]]</f>
        <v>5753</v>
      </c>
      <c r="G51" s="4">
        <v>1.5234972909130401E-2</v>
      </c>
      <c r="H51">
        <v>37.86101298137271</v>
      </c>
      <c r="I51" s="6">
        <v>59745</v>
      </c>
      <c r="K51" s="5">
        <v>45530</v>
      </c>
      <c r="L51" t="s">
        <v>41</v>
      </c>
      <c r="M51" s="3">
        <v>5753</v>
      </c>
      <c r="W51" s="5">
        <v>45530</v>
      </c>
      <c r="Y51" s="3">
        <v>377618</v>
      </c>
    </row>
    <row r="52" spans="1:25" hidden="1" x14ac:dyDescent="0.3">
      <c r="A52" s="5">
        <v>45530</v>
      </c>
      <c r="B52" t="s">
        <v>23</v>
      </c>
      <c r="C52" s="3">
        <v>9648</v>
      </c>
      <c r="D52" s="3">
        <v>1417</v>
      </c>
      <c r="E52" s="3">
        <v>385849</v>
      </c>
      <c r="F52" s="3">
        <f>Table4_1416[[#This Row],[New_Followers]]-Table4_1416[[#This Row],[Unfollows]]</f>
        <v>8231</v>
      </c>
      <c r="G52" s="4">
        <v>2.13321791685348E-2</v>
      </c>
      <c r="H52">
        <v>3.6633501706626168</v>
      </c>
      <c r="I52" s="6">
        <v>24226</v>
      </c>
      <c r="K52" s="5">
        <v>45530</v>
      </c>
      <c r="L52" t="s">
        <v>23</v>
      </c>
      <c r="M52" s="3">
        <v>8231</v>
      </c>
      <c r="W52" s="5">
        <v>45530</v>
      </c>
      <c r="Y52" s="3">
        <v>385849</v>
      </c>
    </row>
    <row r="53" spans="1:25" hidden="1" x14ac:dyDescent="0.3">
      <c r="A53" s="5">
        <v>45530</v>
      </c>
      <c r="B53" t="s">
        <v>14</v>
      </c>
      <c r="C53" s="3">
        <v>6078</v>
      </c>
      <c r="D53" s="3">
        <v>775</v>
      </c>
      <c r="E53" s="3">
        <v>391152</v>
      </c>
      <c r="F53" s="3">
        <f>Table4_1416[[#This Row],[New_Followers]]-Table4_1416[[#This Row],[Unfollows]]</f>
        <v>5303</v>
      </c>
      <c r="G53" s="4">
        <v>1.35573894547388E-2</v>
      </c>
      <c r="H53">
        <v>37.760512537325639</v>
      </c>
      <c r="I53" s="6">
        <v>38731</v>
      </c>
      <c r="K53" s="5">
        <v>45530</v>
      </c>
      <c r="L53" t="s">
        <v>14</v>
      </c>
      <c r="M53" s="3">
        <v>5303</v>
      </c>
      <c r="W53" s="5">
        <v>45530</v>
      </c>
      <c r="Y53" s="3">
        <v>391152</v>
      </c>
    </row>
    <row r="54" spans="1:25" hidden="1" x14ac:dyDescent="0.3">
      <c r="A54" s="5">
        <v>45537</v>
      </c>
      <c r="B54" t="s">
        <v>23</v>
      </c>
      <c r="C54" s="3">
        <v>6448</v>
      </c>
      <c r="D54" s="3">
        <v>928</v>
      </c>
      <c r="E54" s="3">
        <v>396672</v>
      </c>
      <c r="F54" s="3">
        <f>Table4_1416[[#This Row],[New_Followers]]-Table4_1416[[#This Row],[Unfollows]]</f>
        <v>5520</v>
      </c>
      <c r="G54" s="4">
        <v>1.3915779283639899E-2</v>
      </c>
      <c r="H54">
        <v>30.118586640851881</v>
      </c>
      <c r="I54" s="6">
        <v>53922</v>
      </c>
      <c r="K54" s="5">
        <v>45537</v>
      </c>
      <c r="L54" t="s">
        <v>23</v>
      </c>
      <c r="M54" s="3">
        <v>5520</v>
      </c>
      <c r="W54" s="5">
        <v>45537</v>
      </c>
      <c r="Y54" s="3">
        <v>396672</v>
      </c>
    </row>
    <row r="55" spans="1:25" hidden="1" x14ac:dyDescent="0.3">
      <c r="A55" s="5">
        <v>45537</v>
      </c>
      <c r="B55" t="s">
        <v>23</v>
      </c>
      <c r="C55" s="3">
        <v>2179</v>
      </c>
      <c r="D55" s="3">
        <v>303</v>
      </c>
      <c r="E55" s="3">
        <v>398548</v>
      </c>
      <c r="F55" s="3">
        <f>Table4_1416[[#This Row],[New_Followers]]-Table4_1416[[#This Row],[Unfollows]]</f>
        <v>1876</v>
      </c>
      <c r="G55" s="4">
        <v>4.7070867248110602E-3</v>
      </c>
      <c r="H55">
        <v>33.909842729106657</v>
      </c>
      <c r="I55" s="6">
        <v>54848</v>
      </c>
      <c r="K55" s="5">
        <v>45537</v>
      </c>
      <c r="L55" t="s">
        <v>23</v>
      </c>
      <c r="M55" s="3">
        <v>1876</v>
      </c>
      <c r="W55" s="5">
        <v>45537</v>
      </c>
      <c r="Y55" s="3">
        <v>398548</v>
      </c>
    </row>
    <row r="56" spans="1:25" hidden="1" x14ac:dyDescent="0.3">
      <c r="A56" s="5">
        <v>45537</v>
      </c>
      <c r="B56" t="s">
        <v>41</v>
      </c>
      <c r="C56" s="3">
        <v>7406</v>
      </c>
      <c r="D56" s="3">
        <v>813</v>
      </c>
      <c r="E56" s="3">
        <v>405141</v>
      </c>
      <c r="F56" s="3">
        <f>Table4_1416[[#This Row],[New_Followers]]-Table4_1416[[#This Row],[Unfollows]]</f>
        <v>6593</v>
      </c>
      <c r="G56" s="4">
        <v>1.62733468101229E-2</v>
      </c>
      <c r="H56">
        <v>24.457411123534769</v>
      </c>
      <c r="I56" s="6">
        <v>13390</v>
      </c>
      <c r="K56" s="5">
        <v>45537</v>
      </c>
      <c r="L56" t="s">
        <v>41</v>
      </c>
      <c r="M56" s="3">
        <v>6593</v>
      </c>
      <c r="W56" s="5">
        <v>45537</v>
      </c>
      <c r="Y56" s="3">
        <v>405141</v>
      </c>
    </row>
    <row r="57" spans="1:25" x14ac:dyDescent="0.3">
      <c r="A57" s="5">
        <v>45537</v>
      </c>
      <c r="B57" t="s">
        <v>19</v>
      </c>
      <c r="C57" s="3">
        <v>9591</v>
      </c>
      <c r="D57" s="3">
        <v>1363</v>
      </c>
      <c r="E57" s="3">
        <v>413369</v>
      </c>
      <c r="F57" s="3">
        <f>Table4_1416[[#This Row],[New_Followers]]-Table4_1416[[#This Row],[Unfollows]]</f>
        <v>8228</v>
      </c>
      <c r="G57" s="4">
        <v>1.9904734026983201E-2</v>
      </c>
      <c r="H57">
        <v>10.494255737609739</v>
      </c>
      <c r="I57" s="6">
        <v>15997</v>
      </c>
      <c r="K57" s="5">
        <v>45537</v>
      </c>
      <c r="M57" s="3">
        <v>8228</v>
      </c>
      <c r="W57" s="5">
        <v>45537</v>
      </c>
      <c r="Y57" s="3">
        <v>413369</v>
      </c>
    </row>
    <row r="58" spans="1:25" hidden="1" x14ac:dyDescent="0.3">
      <c r="A58" s="5">
        <v>45544</v>
      </c>
      <c r="B58" t="s">
        <v>23</v>
      </c>
      <c r="C58" s="3">
        <v>7907</v>
      </c>
      <c r="D58" s="3">
        <v>465</v>
      </c>
      <c r="E58" s="3">
        <v>420811</v>
      </c>
      <c r="F58" s="3">
        <f>Table4_1416[[#This Row],[New_Followers]]-Table4_1416[[#This Row],[Unfollows]]</f>
        <v>7442</v>
      </c>
      <c r="G58" s="4">
        <v>1.76848989213685E-2</v>
      </c>
      <c r="H58">
        <v>33.257448118038738</v>
      </c>
      <c r="I58" s="6">
        <v>22693</v>
      </c>
      <c r="K58" s="5">
        <v>45544</v>
      </c>
      <c r="L58" t="s">
        <v>23</v>
      </c>
      <c r="M58" s="3">
        <v>7442</v>
      </c>
      <c r="W58" s="5">
        <v>45544</v>
      </c>
      <c r="Y58" s="3">
        <v>420811</v>
      </c>
    </row>
    <row r="59" spans="1:25" hidden="1" x14ac:dyDescent="0.3">
      <c r="A59" s="5">
        <v>45544</v>
      </c>
      <c r="B59" t="s">
        <v>14</v>
      </c>
      <c r="C59" s="3">
        <v>9800</v>
      </c>
      <c r="D59" s="3">
        <v>682</v>
      </c>
      <c r="E59" s="3">
        <v>429929</v>
      </c>
      <c r="F59" s="3">
        <f>Table4_1416[[#This Row],[New_Followers]]-Table4_1416[[#This Row],[Unfollows]]</f>
        <v>9118</v>
      </c>
      <c r="G59" s="4">
        <v>2.1208152974095701E-2</v>
      </c>
      <c r="H59">
        <v>6.2966210699906267</v>
      </c>
      <c r="I59" s="6">
        <v>59815</v>
      </c>
      <c r="K59" s="5">
        <v>45544</v>
      </c>
      <c r="L59" t="s">
        <v>14</v>
      </c>
      <c r="M59" s="3">
        <v>9118</v>
      </c>
      <c r="W59" s="5">
        <v>45544</v>
      </c>
      <c r="Y59" s="3">
        <v>429929</v>
      </c>
    </row>
    <row r="60" spans="1:25" hidden="1" x14ac:dyDescent="0.3">
      <c r="A60" s="5">
        <v>45544</v>
      </c>
      <c r="B60" t="s">
        <v>14</v>
      </c>
      <c r="C60" s="3">
        <v>2638</v>
      </c>
      <c r="D60" s="3">
        <v>143</v>
      </c>
      <c r="E60" s="3">
        <v>432424</v>
      </c>
      <c r="F60" s="3">
        <f>Table4_1416[[#This Row],[New_Followers]]-Table4_1416[[#This Row],[Unfollows]]</f>
        <v>2495</v>
      </c>
      <c r="G60" s="4">
        <v>5.76980001110022E-3</v>
      </c>
      <c r="H60">
        <v>6.9547481175882924</v>
      </c>
      <c r="I60" s="6">
        <v>52092</v>
      </c>
      <c r="K60" s="5">
        <v>45544</v>
      </c>
      <c r="L60" t="s">
        <v>14</v>
      </c>
      <c r="M60" s="3">
        <v>2495</v>
      </c>
      <c r="W60" s="5">
        <v>45544</v>
      </c>
      <c r="Y60" s="3">
        <v>432424</v>
      </c>
    </row>
    <row r="61" spans="1:25" x14ac:dyDescent="0.3">
      <c r="A61" s="5">
        <v>45544</v>
      </c>
      <c r="B61" t="s">
        <v>19</v>
      </c>
      <c r="C61" s="3">
        <v>6671</v>
      </c>
      <c r="D61" s="3">
        <v>550</v>
      </c>
      <c r="E61" s="3">
        <v>438545</v>
      </c>
      <c r="F61" s="3">
        <f>Table4_1416[[#This Row],[New_Followers]]-Table4_1416[[#This Row],[Unfollows]]</f>
        <v>6121</v>
      </c>
      <c r="G61" s="4">
        <v>1.3957518612685099E-2</v>
      </c>
      <c r="H61">
        <v>17.750287883797562</v>
      </c>
      <c r="I61" s="6">
        <v>10541</v>
      </c>
      <c r="K61" s="5">
        <v>45544</v>
      </c>
      <c r="M61" s="3">
        <v>6121</v>
      </c>
      <c r="W61" s="5">
        <v>45544</v>
      </c>
      <c r="Y61" s="3">
        <v>438545</v>
      </c>
    </row>
    <row r="62" spans="1:25" hidden="1" x14ac:dyDescent="0.3">
      <c r="A62" s="5">
        <v>45551</v>
      </c>
      <c r="B62" t="s">
        <v>14</v>
      </c>
      <c r="C62" s="3">
        <v>7928</v>
      </c>
      <c r="D62" s="3">
        <v>704</v>
      </c>
      <c r="E62" s="3">
        <v>445769</v>
      </c>
      <c r="F62" s="3">
        <f>Table4_1416[[#This Row],[New_Followers]]-Table4_1416[[#This Row],[Unfollows]]</f>
        <v>7224</v>
      </c>
      <c r="G62" s="4">
        <v>1.6205702953772001E-2</v>
      </c>
      <c r="H62">
        <v>11.194362999670229</v>
      </c>
      <c r="I62" s="6">
        <v>31817</v>
      </c>
      <c r="K62" s="5">
        <v>45551</v>
      </c>
      <c r="L62" t="s">
        <v>14</v>
      </c>
      <c r="M62" s="3">
        <v>7224</v>
      </c>
      <c r="W62" s="5">
        <v>45551</v>
      </c>
      <c r="Y62" s="3">
        <v>445769</v>
      </c>
    </row>
    <row r="63" spans="1:25" x14ac:dyDescent="0.3">
      <c r="A63" s="5">
        <v>45551</v>
      </c>
      <c r="B63" t="s">
        <v>19</v>
      </c>
      <c r="C63" s="3">
        <v>2382</v>
      </c>
      <c r="D63" s="3">
        <v>183</v>
      </c>
      <c r="E63" s="3">
        <v>447968</v>
      </c>
      <c r="F63" s="3">
        <f>Table4_1416[[#This Row],[New_Followers]]-Table4_1416[[#This Row],[Unfollows]]</f>
        <v>2199</v>
      </c>
      <c r="G63" s="4">
        <v>4.9088327737695503E-3</v>
      </c>
      <c r="H63">
        <v>4.7335970426459033</v>
      </c>
      <c r="I63" s="6">
        <v>47861</v>
      </c>
      <c r="K63" s="5">
        <v>45551</v>
      </c>
      <c r="M63" s="3">
        <v>2199</v>
      </c>
      <c r="W63" s="5">
        <v>45551</v>
      </c>
      <c r="Y63" s="3">
        <v>447968</v>
      </c>
    </row>
    <row r="64" spans="1:25" hidden="1" x14ac:dyDescent="0.3">
      <c r="A64" s="5">
        <v>45551</v>
      </c>
      <c r="B64" t="s">
        <v>14</v>
      </c>
      <c r="C64" s="3">
        <v>2403</v>
      </c>
      <c r="D64" s="3">
        <v>319</v>
      </c>
      <c r="E64" s="3">
        <v>450052</v>
      </c>
      <c r="F64" s="3">
        <f>Table4_1416[[#This Row],[New_Followers]]-Table4_1416[[#This Row],[Unfollows]]</f>
        <v>2084</v>
      </c>
      <c r="G64" s="4">
        <v>4.63057602232631E-3</v>
      </c>
      <c r="H64">
        <v>29.92120910472568</v>
      </c>
      <c r="I64" s="6">
        <v>23428</v>
      </c>
      <c r="K64" s="5">
        <v>45551</v>
      </c>
      <c r="L64" t="s">
        <v>14</v>
      </c>
      <c r="M64" s="3">
        <v>2084</v>
      </c>
      <c r="W64" s="5">
        <v>45551</v>
      </c>
      <c r="Y64" s="3">
        <v>450052</v>
      </c>
    </row>
    <row r="65" spans="1:25" hidden="1" x14ac:dyDescent="0.3">
      <c r="A65" s="5">
        <v>45551</v>
      </c>
      <c r="B65" t="s">
        <v>41</v>
      </c>
      <c r="C65" s="3">
        <v>4292</v>
      </c>
      <c r="D65" s="3">
        <v>367</v>
      </c>
      <c r="E65" s="3">
        <v>453977</v>
      </c>
      <c r="F65" s="3">
        <f>Table4_1416[[#This Row],[New_Followers]]-Table4_1416[[#This Row],[Unfollows]]</f>
        <v>3925</v>
      </c>
      <c r="G65" s="4">
        <v>8.6458124530537899E-3</v>
      </c>
      <c r="H65">
        <v>3.5037017293827661</v>
      </c>
      <c r="I65" s="6">
        <v>53934</v>
      </c>
      <c r="K65" s="5">
        <v>45551</v>
      </c>
      <c r="L65" t="s">
        <v>41</v>
      </c>
      <c r="M65" s="3">
        <v>3925</v>
      </c>
      <c r="W65" s="5">
        <v>45551</v>
      </c>
      <c r="Y65" s="3">
        <v>453977</v>
      </c>
    </row>
    <row r="66" spans="1:25" hidden="1" x14ac:dyDescent="0.3">
      <c r="A66" s="5">
        <v>45558</v>
      </c>
      <c r="B66" t="s">
        <v>23</v>
      </c>
      <c r="C66" s="3">
        <v>1419</v>
      </c>
      <c r="D66" s="3">
        <v>110</v>
      </c>
      <c r="E66" s="3">
        <v>455286</v>
      </c>
      <c r="F66" s="3">
        <f>Table4_1416[[#This Row],[New_Followers]]-Table4_1416[[#This Row],[Unfollows]]</f>
        <v>1309</v>
      </c>
      <c r="G66" s="4">
        <v>2.8751158612388699E-3</v>
      </c>
      <c r="H66">
        <v>31.554451487636339</v>
      </c>
      <c r="I66" s="6">
        <v>58831</v>
      </c>
      <c r="K66" s="5">
        <v>45558</v>
      </c>
      <c r="L66" t="s">
        <v>23</v>
      </c>
      <c r="M66" s="3">
        <v>1309</v>
      </c>
      <c r="W66" s="5">
        <v>45558</v>
      </c>
      <c r="Y66" s="3">
        <v>455286</v>
      </c>
    </row>
    <row r="67" spans="1:25" hidden="1" x14ac:dyDescent="0.3">
      <c r="A67" s="5">
        <v>45558</v>
      </c>
      <c r="B67" t="s">
        <v>41</v>
      </c>
      <c r="C67" s="3">
        <v>5517</v>
      </c>
      <c r="D67" s="3">
        <v>575</v>
      </c>
      <c r="E67" s="3">
        <v>460228</v>
      </c>
      <c r="F67" s="3">
        <f>Table4_1416[[#This Row],[New_Followers]]-Table4_1416[[#This Row],[Unfollows]]</f>
        <v>4942</v>
      </c>
      <c r="G67" s="4">
        <v>1.07381558705685E-2</v>
      </c>
      <c r="H67">
        <v>29.45844233727631</v>
      </c>
      <c r="I67" s="6">
        <v>20258</v>
      </c>
      <c r="K67" s="5">
        <v>45558</v>
      </c>
      <c r="L67" t="s">
        <v>41</v>
      </c>
      <c r="M67" s="3">
        <v>4942</v>
      </c>
      <c r="W67" s="5">
        <v>45558</v>
      </c>
      <c r="Y67" s="3">
        <v>460228</v>
      </c>
    </row>
    <row r="68" spans="1:25" hidden="1" x14ac:dyDescent="0.3">
      <c r="A68" s="5">
        <v>45558</v>
      </c>
      <c r="B68" t="s">
        <v>23</v>
      </c>
      <c r="C68" s="3">
        <v>4302</v>
      </c>
      <c r="D68" s="3">
        <v>275</v>
      </c>
      <c r="E68" s="3">
        <v>464255</v>
      </c>
      <c r="F68" s="3">
        <f>Table4_1416[[#This Row],[New_Followers]]-Table4_1416[[#This Row],[Unfollows]]</f>
        <v>4027</v>
      </c>
      <c r="G68" s="4">
        <v>8.6741122874282404E-3</v>
      </c>
      <c r="H68">
        <v>15.72131694865968</v>
      </c>
      <c r="I68" s="6">
        <v>26044</v>
      </c>
      <c r="K68" s="5">
        <v>45558</v>
      </c>
      <c r="L68" t="s">
        <v>23</v>
      </c>
      <c r="M68" s="3">
        <v>4027</v>
      </c>
      <c r="W68" s="5">
        <v>45558</v>
      </c>
      <c r="Y68" s="3">
        <v>464255</v>
      </c>
    </row>
    <row r="69" spans="1:25" hidden="1" x14ac:dyDescent="0.3">
      <c r="A69" s="5">
        <v>45558</v>
      </c>
      <c r="B69" t="s">
        <v>23</v>
      </c>
      <c r="C69" s="3">
        <v>8857</v>
      </c>
      <c r="D69" s="3">
        <v>1153</v>
      </c>
      <c r="E69" s="3">
        <v>471959</v>
      </c>
      <c r="F69" s="3">
        <f>Table4_1416[[#This Row],[New_Followers]]-Table4_1416[[#This Row],[Unfollows]]</f>
        <v>7704</v>
      </c>
      <c r="G69" s="4">
        <v>1.6323451825264498E-2</v>
      </c>
      <c r="H69">
        <v>19.214592793018038</v>
      </c>
      <c r="I69" s="6">
        <v>39411</v>
      </c>
      <c r="K69" s="5">
        <v>45558</v>
      </c>
      <c r="L69" t="s">
        <v>23</v>
      </c>
      <c r="M69" s="3">
        <v>7704</v>
      </c>
      <c r="W69" s="5">
        <v>45558</v>
      </c>
      <c r="Y69" s="3">
        <v>471959</v>
      </c>
    </row>
    <row r="70" spans="1:25" hidden="1" x14ac:dyDescent="0.3">
      <c r="A70" s="5">
        <v>45565</v>
      </c>
      <c r="B70" t="s">
        <v>23</v>
      </c>
      <c r="C70" s="3">
        <v>8870</v>
      </c>
      <c r="D70" s="3">
        <v>509</v>
      </c>
      <c r="E70" s="3">
        <v>480320</v>
      </c>
      <c r="F70" s="3">
        <f>Table4_1416[[#This Row],[New_Followers]]-Table4_1416[[#This Row],[Unfollows]]</f>
        <v>8361</v>
      </c>
      <c r="G70" s="4">
        <v>1.7407145236508999E-2</v>
      </c>
      <c r="H70">
        <v>25.077864756828781</v>
      </c>
      <c r="I70" s="6">
        <v>15469</v>
      </c>
      <c r="K70" s="5">
        <v>45565</v>
      </c>
      <c r="L70" t="s">
        <v>23</v>
      </c>
      <c r="M70" s="3">
        <v>8361</v>
      </c>
      <c r="W70" s="5">
        <v>45565</v>
      </c>
      <c r="Y70" s="3">
        <v>480320</v>
      </c>
    </row>
    <row r="71" spans="1:25" hidden="1" x14ac:dyDescent="0.3">
      <c r="A71" s="5">
        <v>45565</v>
      </c>
      <c r="B71" t="s">
        <v>41</v>
      </c>
      <c r="C71" s="3">
        <v>6693</v>
      </c>
      <c r="D71" s="3">
        <v>995</v>
      </c>
      <c r="E71" s="3">
        <v>486018</v>
      </c>
      <c r="F71" s="3">
        <f>Table4_1416[[#This Row],[New_Followers]]-Table4_1416[[#This Row],[Unfollows]]</f>
        <v>5698</v>
      </c>
      <c r="G71" s="4">
        <v>1.1723845618886499E-2</v>
      </c>
      <c r="H71">
        <v>23.761877132122681</v>
      </c>
      <c r="I71" s="6">
        <v>38854</v>
      </c>
      <c r="K71" s="5">
        <v>45565</v>
      </c>
      <c r="L71" t="s">
        <v>41</v>
      </c>
      <c r="M71" s="3">
        <v>5698</v>
      </c>
      <c r="W71" s="5">
        <v>45565</v>
      </c>
      <c r="Y71" s="3">
        <v>486018</v>
      </c>
    </row>
    <row r="72" spans="1:25" hidden="1" x14ac:dyDescent="0.3">
      <c r="A72" s="5">
        <v>45565</v>
      </c>
      <c r="B72" t="s">
        <v>23</v>
      </c>
      <c r="C72" s="3">
        <v>1767</v>
      </c>
      <c r="D72" s="3">
        <v>224</v>
      </c>
      <c r="E72" s="3">
        <v>487561</v>
      </c>
      <c r="F72" s="3">
        <f>Table4_1416[[#This Row],[New_Followers]]-Table4_1416[[#This Row],[Unfollows]]</f>
        <v>1543</v>
      </c>
      <c r="G72" s="4">
        <v>3.1647322078673201E-3</v>
      </c>
      <c r="H72">
        <v>13.208603641390511</v>
      </c>
      <c r="I72" s="6">
        <v>16256</v>
      </c>
      <c r="K72" s="5">
        <v>45565</v>
      </c>
      <c r="L72" t="s">
        <v>23</v>
      </c>
      <c r="M72" s="3">
        <v>1543</v>
      </c>
      <c r="W72" s="5">
        <v>45565</v>
      </c>
      <c r="Y72" s="3">
        <v>487561</v>
      </c>
    </row>
    <row r="73" spans="1:25" hidden="1" x14ac:dyDescent="0.3">
      <c r="A73" s="5">
        <v>45565</v>
      </c>
      <c r="B73" t="s">
        <v>41</v>
      </c>
      <c r="C73" s="3">
        <v>3044</v>
      </c>
      <c r="D73" s="3">
        <v>212</v>
      </c>
      <c r="E73" s="3">
        <v>490393</v>
      </c>
      <c r="F73" s="3">
        <f>Table4_1416[[#This Row],[New_Followers]]-Table4_1416[[#This Row],[Unfollows]]</f>
        <v>2832</v>
      </c>
      <c r="G73" s="4">
        <v>5.7749600830354396E-3</v>
      </c>
      <c r="H73">
        <v>8.5343795690395261</v>
      </c>
      <c r="I73" s="6">
        <v>20720</v>
      </c>
      <c r="K73" s="5">
        <v>45565</v>
      </c>
      <c r="L73" t="s">
        <v>41</v>
      </c>
      <c r="M73" s="3">
        <v>2832</v>
      </c>
      <c r="W73" s="5">
        <v>45565</v>
      </c>
      <c r="Y73" s="3">
        <v>490393</v>
      </c>
    </row>
    <row r="74" spans="1:25" x14ac:dyDescent="0.3">
      <c r="A74" s="5">
        <v>45572</v>
      </c>
      <c r="B74" t="s">
        <v>19</v>
      </c>
      <c r="C74" s="3">
        <v>2549</v>
      </c>
      <c r="D74" s="3">
        <v>128</v>
      </c>
      <c r="E74" s="3">
        <v>492814</v>
      </c>
      <c r="F74" s="3">
        <f>Table4_1416[[#This Row],[New_Followers]]-Table4_1416[[#This Row],[Unfollows]]</f>
        <v>2421</v>
      </c>
      <c r="G74" s="4">
        <v>4.9126039438814597E-3</v>
      </c>
      <c r="H74">
        <v>12.734216154573531</v>
      </c>
      <c r="I74" s="6">
        <v>43937</v>
      </c>
      <c r="K74" s="5">
        <v>45572</v>
      </c>
      <c r="M74" s="3">
        <v>2421</v>
      </c>
      <c r="W74" s="5">
        <v>45572</v>
      </c>
      <c r="Y74" s="3">
        <v>492814</v>
      </c>
    </row>
    <row r="75" spans="1:25" hidden="1" x14ac:dyDescent="0.3">
      <c r="A75" s="5">
        <v>45572</v>
      </c>
      <c r="B75" t="s">
        <v>14</v>
      </c>
      <c r="C75" s="3">
        <v>7140</v>
      </c>
      <c r="D75" s="3">
        <v>939</v>
      </c>
      <c r="E75" s="3">
        <v>499015</v>
      </c>
      <c r="F75" s="3">
        <f>Table4_1416[[#This Row],[New_Followers]]-Table4_1416[[#This Row],[Unfollows]]</f>
        <v>6201</v>
      </c>
      <c r="G75" s="4">
        <v>1.2426480165926901E-2</v>
      </c>
      <c r="H75">
        <v>25.120888149654821</v>
      </c>
      <c r="I75" s="6">
        <v>43598</v>
      </c>
      <c r="K75" s="5">
        <v>45572</v>
      </c>
      <c r="L75" t="s">
        <v>14</v>
      </c>
      <c r="M75" s="3">
        <v>6201</v>
      </c>
      <c r="W75" s="5">
        <v>45572</v>
      </c>
      <c r="Y75" s="3">
        <v>499015</v>
      </c>
    </row>
    <row r="76" spans="1:25" hidden="1" x14ac:dyDescent="0.3">
      <c r="A76" s="5">
        <v>45572</v>
      </c>
      <c r="B76" t="s">
        <v>14</v>
      </c>
      <c r="C76" s="3">
        <v>4716</v>
      </c>
      <c r="D76" s="3">
        <v>569</v>
      </c>
      <c r="E76" s="3">
        <v>503162</v>
      </c>
      <c r="F76" s="3">
        <f>Table4_1416[[#This Row],[New_Followers]]-Table4_1416[[#This Row],[Unfollows]]</f>
        <v>4147</v>
      </c>
      <c r="G76" s="4">
        <v>8.2418783612434997E-3</v>
      </c>
      <c r="H76">
        <v>25.64820077827817</v>
      </c>
      <c r="I76" s="6">
        <v>11651</v>
      </c>
      <c r="K76" s="5">
        <v>45572</v>
      </c>
      <c r="L76" t="s">
        <v>14</v>
      </c>
      <c r="M76" s="3">
        <v>4147</v>
      </c>
      <c r="W76" s="5">
        <v>45572</v>
      </c>
      <c r="Y76" s="3">
        <v>503162</v>
      </c>
    </row>
    <row r="77" spans="1:25" hidden="1" x14ac:dyDescent="0.3">
      <c r="A77" s="5">
        <v>45572</v>
      </c>
      <c r="B77" t="s">
        <v>23</v>
      </c>
      <c r="C77" s="3">
        <v>5481</v>
      </c>
      <c r="D77" s="3">
        <v>673</v>
      </c>
      <c r="E77" s="3">
        <v>507970</v>
      </c>
      <c r="F77" s="3">
        <f>Table4_1416[[#This Row],[New_Followers]]-Table4_1416[[#This Row],[Unfollows]]</f>
        <v>4808</v>
      </c>
      <c r="G77" s="4">
        <v>9.4651258932614106E-3</v>
      </c>
      <c r="H77">
        <v>13.08758391243577</v>
      </c>
      <c r="I77" s="6">
        <v>29194</v>
      </c>
      <c r="K77" s="5">
        <v>45572</v>
      </c>
      <c r="L77" t="s">
        <v>23</v>
      </c>
      <c r="M77" s="3">
        <v>4808</v>
      </c>
      <c r="W77" s="5">
        <v>45572</v>
      </c>
      <c r="Y77" s="3">
        <v>507970</v>
      </c>
    </row>
    <row r="78" spans="1:25" hidden="1" x14ac:dyDescent="0.3">
      <c r="A78" s="5">
        <v>45579</v>
      </c>
      <c r="B78" t="s">
        <v>41</v>
      </c>
      <c r="C78" s="3">
        <v>8898</v>
      </c>
      <c r="D78" s="3">
        <v>1131</v>
      </c>
      <c r="E78" s="3">
        <v>515737</v>
      </c>
      <c r="F78" s="3">
        <f>Table4_1416[[#This Row],[New_Followers]]-Table4_1416[[#This Row],[Unfollows]]</f>
        <v>7767</v>
      </c>
      <c r="G78" s="4">
        <v>1.50600015123988E-2</v>
      </c>
      <c r="H78">
        <v>2.1877429775253669</v>
      </c>
      <c r="I78" s="6">
        <v>35051</v>
      </c>
      <c r="K78" s="5">
        <v>45579</v>
      </c>
      <c r="L78" t="s">
        <v>41</v>
      </c>
      <c r="M78" s="3">
        <v>7767</v>
      </c>
      <c r="W78" s="5">
        <v>45579</v>
      </c>
      <c r="Y78" s="3">
        <v>515737</v>
      </c>
    </row>
    <row r="79" spans="1:25" hidden="1" x14ac:dyDescent="0.3">
      <c r="A79" s="5">
        <v>45579</v>
      </c>
      <c r="B79" t="s">
        <v>14</v>
      </c>
      <c r="C79" s="3">
        <v>7548</v>
      </c>
      <c r="D79" s="3">
        <v>433</v>
      </c>
      <c r="E79" s="3">
        <v>522852</v>
      </c>
      <c r="F79" s="3">
        <f>Table4_1416[[#This Row],[New_Followers]]-Table4_1416[[#This Row],[Unfollows]]</f>
        <v>7115</v>
      </c>
      <c r="G79" s="4">
        <v>1.36080573470122E-2</v>
      </c>
      <c r="H79">
        <v>8.3562843787534522</v>
      </c>
      <c r="I79" s="6">
        <v>37386</v>
      </c>
      <c r="K79" s="5">
        <v>45579</v>
      </c>
      <c r="L79" t="s">
        <v>14</v>
      </c>
      <c r="M79" s="3">
        <v>7115</v>
      </c>
      <c r="W79" s="5">
        <v>45579</v>
      </c>
      <c r="Y79" s="3">
        <v>522852</v>
      </c>
    </row>
    <row r="80" spans="1:25" hidden="1" x14ac:dyDescent="0.3">
      <c r="A80" s="5">
        <v>45579</v>
      </c>
      <c r="B80" t="s">
        <v>41</v>
      </c>
      <c r="C80" s="3">
        <v>3293</v>
      </c>
      <c r="D80" s="3">
        <v>282</v>
      </c>
      <c r="E80" s="3">
        <v>525863</v>
      </c>
      <c r="F80" s="3">
        <f>Table4_1416[[#This Row],[New_Followers]]-Table4_1416[[#This Row],[Unfollows]]</f>
        <v>3011</v>
      </c>
      <c r="G80" s="4">
        <v>5.7258259280459E-3</v>
      </c>
      <c r="H80">
        <v>27.040693108281051</v>
      </c>
      <c r="I80" s="6">
        <v>19518</v>
      </c>
      <c r="K80" s="5">
        <v>45579</v>
      </c>
      <c r="L80" t="s">
        <v>41</v>
      </c>
      <c r="M80" s="3">
        <v>3011</v>
      </c>
      <c r="W80" s="5">
        <v>45579</v>
      </c>
      <c r="Y80" s="3">
        <v>525863</v>
      </c>
    </row>
    <row r="81" spans="1:25" hidden="1" x14ac:dyDescent="0.3">
      <c r="A81" s="5">
        <v>45579</v>
      </c>
      <c r="B81" t="s">
        <v>41</v>
      </c>
      <c r="C81" s="3">
        <v>5837</v>
      </c>
      <c r="D81" s="3">
        <v>359</v>
      </c>
      <c r="E81" s="3">
        <v>531341</v>
      </c>
      <c r="F81" s="3">
        <f>Table4_1416[[#This Row],[New_Followers]]-Table4_1416[[#This Row],[Unfollows]]</f>
        <v>5478</v>
      </c>
      <c r="G81" s="4">
        <v>1.03097634099383E-2</v>
      </c>
      <c r="H81">
        <v>6.8073045370110723</v>
      </c>
      <c r="I81" s="6">
        <v>56026</v>
      </c>
      <c r="K81" s="5">
        <v>45579</v>
      </c>
      <c r="L81" t="s">
        <v>41</v>
      </c>
      <c r="M81" s="3">
        <v>5478</v>
      </c>
      <c r="W81" s="5">
        <v>45579</v>
      </c>
      <c r="Y81" s="3">
        <v>531341</v>
      </c>
    </row>
    <row r="82" spans="1:25" hidden="1" x14ac:dyDescent="0.3">
      <c r="A82" s="5">
        <v>45586</v>
      </c>
      <c r="B82" t="s">
        <v>23</v>
      </c>
      <c r="C82" s="3">
        <v>8758</v>
      </c>
      <c r="D82" s="3">
        <v>1193</v>
      </c>
      <c r="E82" s="3">
        <v>538906</v>
      </c>
      <c r="F82" s="3">
        <f>Table4_1416[[#This Row],[New_Followers]]-Table4_1416[[#This Row],[Unfollows]]</f>
        <v>7565</v>
      </c>
      <c r="G82" s="4">
        <v>1.40376985967868E-2</v>
      </c>
      <c r="H82">
        <v>3.4213758985797149</v>
      </c>
      <c r="I82" s="6">
        <v>26184</v>
      </c>
      <c r="K82" s="5">
        <v>45586</v>
      </c>
      <c r="L82" t="s">
        <v>23</v>
      </c>
      <c r="M82" s="3">
        <v>7565</v>
      </c>
      <c r="W82" s="5">
        <v>45586</v>
      </c>
      <c r="Y82" s="3">
        <v>538906</v>
      </c>
    </row>
    <row r="83" spans="1:25" hidden="1" x14ac:dyDescent="0.3">
      <c r="A83" s="5">
        <v>45586</v>
      </c>
      <c r="B83" t="s">
        <v>14</v>
      </c>
      <c r="C83" s="3">
        <v>7793</v>
      </c>
      <c r="D83" s="3">
        <v>875</v>
      </c>
      <c r="E83" s="3">
        <v>545824</v>
      </c>
      <c r="F83" s="3">
        <f>Table4_1416[[#This Row],[New_Followers]]-Table4_1416[[#This Row],[Unfollows]]</f>
        <v>6918</v>
      </c>
      <c r="G83" s="4">
        <v>1.26744151961072E-2</v>
      </c>
      <c r="H83">
        <v>5.5136820660139527</v>
      </c>
      <c r="I83" s="6">
        <v>43787</v>
      </c>
      <c r="K83" s="5">
        <v>45586</v>
      </c>
      <c r="L83" t="s">
        <v>14</v>
      </c>
      <c r="M83" s="3">
        <v>6918</v>
      </c>
      <c r="W83" s="5">
        <v>45586</v>
      </c>
      <c r="Y83" s="3">
        <v>545824</v>
      </c>
    </row>
    <row r="84" spans="1:25" hidden="1" x14ac:dyDescent="0.3">
      <c r="A84" s="5">
        <v>45586</v>
      </c>
      <c r="B84" t="s">
        <v>23</v>
      </c>
      <c r="C84" s="3">
        <v>8638</v>
      </c>
      <c r="D84" s="3">
        <v>717</v>
      </c>
      <c r="E84" s="3">
        <v>553745</v>
      </c>
      <c r="F84" s="3">
        <f>Table4_1416[[#This Row],[New_Followers]]-Table4_1416[[#This Row],[Unfollows]]</f>
        <v>7921</v>
      </c>
      <c r="G84" s="4">
        <v>1.4304418098583301E-2</v>
      </c>
      <c r="H84">
        <v>26.921416897669499</v>
      </c>
      <c r="I84" s="6">
        <v>31621</v>
      </c>
      <c r="K84" s="5">
        <v>45586</v>
      </c>
      <c r="L84" t="s">
        <v>23</v>
      </c>
      <c r="M84" s="3">
        <v>7921</v>
      </c>
      <c r="W84" s="5">
        <v>45586</v>
      </c>
      <c r="Y84" s="3">
        <v>553745</v>
      </c>
    </row>
    <row r="85" spans="1:25" hidden="1" x14ac:dyDescent="0.3">
      <c r="A85" s="5">
        <v>45586</v>
      </c>
      <c r="B85" t="s">
        <v>23</v>
      </c>
      <c r="C85" s="3">
        <v>8993</v>
      </c>
      <c r="D85" s="3">
        <v>506</v>
      </c>
      <c r="E85" s="3">
        <v>562232</v>
      </c>
      <c r="F85" s="3">
        <f>Table4_1416[[#This Row],[New_Followers]]-Table4_1416[[#This Row],[Unfollows]]</f>
        <v>8487</v>
      </c>
      <c r="G85" s="4">
        <v>1.5095192020375899E-2</v>
      </c>
      <c r="H85">
        <v>3.5131404829323132</v>
      </c>
      <c r="I85" s="6">
        <v>20028</v>
      </c>
      <c r="K85" s="5">
        <v>45586</v>
      </c>
      <c r="L85" t="s">
        <v>23</v>
      </c>
      <c r="M85" s="3">
        <v>8487</v>
      </c>
      <c r="W85" s="5">
        <v>45586</v>
      </c>
      <c r="Y85" s="3">
        <v>562232</v>
      </c>
    </row>
    <row r="86" spans="1:25" hidden="1" x14ac:dyDescent="0.3">
      <c r="A86" s="5">
        <v>45593</v>
      </c>
      <c r="B86" t="s">
        <v>14</v>
      </c>
      <c r="C86" s="3">
        <v>7007</v>
      </c>
      <c r="D86" s="3">
        <v>568</v>
      </c>
      <c r="E86" s="3">
        <v>568671</v>
      </c>
      <c r="F86" s="3">
        <f>Table4_1416[[#This Row],[New_Followers]]-Table4_1416[[#This Row],[Unfollows]]</f>
        <v>6439</v>
      </c>
      <c r="G86" s="4">
        <v>1.13228914433829E-2</v>
      </c>
      <c r="H86">
        <v>11.50507059442103</v>
      </c>
      <c r="I86" s="6">
        <v>22448</v>
      </c>
      <c r="K86" s="5">
        <v>45593</v>
      </c>
      <c r="L86" t="s">
        <v>14</v>
      </c>
      <c r="M86" s="3">
        <v>6439</v>
      </c>
      <c r="W86" s="5">
        <v>45593</v>
      </c>
      <c r="Y86" s="3">
        <v>568671</v>
      </c>
    </row>
    <row r="87" spans="1:25" hidden="1" x14ac:dyDescent="0.3">
      <c r="A87" s="5">
        <v>45593</v>
      </c>
      <c r="B87" t="s">
        <v>14</v>
      </c>
      <c r="C87" s="3">
        <v>6542</v>
      </c>
      <c r="D87" s="3">
        <v>539</v>
      </c>
      <c r="E87" s="3">
        <v>574674</v>
      </c>
      <c r="F87" s="3">
        <f>Table4_1416[[#This Row],[New_Followers]]-Table4_1416[[#This Row],[Unfollows]]</f>
        <v>6003</v>
      </c>
      <c r="G87" s="4">
        <v>1.04459223838211E-2</v>
      </c>
      <c r="H87">
        <v>6.4069368024305948</v>
      </c>
      <c r="I87" s="6">
        <v>55253</v>
      </c>
      <c r="K87" s="5">
        <v>45593</v>
      </c>
      <c r="L87" t="s">
        <v>14</v>
      </c>
      <c r="M87" s="3">
        <v>6003</v>
      </c>
      <c r="W87" s="5">
        <v>45593</v>
      </c>
      <c r="Y87" s="3">
        <v>574674</v>
      </c>
    </row>
    <row r="88" spans="1:25" x14ac:dyDescent="0.3">
      <c r="A88" s="5">
        <v>45593</v>
      </c>
      <c r="B88" t="s">
        <v>19</v>
      </c>
      <c r="C88" s="3">
        <v>7356</v>
      </c>
      <c r="D88" s="3">
        <v>904</v>
      </c>
      <c r="E88" s="3">
        <v>581126</v>
      </c>
      <c r="F88" s="3">
        <f>Table4_1416[[#This Row],[New_Followers]]-Table4_1416[[#This Row],[Unfollows]]</f>
        <v>6452</v>
      </c>
      <c r="G88" s="4">
        <v>1.1102583604932501E-2</v>
      </c>
      <c r="H88">
        <v>17.560907617280929</v>
      </c>
      <c r="I88" s="6">
        <v>44051</v>
      </c>
      <c r="K88" s="5">
        <v>45593</v>
      </c>
      <c r="M88" s="3">
        <v>6452</v>
      </c>
      <c r="W88" s="5">
        <v>45593</v>
      </c>
      <c r="Y88" s="3">
        <v>581126</v>
      </c>
    </row>
    <row r="89" spans="1:25" x14ac:dyDescent="0.3">
      <c r="A89" s="5">
        <v>45593</v>
      </c>
      <c r="B89" t="s">
        <v>19</v>
      </c>
      <c r="C89" s="3">
        <v>9433</v>
      </c>
      <c r="D89" s="3">
        <v>1073</v>
      </c>
      <c r="E89" s="3">
        <v>589486</v>
      </c>
      <c r="F89" s="3">
        <f>Table4_1416[[#This Row],[New_Followers]]-Table4_1416[[#This Row],[Unfollows]]</f>
        <v>8360</v>
      </c>
      <c r="G89" s="4">
        <v>1.4181846557848699E-2</v>
      </c>
      <c r="H89">
        <v>7.2934726185185053</v>
      </c>
      <c r="I89" s="6">
        <v>59811</v>
      </c>
      <c r="K89" s="5">
        <v>45593</v>
      </c>
      <c r="M89" s="3">
        <v>8360</v>
      </c>
      <c r="W89" s="5">
        <v>45593</v>
      </c>
      <c r="Y89" s="3">
        <v>589486</v>
      </c>
    </row>
    <row r="90" spans="1:25" hidden="1" x14ac:dyDescent="0.3">
      <c r="A90" s="5">
        <v>45600</v>
      </c>
      <c r="B90" t="s">
        <v>41</v>
      </c>
      <c r="C90" s="3">
        <v>8380</v>
      </c>
      <c r="D90" s="3">
        <v>1162</v>
      </c>
      <c r="E90" s="3">
        <v>596704</v>
      </c>
      <c r="F90" s="3">
        <f>Table4_1416[[#This Row],[New_Followers]]-Table4_1416[[#This Row],[Unfollows]]</f>
        <v>7218</v>
      </c>
      <c r="G90" s="4">
        <v>1.2096449831072E-2</v>
      </c>
      <c r="H90">
        <v>18.05853488496809</v>
      </c>
      <c r="I90" s="6">
        <v>40447</v>
      </c>
      <c r="K90" s="5">
        <v>45600</v>
      </c>
      <c r="L90" t="s">
        <v>41</v>
      </c>
      <c r="M90" s="3">
        <v>7218</v>
      </c>
      <c r="W90" s="5">
        <v>45600</v>
      </c>
      <c r="Y90" s="3">
        <v>596704</v>
      </c>
    </row>
    <row r="91" spans="1:25" hidden="1" x14ac:dyDescent="0.3">
      <c r="A91" s="5">
        <v>45600</v>
      </c>
      <c r="B91" t="s">
        <v>14</v>
      </c>
      <c r="C91" s="3">
        <v>3385</v>
      </c>
      <c r="D91" s="3">
        <v>329</v>
      </c>
      <c r="E91" s="3">
        <v>599760</v>
      </c>
      <c r="F91" s="3">
        <f>Table4_1416[[#This Row],[New_Followers]]-Table4_1416[[#This Row],[Unfollows]]</f>
        <v>3056</v>
      </c>
      <c r="G91" s="4">
        <v>5.0953714819261002E-3</v>
      </c>
      <c r="H91">
        <v>17.61788048552755</v>
      </c>
      <c r="I91" s="6">
        <v>28394</v>
      </c>
      <c r="K91" s="5">
        <v>45600</v>
      </c>
      <c r="L91" t="s">
        <v>14</v>
      </c>
      <c r="M91" s="3">
        <v>3056</v>
      </c>
      <c r="W91" s="5">
        <v>45600</v>
      </c>
      <c r="Y91" s="3">
        <v>599760</v>
      </c>
    </row>
    <row r="92" spans="1:25" x14ac:dyDescent="0.3">
      <c r="A92" s="5">
        <v>45600</v>
      </c>
      <c r="B92" t="s">
        <v>19</v>
      </c>
      <c r="C92" s="3">
        <v>5268</v>
      </c>
      <c r="D92" s="3">
        <v>326</v>
      </c>
      <c r="E92" s="3">
        <v>604702</v>
      </c>
      <c r="F92" s="3">
        <f>Table4_1416[[#This Row],[New_Followers]]-Table4_1416[[#This Row],[Unfollows]]</f>
        <v>4942</v>
      </c>
      <c r="G92" s="4">
        <v>8.17262056351724E-3</v>
      </c>
      <c r="H92">
        <v>23.435841125050029</v>
      </c>
      <c r="I92" s="6">
        <v>44501</v>
      </c>
      <c r="K92" s="5">
        <v>45600</v>
      </c>
      <c r="M92" s="3">
        <v>4942</v>
      </c>
      <c r="W92" s="5">
        <v>45600</v>
      </c>
      <c r="Y92" s="3">
        <v>604702</v>
      </c>
    </row>
    <row r="93" spans="1:25" hidden="1" x14ac:dyDescent="0.3">
      <c r="A93" s="5">
        <v>45600</v>
      </c>
      <c r="B93" t="s">
        <v>41</v>
      </c>
      <c r="C93" s="3">
        <v>1671</v>
      </c>
      <c r="D93" s="3">
        <v>202</v>
      </c>
      <c r="E93" s="3">
        <v>606171</v>
      </c>
      <c r="F93" s="3">
        <f>Table4_1416[[#This Row],[New_Followers]]-Table4_1416[[#This Row],[Unfollows]]</f>
        <v>1469</v>
      </c>
      <c r="G93" s="4">
        <v>2.42340857612786E-3</v>
      </c>
      <c r="H93">
        <v>15.150015424690389</v>
      </c>
      <c r="I93" s="6">
        <v>40254</v>
      </c>
      <c r="K93" s="5">
        <v>45600</v>
      </c>
      <c r="L93" t="s">
        <v>41</v>
      </c>
      <c r="M93" s="3">
        <v>1469</v>
      </c>
      <c r="W93" s="5">
        <v>45600</v>
      </c>
      <c r="Y93" s="3">
        <v>606171</v>
      </c>
    </row>
    <row r="94" spans="1:25" hidden="1" x14ac:dyDescent="0.3">
      <c r="A94" s="5">
        <v>45607</v>
      </c>
      <c r="B94" t="s">
        <v>41</v>
      </c>
      <c r="C94" s="3">
        <v>1163</v>
      </c>
      <c r="D94" s="3">
        <v>146</v>
      </c>
      <c r="E94" s="3">
        <v>607188</v>
      </c>
      <c r="F94" s="3">
        <f>Table4_1416[[#This Row],[New_Followers]]-Table4_1416[[#This Row],[Unfollows]]</f>
        <v>1017</v>
      </c>
      <c r="G94" s="4">
        <v>1.6749342872388799E-3</v>
      </c>
      <c r="H94">
        <v>21.77776899411715</v>
      </c>
      <c r="I94" s="6">
        <v>28509</v>
      </c>
      <c r="K94" s="5">
        <v>45607</v>
      </c>
      <c r="L94" t="s">
        <v>41</v>
      </c>
      <c r="M94" s="3">
        <v>1017</v>
      </c>
      <c r="W94" s="5">
        <v>45607</v>
      </c>
      <c r="Y94" s="3">
        <v>607188</v>
      </c>
    </row>
    <row r="95" spans="1:25" hidden="1" x14ac:dyDescent="0.3">
      <c r="A95" s="5">
        <v>45607</v>
      </c>
      <c r="B95" t="s">
        <v>41</v>
      </c>
      <c r="C95" s="3">
        <v>9656</v>
      </c>
      <c r="D95" s="3">
        <v>1024</v>
      </c>
      <c r="E95" s="3">
        <v>615820</v>
      </c>
      <c r="F95" s="3">
        <f>Table4_1416[[#This Row],[New_Followers]]-Table4_1416[[#This Row],[Unfollows]]</f>
        <v>8632</v>
      </c>
      <c r="G95" s="4">
        <v>1.40170829138385E-2</v>
      </c>
      <c r="H95">
        <v>8.7252768666168681</v>
      </c>
      <c r="I95" s="6">
        <v>58998</v>
      </c>
      <c r="K95" s="5">
        <v>45607</v>
      </c>
      <c r="L95" t="s">
        <v>41</v>
      </c>
      <c r="M95" s="3">
        <v>8632</v>
      </c>
      <c r="W95" s="5">
        <v>45607</v>
      </c>
      <c r="Y95" s="3">
        <v>615820</v>
      </c>
    </row>
    <row r="96" spans="1:25" x14ac:dyDescent="0.3">
      <c r="A96" s="5">
        <v>45607</v>
      </c>
      <c r="B96" t="s">
        <v>19</v>
      </c>
      <c r="C96" s="3">
        <v>5592</v>
      </c>
      <c r="D96" s="3">
        <v>710</v>
      </c>
      <c r="E96" s="3">
        <v>620702</v>
      </c>
      <c r="F96" s="3">
        <f>Table4_1416[[#This Row],[New_Followers]]-Table4_1416[[#This Row],[Unfollows]]</f>
        <v>4882</v>
      </c>
      <c r="G96" s="4">
        <v>7.86528801260508E-3</v>
      </c>
      <c r="H96">
        <v>9.07118069540617</v>
      </c>
      <c r="I96" s="6">
        <v>24472</v>
      </c>
      <c r="K96" s="5">
        <v>45607</v>
      </c>
      <c r="M96" s="3">
        <v>4882</v>
      </c>
      <c r="W96" s="5">
        <v>45607</v>
      </c>
      <c r="Y96" s="3">
        <v>620702</v>
      </c>
    </row>
    <row r="97" spans="1:25" hidden="1" x14ac:dyDescent="0.3">
      <c r="A97" s="5">
        <v>45607</v>
      </c>
      <c r="B97" t="s">
        <v>14</v>
      </c>
      <c r="C97" s="3">
        <v>5795</v>
      </c>
      <c r="D97" s="3">
        <v>575</v>
      </c>
      <c r="E97" s="3">
        <v>625922</v>
      </c>
      <c r="F97" s="3">
        <f>Table4_1416[[#This Row],[New_Followers]]-Table4_1416[[#This Row],[Unfollows]]</f>
        <v>5220</v>
      </c>
      <c r="G97" s="4">
        <v>8.3396972785746391E-3</v>
      </c>
      <c r="H97">
        <v>3.0908004511744269</v>
      </c>
      <c r="I97" s="6">
        <v>55657</v>
      </c>
      <c r="K97" s="5">
        <v>45607</v>
      </c>
      <c r="L97" t="s">
        <v>14</v>
      </c>
      <c r="M97" s="3">
        <v>5220</v>
      </c>
      <c r="W97" s="5">
        <v>45607</v>
      </c>
      <c r="Y97" s="3">
        <v>625922</v>
      </c>
    </row>
    <row r="98" spans="1:25" hidden="1" x14ac:dyDescent="0.3">
      <c r="A98" s="5">
        <v>45614</v>
      </c>
      <c r="B98" t="s">
        <v>23</v>
      </c>
      <c r="C98" s="3">
        <v>5798</v>
      </c>
      <c r="D98" s="3">
        <v>592</v>
      </c>
      <c r="E98" s="3">
        <v>631128</v>
      </c>
      <c r="F98" s="3">
        <f>Table4_1416[[#This Row],[New_Followers]]-Table4_1416[[#This Row],[Unfollows]]</f>
        <v>5206</v>
      </c>
      <c r="G98" s="4">
        <v>8.2487229214992797E-3</v>
      </c>
      <c r="H98">
        <v>1.6774727155188811</v>
      </c>
      <c r="I98" s="6">
        <v>13471</v>
      </c>
      <c r="K98" s="5">
        <v>45614</v>
      </c>
      <c r="L98" t="s">
        <v>23</v>
      </c>
      <c r="M98" s="3">
        <v>5206</v>
      </c>
      <c r="W98" s="5">
        <v>45614</v>
      </c>
      <c r="Y98" s="3">
        <v>631128</v>
      </c>
    </row>
    <row r="99" spans="1:25" hidden="1" x14ac:dyDescent="0.3">
      <c r="A99" s="5">
        <v>45614</v>
      </c>
      <c r="B99" t="s">
        <v>41</v>
      </c>
      <c r="C99" s="3">
        <v>7036</v>
      </c>
      <c r="D99" s="3">
        <v>652</v>
      </c>
      <c r="E99" s="3">
        <v>637512</v>
      </c>
      <c r="F99" s="3">
        <f>Table4_1416[[#This Row],[New_Followers]]-Table4_1416[[#This Row],[Unfollows]]</f>
        <v>6384</v>
      </c>
      <c r="G99" s="4">
        <v>1.00139291495689E-2</v>
      </c>
      <c r="H99">
        <v>3.5705994553828009</v>
      </c>
      <c r="I99" s="6">
        <v>51796</v>
      </c>
      <c r="K99" s="5">
        <v>45614</v>
      </c>
      <c r="L99" t="s">
        <v>41</v>
      </c>
      <c r="M99" s="3">
        <v>6384</v>
      </c>
      <c r="W99" s="5">
        <v>45614</v>
      </c>
      <c r="Y99" s="3">
        <v>637512</v>
      </c>
    </row>
    <row r="100" spans="1:25" x14ac:dyDescent="0.3">
      <c r="A100" s="5">
        <v>45614</v>
      </c>
      <c r="B100" t="s">
        <v>19</v>
      </c>
      <c r="C100" s="3">
        <v>3355</v>
      </c>
      <c r="D100" s="3">
        <v>176</v>
      </c>
      <c r="E100" s="3">
        <v>640691</v>
      </c>
      <c r="F100" s="3">
        <f>Table4_1416[[#This Row],[New_Followers]]-Table4_1416[[#This Row],[Unfollows]]</f>
        <v>3179</v>
      </c>
      <c r="G100" s="4">
        <v>4.96183027387618E-3</v>
      </c>
      <c r="H100">
        <v>12.426427091999111</v>
      </c>
      <c r="I100" s="6">
        <v>40268</v>
      </c>
      <c r="K100" s="5">
        <v>45614</v>
      </c>
      <c r="M100" s="3">
        <v>3179</v>
      </c>
      <c r="W100" s="5">
        <v>45614</v>
      </c>
      <c r="Y100" s="3">
        <v>640691</v>
      </c>
    </row>
    <row r="101" spans="1:25" x14ac:dyDescent="0.3">
      <c r="A101" s="5">
        <v>45614</v>
      </c>
      <c r="B101" t="s">
        <v>19</v>
      </c>
      <c r="C101" s="3">
        <v>6887</v>
      </c>
      <c r="D101" s="3">
        <v>418</v>
      </c>
      <c r="E101" s="3">
        <v>647160</v>
      </c>
      <c r="F101" s="3">
        <f>Table4_1416[[#This Row],[New_Followers]]-Table4_1416[[#This Row],[Unfollows]]</f>
        <v>6469</v>
      </c>
      <c r="G101" s="4">
        <v>9.9959824463811096E-3</v>
      </c>
      <c r="H101">
        <v>20.240280610668151</v>
      </c>
      <c r="I101" s="6">
        <v>18329</v>
      </c>
      <c r="K101" s="5">
        <v>45614</v>
      </c>
      <c r="M101" s="3">
        <v>6469</v>
      </c>
      <c r="W101" s="5">
        <v>45614</v>
      </c>
      <c r="Y101" s="3">
        <v>647160</v>
      </c>
    </row>
    <row r="102" spans="1:25" hidden="1" x14ac:dyDescent="0.3">
      <c r="A102" s="5">
        <v>45621</v>
      </c>
      <c r="B102" t="s">
        <v>23</v>
      </c>
      <c r="C102" s="3">
        <v>8961</v>
      </c>
      <c r="D102" s="3">
        <v>476</v>
      </c>
      <c r="E102" s="3">
        <v>655645</v>
      </c>
      <c r="F102" s="3">
        <f>Table4_1416[[#This Row],[New_Followers]]-Table4_1416[[#This Row],[Unfollows]]</f>
        <v>8485</v>
      </c>
      <c r="G102" s="4">
        <v>1.29414545981438E-2</v>
      </c>
      <c r="H102">
        <v>15.458517947974901</v>
      </c>
      <c r="I102" s="6">
        <v>44865</v>
      </c>
      <c r="K102" s="5">
        <v>45621</v>
      </c>
      <c r="L102" t="s">
        <v>23</v>
      </c>
      <c r="M102" s="3">
        <v>8485</v>
      </c>
      <c r="W102" s="5">
        <v>45621</v>
      </c>
      <c r="Y102" s="3">
        <v>655645</v>
      </c>
    </row>
    <row r="103" spans="1:25" hidden="1" x14ac:dyDescent="0.3">
      <c r="A103" s="5">
        <v>45621</v>
      </c>
      <c r="B103" t="s">
        <v>23</v>
      </c>
      <c r="C103" s="3">
        <v>6827</v>
      </c>
      <c r="D103" s="3">
        <v>775</v>
      </c>
      <c r="E103" s="3">
        <v>661697</v>
      </c>
      <c r="F103" s="3">
        <f>Table4_1416[[#This Row],[New_Followers]]-Table4_1416[[#This Row],[Unfollows]]</f>
        <v>6052</v>
      </c>
      <c r="G103" s="4">
        <v>9.1461802003031598E-3</v>
      </c>
      <c r="H103">
        <v>15.96622018839439</v>
      </c>
      <c r="I103" s="6">
        <v>56850</v>
      </c>
      <c r="K103" s="5">
        <v>45621</v>
      </c>
      <c r="L103" t="s">
        <v>23</v>
      </c>
      <c r="M103" s="3">
        <v>6052</v>
      </c>
      <c r="W103" s="5">
        <v>45621</v>
      </c>
      <c r="Y103" s="3">
        <v>661697</v>
      </c>
    </row>
    <row r="104" spans="1:25" x14ac:dyDescent="0.3">
      <c r="A104" s="5">
        <v>45621</v>
      </c>
      <c r="B104" t="s">
        <v>19</v>
      </c>
      <c r="C104" s="3">
        <v>9737</v>
      </c>
      <c r="D104" s="3">
        <v>792</v>
      </c>
      <c r="E104" s="3">
        <v>670642</v>
      </c>
      <c r="F104" s="3">
        <f>Table4_1416[[#This Row],[New_Followers]]-Table4_1416[[#This Row],[Unfollows]]</f>
        <v>8945</v>
      </c>
      <c r="G104" s="4">
        <v>1.33379657104685E-2</v>
      </c>
      <c r="H104">
        <v>5.301785453341723</v>
      </c>
      <c r="I104" s="6">
        <v>56698</v>
      </c>
      <c r="K104" s="5">
        <v>45621</v>
      </c>
      <c r="M104" s="3">
        <v>8945</v>
      </c>
      <c r="W104" s="5">
        <v>45621</v>
      </c>
      <c r="Y104" s="3">
        <v>670642</v>
      </c>
    </row>
    <row r="105" spans="1:25" hidden="1" x14ac:dyDescent="0.3">
      <c r="A105" s="5">
        <v>45621</v>
      </c>
      <c r="B105" t="s">
        <v>14</v>
      </c>
      <c r="C105" s="3">
        <v>5719</v>
      </c>
      <c r="D105" s="3">
        <v>576</v>
      </c>
      <c r="E105" s="3">
        <v>675785</v>
      </c>
      <c r="F105" s="3">
        <f>Table4_1416[[#This Row],[New_Followers]]-Table4_1416[[#This Row],[Unfollows]]</f>
        <v>5143</v>
      </c>
      <c r="G105" s="4">
        <v>7.6104086358827197E-3</v>
      </c>
      <c r="H105">
        <v>10.21656296011305</v>
      </c>
      <c r="I105" s="6">
        <v>38272</v>
      </c>
      <c r="K105" s="5">
        <v>45621</v>
      </c>
      <c r="L105" t="s">
        <v>14</v>
      </c>
      <c r="M105" s="3">
        <v>5143</v>
      </c>
      <c r="W105" s="5">
        <v>45621</v>
      </c>
      <c r="Y105" s="3">
        <v>675785</v>
      </c>
    </row>
    <row r="106" spans="1:25" hidden="1" x14ac:dyDescent="0.3">
      <c r="A106" s="5">
        <v>45628</v>
      </c>
      <c r="B106" t="s">
        <v>23</v>
      </c>
      <c r="C106" s="3">
        <v>1593</v>
      </c>
      <c r="D106" s="3">
        <v>224</v>
      </c>
      <c r="E106" s="3">
        <v>677154</v>
      </c>
      <c r="F106" s="3">
        <f>Table4_1416[[#This Row],[New_Followers]]-Table4_1416[[#This Row],[Unfollows]]</f>
        <v>1369</v>
      </c>
      <c r="G106" s="4">
        <v>2.0216966893793699E-3</v>
      </c>
      <c r="H106">
        <v>4.1495730660972248</v>
      </c>
      <c r="I106" s="6">
        <v>52845</v>
      </c>
      <c r="K106" s="5">
        <v>45628</v>
      </c>
      <c r="L106" t="s">
        <v>23</v>
      </c>
      <c r="M106" s="3">
        <v>1369</v>
      </c>
      <c r="W106" s="5">
        <v>45628</v>
      </c>
      <c r="Y106" s="3">
        <v>677154</v>
      </c>
    </row>
    <row r="107" spans="1:25" x14ac:dyDescent="0.3">
      <c r="A107" s="5">
        <v>45628</v>
      </c>
      <c r="B107" t="s">
        <v>19</v>
      </c>
      <c r="C107" s="3">
        <v>5839</v>
      </c>
      <c r="D107" s="3">
        <v>437</v>
      </c>
      <c r="E107" s="3">
        <v>682556</v>
      </c>
      <c r="F107" s="3">
        <f>Table4_1416[[#This Row],[New_Followers]]-Table4_1416[[#This Row],[Unfollows]]</f>
        <v>5402</v>
      </c>
      <c r="G107" s="4">
        <v>7.9143689309009099E-3</v>
      </c>
      <c r="H107">
        <v>17.44750613869045</v>
      </c>
      <c r="I107" s="6">
        <v>16397</v>
      </c>
      <c r="K107" s="5">
        <v>45628</v>
      </c>
      <c r="M107" s="3">
        <v>5402</v>
      </c>
      <c r="W107" s="5">
        <v>45628</v>
      </c>
      <c r="Y107" s="3">
        <v>682556</v>
      </c>
    </row>
    <row r="108" spans="1:25" hidden="1" x14ac:dyDescent="0.3">
      <c r="A108" s="5">
        <v>45628</v>
      </c>
      <c r="B108" t="s">
        <v>23</v>
      </c>
      <c r="C108" s="3">
        <v>8394</v>
      </c>
      <c r="D108" s="3">
        <v>764</v>
      </c>
      <c r="E108" s="3">
        <v>690186</v>
      </c>
      <c r="F108" s="3">
        <f>Table4_1416[[#This Row],[New_Followers]]-Table4_1416[[#This Row],[Unfollows]]</f>
        <v>7630</v>
      </c>
      <c r="G108" s="4">
        <v>1.10549909734477E-2</v>
      </c>
      <c r="H108">
        <v>6.3556780346167558</v>
      </c>
      <c r="I108" s="6">
        <v>42373</v>
      </c>
      <c r="K108" s="5">
        <v>45628</v>
      </c>
      <c r="L108" t="s">
        <v>23</v>
      </c>
      <c r="M108" s="3">
        <v>7630</v>
      </c>
      <c r="W108" s="5">
        <v>45628</v>
      </c>
      <c r="Y108" s="3">
        <v>690186</v>
      </c>
    </row>
    <row r="109" spans="1:25" hidden="1" x14ac:dyDescent="0.3">
      <c r="A109" s="5">
        <v>45628</v>
      </c>
      <c r="B109" t="s">
        <v>14</v>
      </c>
      <c r="C109" s="3">
        <v>4493</v>
      </c>
      <c r="D109" s="3">
        <v>564</v>
      </c>
      <c r="E109" s="3">
        <v>694115</v>
      </c>
      <c r="F109" s="3">
        <f>Table4_1416[[#This Row],[New_Followers]]-Table4_1416[[#This Row],[Unfollows]]</f>
        <v>3929</v>
      </c>
      <c r="G109" s="4">
        <v>5.6604453152575597E-3</v>
      </c>
      <c r="H109">
        <v>16.625487131094989</v>
      </c>
      <c r="I109" s="6">
        <v>45525</v>
      </c>
      <c r="K109" s="5">
        <v>45628</v>
      </c>
      <c r="L109" t="s">
        <v>14</v>
      </c>
      <c r="M109" s="3">
        <v>3929</v>
      </c>
      <c r="W109" s="5">
        <v>45628</v>
      </c>
      <c r="Y109" s="3">
        <v>694115</v>
      </c>
    </row>
    <row r="110" spans="1:25" hidden="1" x14ac:dyDescent="0.3">
      <c r="A110" s="5">
        <v>45635</v>
      </c>
      <c r="B110" t="s">
        <v>41</v>
      </c>
      <c r="C110" s="3">
        <v>7164</v>
      </c>
      <c r="D110" s="3">
        <v>522</v>
      </c>
      <c r="E110" s="3">
        <v>700757</v>
      </c>
      <c r="F110" s="3">
        <f>Table4_1416[[#This Row],[New_Followers]]-Table4_1416[[#This Row],[Unfollows]]</f>
        <v>6642</v>
      </c>
      <c r="G110" s="4">
        <v>9.4783213011072308E-3</v>
      </c>
      <c r="H110">
        <v>13.449169969047761</v>
      </c>
      <c r="I110" s="6">
        <v>34570</v>
      </c>
      <c r="K110" s="5">
        <v>45635</v>
      </c>
      <c r="L110" t="s">
        <v>41</v>
      </c>
      <c r="M110" s="3">
        <v>6642</v>
      </c>
      <c r="W110" s="5">
        <v>45635</v>
      </c>
      <c r="Y110" s="3">
        <v>700757</v>
      </c>
    </row>
    <row r="111" spans="1:25" hidden="1" x14ac:dyDescent="0.3">
      <c r="A111" s="5">
        <v>45635</v>
      </c>
      <c r="B111" t="s">
        <v>23</v>
      </c>
      <c r="C111" s="3">
        <v>3672</v>
      </c>
      <c r="D111" s="3">
        <v>211</v>
      </c>
      <c r="E111" s="3">
        <v>704218</v>
      </c>
      <c r="F111" s="3">
        <f>Table4_1416[[#This Row],[New_Followers]]-Table4_1416[[#This Row],[Unfollows]]</f>
        <v>3461</v>
      </c>
      <c r="G111" s="4">
        <v>4.9146713091684701E-3</v>
      </c>
      <c r="H111">
        <v>12.35057894004413</v>
      </c>
      <c r="I111" s="6">
        <v>28284</v>
      </c>
      <c r="K111" s="5">
        <v>45635</v>
      </c>
      <c r="L111" t="s">
        <v>23</v>
      </c>
      <c r="M111" s="3">
        <v>3461</v>
      </c>
      <c r="W111" s="5">
        <v>45635</v>
      </c>
      <c r="Y111" s="3">
        <v>704218</v>
      </c>
    </row>
    <row r="112" spans="1:25" hidden="1" x14ac:dyDescent="0.3">
      <c r="A112" s="5">
        <v>45635</v>
      </c>
      <c r="B112" t="s">
        <v>14</v>
      </c>
      <c r="C112" s="3">
        <v>5200</v>
      </c>
      <c r="D112" s="3">
        <v>410</v>
      </c>
      <c r="E112" s="3">
        <v>709008</v>
      </c>
      <c r="F112" s="3">
        <f>Table4_1416[[#This Row],[New_Followers]]-Table4_1416[[#This Row],[Unfollows]]</f>
        <v>4790</v>
      </c>
      <c r="G112" s="4">
        <v>6.7559181278631598E-3</v>
      </c>
      <c r="H112">
        <v>12.913394489201821</v>
      </c>
      <c r="I112" s="6">
        <v>28994</v>
      </c>
      <c r="K112" s="5">
        <v>45635</v>
      </c>
      <c r="L112" t="s">
        <v>14</v>
      </c>
      <c r="M112" s="3">
        <v>4790</v>
      </c>
      <c r="W112" s="5">
        <v>45635</v>
      </c>
      <c r="Y112" s="3">
        <v>709008</v>
      </c>
    </row>
    <row r="113" spans="1:25" x14ac:dyDescent="0.3">
      <c r="A113" s="5">
        <v>45635</v>
      </c>
      <c r="B113" t="s">
        <v>19</v>
      </c>
      <c r="C113" s="3">
        <v>1016</v>
      </c>
      <c r="D113" s="3">
        <v>67</v>
      </c>
      <c r="E113" s="3">
        <v>709957</v>
      </c>
      <c r="F113" s="3">
        <f>Table4_1416[[#This Row],[New_Followers]]-Table4_1416[[#This Row],[Unfollows]]</f>
        <v>949</v>
      </c>
      <c r="G113" s="4">
        <v>1.3367006734210699E-3</v>
      </c>
      <c r="H113">
        <v>20.774215903216671</v>
      </c>
      <c r="I113" s="6">
        <v>33284</v>
      </c>
      <c r="K113" s="5">
        <v>45635</v>
      </c>
      <c r="M113" s="3">
        <v>949</v>
      </c>
      <c r="W113" s="5">
        <v>45635</v>
      </c>
      <c r="Y113" s="3">
        <v>709957</v>
      </c>
    </row>
    <row r="114" spans="1:25" hidden="1" x14ac:dyDescent="0.3">
      <c r="A114" s="5">
        <v>45642</v>
      </c>
      <c r="B114" t="s">
        <v>23</v>
      </c>
      <c r="C114" s="3">
        <v>4191</v>
      </c>
      <c r="D114" s="3">
        <v>599</v>
      </c>
      <c r="E114" s="3">
        <v>713549</v>
      </c>
      <c r="F114" s="3">
        <f>Table4_1416[[#This Row],[New_Followers]]-Table4_1416[[#This Row],[Unfollows]]</f>
        <v>3592</v>
      </c>
      <c r="G114" s="4">
        <v>5.0339920594100803E-3</v>
      </c>
      <c r="H114">
        <v>11.56416728213479</v>
      </c>
      <c r="I114" s="6">
        <v>27833</v>
      </c>
      <c r="K114" s="5">
        <v>45642</v>
      </c>
      <c r="L114" t="s">
        <v>23</v>
      </c>
      <c r="M114" s="3">
        <v>3592</v>
      </c>
      <c r="W114" s="5">
        <v>45642</v>
      </c>
      <c r="Y114" s="3">
        <v>713549</v>
      </c>
    </row>
    <row r="115" spans="1:25" hidden="1" x14ac:dyDescent="0.3">
      <c r="A115" s="5">
        <v>45642</v>
      </c>
      <c r="B115" t="s">
        <v>23</v>
      </c>
      <c r="C115" s="3">
        <v>1392</v>
      </c>
      <c r="D115" s="3">
        <v>182</v>
      </c>
      <c r="E115" s="3">
        <v>714759</v>
      </c>
      <c r="F115" s="3">
        <f>Table4_1416[[#This Row],[New_Followers]]-Table4_1416[[#This Row],[Unfollows]]</f>
        <v>1210</v>
      </c>
      <c r="G115" s="4">
        <v>1.69287829883919E-3</v>
      </c>
      <c r="H115">
        <v>5.9603306848881932</v>
      </c>
      <c r="I115" s="6">
        <v>35122</v>
      </c>
      <c r="K115" s="5">
        <v>45642</v>
      </c>
      <c r="L115" t="s">
        <v>23</v>
      </c>
      <c r="M115" s="3">
        <v>1210</v>
      </c>
      <c r="W115" s="5">
        <v>45642</v>
      </c>
      <c r="Y115" s="3">
        <v>714759</v>
      </c>
    </row>
    <row r="116" spans="1:25" x14ac:dyDescent="0.3">
      <c r="A116" s="5">
        <v>45642</v>
      </c>
      <c r="B116" t="s">
        <v>19</v>
      </c>
      <c r="C116" s="3">
        <v>9616</v>
      </c>
      <c r="D116" s="3">
        <v>1089</v>
      </c>
      <c r="E116" s="3">
        <v>723286</v>
      </c>
      <c r="F116" s="3">
        <f>Table4_1416[[#This Row],[New_Followers]]-Table4_1416[[#This Row],[Unfollows]]</f>
        <v>8527</v>
      </c>
      <c r="G116" s="4">
        <v>1.17892507251627E-2</v>
      </c>
      <c r="H116">
        <v>19.25863351426683</v>
      </c>
      <c r="I116" s="6">
        <v>15017</v>
      </c>
      <c r="K116" s="5">
        <v>45642</v>
      </c>
      <c r="M116" s="3">
        <v>8527</v>
      </c>
      <c r="W116" s="5">
        <v>45642</v>
      </c>
      <c r="Y116" s="3">
        <v>723286</v>
      </c>
    </row>
    <row r="117" spans="1:25" hidden="1" x14ac:dyDescent="0.3">
      <c r="A117" s="5">
        <v>45642</v>
      </c>
      <c r="B117" t="s">
        <v>41</v>
      </c>
      <c r="C117" s="3">
        <v>7272</v>
      </c>
      <c r="D117" s="3">
        <v>997</v>
      </c>
      <c r="E117" s="3">
        <v>729561</v>
      </c>
      <c r="F117" s="3">
        <f>Table4_1416[[#This Row],[New_Followers]]-Table4_1416[[#This Row],[Unfollows]]</f>
        <v>6275</v>
      </c>
      <c r="G117" s="4">
        <v>8.6010628309353201E-3</v>
      </c>
      <c r="H117">
        <v>13.428486445958599</v>
      </c>
      <c r="I117" s="6">
        <v>26370</v>
      </c>
      <c r="K117" s="5">
        <v>45642</v>
      </c>
      <c r="L117" t="s">
        <v>41</v>
      </c>
      <c r="M117" s="3">
        <v>6275</v>
      </c>
      <c r="W117" s="5">
        <v>45642</v>
      </c>
      <c r="Y117" s="3">
        <v>729561</v>
      </c>
    </row>
    <row r="118" spans="1:25" x14ac:dyDescent="0.3">
      <c r="A118" s="5">
        <v>45649</v>
      </c>
      <c r="B118" t="s">
        <v>19</v>
      </c>
      <c r="C118" s="3">
        <v>1571</v>
      </c>
      <c r="D118" s="3">
        <v>204</v>
      </c>
      <c r="E118" s="3">
        <v>730928</v>
      </c>
      <c r="F118" s="3">
        <f>Table4_1416[[#This Row],[New_Followers]]-Table4_1416[[#This Row],[Unfollows]]</f>
        <v>1367</v>
      </c>
      <c r="G118" s="4">
        <v>1.8702252479040301E-3</v>
      </c>
      <c r="H118">
        <v>19.449384891535139</v>
      </c>
      <c r="I118" s="6">
        <v>39252</v>
      </c>
      <c r="K118" s="5">
        <v>45649</v>
      </c>
      <c r="M118" s="3">
        <v>1367</v>
      </c>
      <c r="W118" s="5">
        <v>45649</v>
      </c>
      <c r="Y118" s="3">
        <v>730928</v>
      </c>
    </row>
    <row r="119" spans="1:25" hidden="1" x14ac:dyDescent="0.3">
      <c r="A119" s="5">
        <v>45649</v>
      </c>
      <c r="B119" t="s">
        <v>23</v>
      </c>
      <c r="C119" s="3">
        <v>4631</v>
      </c>
      <c r="D119" s="3">
        <v>317</v>
      </c>
      <c r="E119" s="3">
        <v>735242</v>
      </c>
      <c r="F119" s="3">
        <f>Table4_1416[[#This Row],[New_Followers]]-Table4_1416[[#This Row],[Unfollows]]</f>
        <v>4314</v>
      </c>
      <c r="G119" s="4">
        <v>5.8674558852731496E-3</v>
      </c>
      <c r="H119">
        <v>1.381177897889402</v>
      </c>
      <c r="I119" s="6">
        <v>17999</v>
      </c>
      <c r="K119" s="5">
        <v>45649</v>
      </c>
      <c r="L119" t="s">
        <v>23</v>
      </c>
      <c r="M119" s="3">
        <v>4314</v>
      </c>
      <c r="W119" s="5">
        <v>45649</v>
      </c>
      <c r="Y119" s="3">
        <v>735242</v>
      </c>
    </row>
    <row r="120" spans="1:25" x14ac:dyDescent="0.3">
      <c r="A120" s="5">
        <v>45649</v>
      </c>
      <c r="B120" t="s">
        <v>19</v>
      </c>
      <c r="C120" s="3">
        <v>7172</v>
      </c>
      <c r="D120" s="3">
        <v>998</v>
      </c>
      <c r="E120" s="3">
        <v>741416</v>
      </c>
      <c r="F120" s="3">
        <f>Table4_1416[[#This Row],[New_Followers]]-Table4_1416[[#This Row],[Unfollows]]</f>
        <v>6174</v>
      </c>
      <c r="G120" s="4">
        <v>8.32730882527488E-3</v>
      </c>
      <c r="H120">
        <v>18.0667803230575</v>
      </c>
      <c r="I120" s="6">
        <v>32436</v>
      </c>
      <c r="K120" s="5">
        <v>45649</v>
      </c>
      <c r="M120" s="3">
        <v>6174</v>
      </c>
      <c r="W120" s="5">
        <v>45649</v>
      </c>
      <c r="Y120" s="3">
        <v>741416</v>
      </c>
    </row>
    <row r="121" spans="1:25" hidden="1" x14ac:dyDescent="0.3">
      <c r="A121" s="5">
        <v>45649</v>
      </c>
      <c r="B121" t="s">
        <v>14</v>
      </c>
      <c r="C121" s="3">
        <v>8177</v>
      </c>
      <c r="D121" s="3">
        <v>849</v>
      </c>
      <c r="E121" s="3">
        <v>748744</v>
      </c>
      <c r="F121" s="3">
        <f>Table4_1416[[#This Row],[New_Followers]]-Table4_1416[[#This Row],[Unfollows]]</f>
        <v>7328</v>
      </c>
      <c r="G121" s="4">
        <v>9.78705672432768E-3</v>
      </c>
      <c r="H121">
        <v>10.34986590877523</v>
      </c>
      <c r="I121" s="6">
        <v>52963</v>
      </c>
      <c r="K121" s="5">
        <v>45649</v>
      </c>
      <c r="L121" t="s">
        <v>14</v>
      </c>
      <c r="M121" s="3">
        <v>7328</v>
      </c>
      <c r="W121" s="5">
        <v>45649</v>
      </c>
      <c r="Y121" s="3">
        <v>748744</v>
      </c>
    </row>
    <row r="122" spans="1:25" x14ac:dyDescent="0.3">
      <c r="A122" s="5">
        <v>45656</v>
      </c>
      <c r="B122" t="s">
        <v>19</v>
      </c>
      <c r="C122" s="3">
        <v>9433</v>
      </c>
      <c r="D122" s="3">
        <v>1233</v>
      </c>
      <c r="E122" s="3">
        <v>756944</v>
      </c>
      <c r="F122" s="3">
        <f>Table4_1416[[#This Row],[New_Followers]]-Table4_1416[[#This Row],[Unfollows]]</f>
        <v>8200</v>
      </c>
      <c r="G122" s="4">
        <v>1.08330338836162E-2</v>
      </c>
      <c r="H122">
        <v>11.391727789638329</v>
      </c>
      <c r="I122" s="6">
        <v>12096</v>
      </c>
      <c r="K122" s="5">
        <v>45656</v>
      </c>
      <c r="M122" s="3">
        <v>8200</v>
      </c>
      <c r="W122" s="5">
        <v>45656</v>
      </c>
      <c r="Y122" s="3">
        <v>756944</v>
      </c>
    </row>
    <row r="123" spans="1:25" hidden="1" x14ac:dyDescent="0.3">
      <c r="A123" s="5">
        <v>45656</v>
      </c>
      <c r="B123" t="s">
        <v>23</v>
      </c>
      <c r="C123" s="3">
        <v>4897</v>
      </c>
      <c r="D123" s="3">
        <v>683</v>
      </c>
      <c r="E123" s="3">
        <v>761158</v>
      </c>
      <c r="F123" s="3">
        <f>Table4_1416[[#This Row],[New_Followers]]-Table4_1416[[#This Row],[Unfollows]]</f>
        <v>4214</v>
      </c>
      <c r="G123" s="4">
        <v>5.5363012672795904E-3</v>
      </c>
      <c r="H123">
        <v>15.06231294947961</v>
      </c>
      <c r="I123" s="6">
        <v>58201</v>
      </c>
      <c r="K123" s="5">
        <v>45656</v>
      </c>
      <c r="L123" t="s">
        <v>23</v>
      </c>
      <c r="M123" s="3">
        <v>4214</v>
      </c>
      <c r="W123" s="5">
        <v>45656</v>
      </c>
      <c r="Y123" s="3">
        <v>761158</v>
      </c>
    </row>
    <row r="124" spans="1:25" x14ac:dyDescent="0.3">
      <c r="A124" s="5">
        <v>45656</v>
      </c>
      <c r="B124" t="s">
        <v>19</v>
      </c>
      <c r="C124" s="3">
        <v>9123</v>
      </c>
      <c r="D124" s="3">
        <v>746</v>
      </c>
      <c r="E124" s="3">
        <v>769535</v>
      </c>
      <c r="F124" s="3">
        <f>Table4_1416[[#This Row],[New_Followers]]-Table4_1416[[#This Row],[Unfollows]]</f>
        <v>8377</v>
      </c>
      <c r="G124" s="4">
        <v>1.0885794668208699E-2</v>
      </c>
      <c r="H124">
        <v>6.3086149427901264</v>
      </c>
      <c r="I124" s="6">
        <v>35279</v>
      </c>
      <c r="K124" s="5">
        <v>45656</v>
      </c>
      <c r="M124" s="3">
        <v>8377</v>
      </c>
      <c r="W124" s="5">
        <v>45656</v>
      </c>
      <c r="Y124" s="3">
        <v>769535</v>
      </c>
    </row>
    <row r="125" spans="1:25" hidden="1" x14ac:dyDescent="0.3">
      <c r="A125" s="5">
        <v>45656</v>
      </c>
      <c r="B125" t="s">
        <v>41</v>
      </c>
      <c r="C125" s="3">
        <v>3279</v>
      </c>
      <c r="D125" s="3">
        <v>200</v>
      </c>
      <c r="E125" s="3">
        <v>772614</v>
      </c>
      <c r="F125" s="3">
        <f>Table4_1416[[#This Row],[New_Followers]]-Table4_1416[[#This Row],[Unfollows]]</f>
        <v>3079</v>
      </c>
      <c r="G125" s="4">
        <v>3.9851724146857297E-3</v>
      </c>
      <c r="H125">
        <v>5.0212654702089274</v>
      </c>
      <c r="I125" s="6">
        <v>53363</v>
      </c>
      <c r="K125" s="5">
        <v>45656</v>
      </c>
      <c r="L125" t="s">
        <v>41</v>
      </c>
      <c r="M125" s="3">
        <v>3079</v>
      </c>
      <c r="W125" s="5">
        <v>45656</v>
      </c>
      <c r="Y125" s="3">
        <v>772614</v>
      </c>
    </row>
    <row r="126" spans="1:25" x14ac:dyDescent="0.3">
      <c r="A126" s="5">
        <v>45663</v>
      </c>
      <c r="B126" t="s">
        <v>19</v>
      </c>
      <c r="C126" s="3">
        <v>9980</v>
      </c>
      <c r="D126" s="3">
        <v>726</v>
      </c>
      <c r="E126" s="3">
        <v>781868</v>
      </c>
      <c r="F126" s="3">
        <f>Table4_1416[[#This Row],[New_Followers]]-Table4_1416[[#This Row],[Unfollows]]</f>
        <v>9254</v>
      </c>
      <c r="G126" s="4">
        <v>1.18357574424327E-2</v>
      </c>
      <c r="H126">
        <v>4.0220344099003924</v>
      </c>
      <c r="I126" s="6">
        <v>58709</v>
      </c>
      <c r="K126" s="5">
        <v>45663</v>
      </c>
      <c r="M126" s="3">
        <v>9254</v>
      </c>
      <c r="W126" s="5">
        <v>45663</v>
      </c>
      <c r="Y126" s="3">
        <v>781868</v>
      </c>
    </row>
    <row r="127" spans="1:25" hidden="1" x14ac:dyDescent="0.3">
      <c r="A127" s="5">
        <v>45663</v>
      </c>
      <c r="B127" t="s">
        <v>41</v>
      </c>
      <c r="C127" s="3">
        <v>8451</v>
      </c>
      <c r="D127" s="3">
        <v>783</v>
      </c>
      <c r="E127" s="3">
        <v>789536</v>
      </c>
      <c r="F127" s="3">
        <f>Table4_1416[[#This Row],[New_Followers]]-Table4_1416[[#This Row],[Unfollows]]</f>
        <v>7668</v>
      </c>
      <c r="G127" s="4">
        <v>9.7120333968305408E-3</v>
      </c>
      <c r="H127">
        <v>12.407287318121019</v>
      </c>
      <c r="I127" s="6">
        <v>36201</v>
      </c>
      <c r="K127" s="5">
        <v>45663</v>
      </c>
      <c r="L127" t="s">
        <v>41</v>
      </c>
      <c r="M127" s="3">
        <v>7668</v>
      </c>
      <c r="W127" s="5">
        <v>45663</v>
      </c>
      <c r="Y127" s="3">
        <v>789536</v>
      </c>
    </row>
    <row r="128" spans="1:25" hidden="1" x14ac:dyDescent="0.3">
      <c r="A128" s="5">
        <v>45663</v>
      </c>
      <c r="B128" t="s">
        <v>14</v>
      </c>
      <c r="C128" s="3">
        <v>9906</v>
      </c>
      <c r="D128" s="3">
        <v>1305</v>
      </c>
      <c r="E128" s="3">
        <v>798137</v>
      </c>
      <c r="F128" s="3">
        <f>Table4_1416[[#This Row],[New_Followers]]-Table4_1416[[#This Row],[Unfollows]]</f>
        <v>8601</v>
      </c>
      <c r="G128" s="4">
        <v>1.0776345414383701E-2</v>
      </c>
      <c r="H128">
        <v>9.1811305577864442</v>
      </c>
      <c r="I128" s="6">
        <v>29715</v>
      </c>
      <c r="K128" s="5">
        <v>45663</v>
      </c>
      <c r="L128" t="s">
        <v>14</v>
      </c>
      <c r="M128" s="3">
        <v>8601</v>
      </c>
      <c r="W128" s="5">
        <v>45663</v>
      </c>
      <c r="Y128" s="3">
        <v>798137</v>
      </c>
    </row>
    <row r="129" spans="1:25" hidden="1" x14ac:dyDescent="0.3">
      <c r="A129" s="5">
        <v>45663</v>
      </c>
      <c r="B129" t="s">
        <v>41</v>
      </c>
      <c r="C129" s="3">
        <v>1775</v>
      </c>
      <c r="D129" s="3">
        <v>241</v>
      </c>
      <c r="E129" s="3">
        <v>799671</v>
      </c>
      <c r="F129" s="3">
        <f>Table4_1416[[#This Row],[New_Followers]]-Table4_1416[[#This Row],[Unfollows]]</f>
        <v>1534</v>
      </c>
      <c r="G129" s="4">
        <v>1.91828889630861E-3</v>
      </c>
      <c r="H129">
        <v>8.1379717408784362</v>
      </c>
      <c r="I129" s="6">
        <v>39309</v>
      </c>
      <c r="K129" s="5">
        <v>45663</v>
      </c>
      <c r="L129" t="s">
        <v>41</v>
      </c>
      <c r="M129" s="3">
        <v>1534</v>
      </c>
      <c r="W129" s="5">
        <v>45663</v>
      </c>
      <c r="Y129" s="3">
        <v>799671</v>
      </c>
    </row>
    <row r="130" spans="1:25" x14ac:dyDescent="0.3">
      <c r="A130" s="5">
        <v>45670</v>
      </c>
      <c r="B130" t="s">
        <v>19</v>
      </c>
      <c r="C130" s="3">
        <v>7869</v>
      </c>
      <c r="D130" s="3">
        <v>398</v>
      </c>
      <c r="E130" s="3">
        <v>807142</v>
      </c>
      <c r="F130" s="3">
        <f>Table4_1416[[#This Row],[New_Followers]]-Table4_1416[[#This Row],[Unfollows]]</f>
        <v>7471</v>
      </c>
      <c r="G130" s="4">
        <v>9.2561160241940096E-3</v>
      </c>
      <c r="H130">
        <v>15.211945357818079</v>
      </c>
      <c r="I130" s="6">
        <v>25078</v>
      </c>
      <c r="K130" s="5">
        <v>45670</v>
      </c>
      <c r="M130" s="3">
        <v>7471</v>
      </c>
      <c r="W130" s="5">
        <v>45670</v>
      </c>
      <c r="Y130" s="3">
        <v>807142</v>
      </c>
    </row>
    <row r="131" spans="1:25" hidden="1" x14ac:dyDescent="0.3">
      <c r="A131" s="5">
        <v>45670</v>
      </c>
      <c r="B131" t="s">
        <v>23</v>
      </c>
      <c r="C131" s="3">
        <v>3247</v>
      </c>
      <c r="D131" s="3">
        <v>328</v>
      </c>
      <c r="E131" s="3">
        <v>810061</v>
      </c>
      <c r="F131" s="3">
        <f>Table4_1416[[#This Row],[New_Followers]]-Table4_1416[[#This Row],[Unfollows]]</f>
        <v>2919</v>
      </c>
      <c r="G131" s="4">
        <v>3.6034323341081701E-3</v>
      </c>
      <c r="H131">
        <v>13.941172331466399</v>
      </c>
      <c r="I131" s="6">
        <v>15105</v>
      </c>
      <c r="K131" s="5">
        <v>45670</v>
      </c>
      <c r="L131" t="s">
        <v>23</v>
      </c>
      <c r="M131" s="3">
        <v>2919</v>
      </c>
      <c r="W131" s="5">
        <v>45670</v>
      </c>
      <c r="Y131" s="3">
        <v>810061</v>
      </c>
    </row>
    <row r="132" spans="1:25" hidden="1" x14ac:dyDescent="0.3">
      <c r="A132" s="5">
        <v>45670</v>
      </c>
      <c r="B132" t="s">
        <v>41</v>
      </c>
      <c r="C132" s="3">
        <v>8088</v>
      </c>
      <c r="D132" s="3">
        <v>742</v>
      </c>
      <c r="E132" s="3">
        <v>817407</v>
      </c>
      <c r="F132" s="3">
        <f>Table4_1416[[#This Row],[New_Followers]]-Table4_1416[[#This Row],[Unfollows]]</f>
        <v>7346</v>
      </c>
      <c r="G132" s="4">
        <v>8.9869550909155403E-3</v>
      </c>
      <c r="H132">
        <v>14.664542877660701</v>
      </c>
      <c r="I132" s="6">
        <v>39312</v>
      </c>
      <c r="K132" s="5">
        <v>45670</v>
      </c>
      <c r="L132" t="s">
        <v>41</v>
      </c>
      <c r="M132" s="3">
        <v>7346</v>
      </c>
      <c r="W132" s="5">
        <v>45670</v>
      </c>
      <c r="Y132" s="3">
        <v>817407</v>
      </c>
    </row>
    <row r="133" spans="1:25" hidden="1" x14ac:dyDescent="0.3">
      <c r="A133" s="5">
        <v>45670</v>
      </c>
      <c r="B133" t="s">
        <v>14</v>
      </c>
      <c r="C133" s="3">
        <v>1078</v>
      </c>
      <c r="D133" s="3">
        <v>77</v>
      </c>
      <c r="E133" s="3">
        <v>818408</v>
      </c>
      <c r="F133" s="3">
        <f>Table4_1416[[#This Row],[New_Followers]]-Table4_1416[[#This Row],[Unfollows]]</f>
        <v>1001</v>
      </c>
      <c r="G133" s="4">
        <v>1.22310632349635E-3</v>
      </c>
      <c r="H133">
        <v>18.236747441373989</v>
      </c>
      <c r="I133" s="6">
        <v>12839</v>
      </c>
      <c r="K133" s="5">
        <v>45670</v>
      </c>
      <c r="L133" t="s">
        <v>14</v>
      </c>
      <c r="M133" s="3">
        <v>1001</v>
      </c>
      <c r="W133" s="5">
        <v>45670</v>
      </c>
      <c r="Y133" s="3">
        <v>818408</v>
      </c>
    </row>
    <row r="134" spans="1:25" hidden="1" x14ac:dyDescent="0.3">
      <c r="A134" s="5">
        <v>45677</v>
      </c>
      <c r="B134" t="s">
        <v>41</v>
      </c>
      <c r="C134" s="3">
        <v>9080</v>
      </c>
      <c r="D134" s="3">
        <v>562</v>
      </c>
      <c r="E134" s="3">
        <v>826926</v>
      </c>
      <c r="F134" s="3">
        <f>Table4_1416[[#This Row],[New_Followers]]-Table4_1416[[#This Row],[Unfollows]]</f>
        <v>8518</v>
      </c>
      <c r="G134" s="4">
        <v>1.03008007971693E-2</v>
      </c>
      <c r="H134">
        <v>7.1083748727213809</v>
      </c>
      <c r="I134" s="6">
        <v>13384</v>
      </c>
      <c r="K134" s="5">
        <v>45677</v>
      </c>
      <c r="L134" t="s">
        <v>41</v>
      </c>
      <c r="M134" s="3">
        <v>8518</v>
      </c>
      <c r="W134" s="5">
        <v>45677</v>
      </c>
      <c r="Y134" s="3">
        <v>826926</v>
      </c>
    </row>
    <row r="135" spans="1:25" hidden="1" x14ac:dyDescent="0.3">
      <c r="A135" s="5">
        <v>45677</v>
      </c>
      <c r="B135" t="s">
        <v>41</v>
      </c>
      <c r="C135" s="3">
        <v>8099</v>
      </c>
      <c r="D135" s="3">
        <v>678</v>
      </c>
      <c r="E135" s="3">
        <v>834347</v>
      </c>
      <c r="F135" s="3">
        <f>Table4_1416[[#This Row],[New_Followers]]-Table4_1416[[#This Row],[Unfollows]]</f>
        <v>7421</v>
      </c>
      <c r="G135" s="4">
        <v>8.8943808751035195E-3</v>
      </c>
      <c r="H135">
        <v>7.6464588474579518</v>
      </c>
      <c r="I135" s="6">
        <v>53619</v>
      </c>
      <c r="K135" s="5">
        <v>45677</v>
      </c>
      <c r="L135" t="s">
        <v>41</v>
      </c>
      <c r="M135" s="3">
        <v>7421</v>
      </c>
      <c r="W135" s="5">
        <v>45677</v>
      </c>
      <c r="Y135" s="3">
        <v>834347</v>
      </c>
    </row>
    <row r="136" spans="1:25" hidden="1" x14ac:dyDescent="0.3">
      <c r="A136" s="5">
        <v>45677</v>
      </c>
      <c r="B136" t="s">
        <v>41</v>
      </c>
      <c r="C136" s="3">
        <v>4926</v>
      </c>
      <c r="D136" s="3">
        <v>710</v>
      </c>
      <c r="E136" s="3">
        <v>838563</v>
      </c>
      <c r="F136" s="3">
        <f>Table4_1416[[#This Row],[New_Followers]]-Table4_1416[[#This Row],[Unfollows]]</f>
        <v>4216</v>
      </c>
      <c r="G136" s="4">
        <v>5.0276484891415398E-3</v>
      </c>
      <c r="H136">
        <v>12.96217457722318</v>
      </c>
      <c r="I136" s="6">
        <v>52821</v>
      </c>
      <c r="K136" s="5">
        <v>45677</v>
      </c>
      <c r="L136" t="s">
        <v>41</v>
      </c>
      <c r="M136" s="3">
        <v>4216</v>
      </c>
      <c r="W136" s="5">
        <v>45677</v>
      </c>
      <c r="Y136" s="3">
        <v>838563</v>
      </c>
    </row>
    <row r="137" spans="1:25" hidden="1" x14ac:dyDescent="0.3">
      <c r="A137" s="5">
        <v>45677</v>
      </c>
      <c r="B137" t="s">
        <v>14</v>
      </c>
      <c r="C137" s="3">
        <v>8340</v>
      </c>
      <c r="D137" s="3">
        <v>686</v>
      </c>
      <c r="E137" s="3">
        <v>846217</v>
      </c>
      <c r="F137" s="3">
        <f>Table4_1416[[#This Row],[New_Followers]]-Table4_1416[[#This Row],[Unfollows]]</f>
        <v>7654</v>
      </c>
      <c r="G137" s="4">
        <v>9.04496128061715E-3</v>
      </c>
      <c r="H137">
        <v>7.201344336027284</v>
      </c>
      <c r="I137" s="6">
        <v>23493</v>
      </c>
      <c r="K137" s="5">
        <v>45677</v>
      </c>
      <c r="L137" t="s">
        <v>14</v>
      </c>
      <c r="M137" s="3">
        <v>7654</v>
      </c>
      <c r="W137" s="5">
        <v>45677</v>
      </c>
      <c r="Y137" s="3">
        <v>846217</v>
      </c>
    </row>
    <row r="138" spans="1:25" x14ac:dyDescent="0.3">
      <c r="A138" s="5">
        <v>45684</v>
      </c>
      <c r="B138" t="s">
        <v>19</v>
      </c>
      <c r="C138" s="3">
        <v>8083</v>
      </c>
      <c r="D138" s="3">
        <v>823</v>
      </c>
      <c r="E138" s="3">
        <v>853477</v>
      </c>
      <c r="F138" s="3">
        <f>Table4_1416[[#This Row],[New_Followers]]-Table4_1416[[#This Row],[Unfollows]]</f>
        <v>7260</v>
      </c>
      <c r="G138" s="4">
        <v>8.5063803711172108E-3</v>
      </c>
      <c r="H138">
        <v>4.6300017457998282</v>
      </c>
      <c r="I138" s="6">
        <v>27069</v>
      </c>
      <c r="K138" s="5">
        <v>45684</v>
      </c>
      <c r="M138" s="3">
        <v>7260</v>
      </c>
      <c r="W138" s="5">
        <v>45684</v>
      </c>
      <c r="Y138" s="3">
        <v>853477</v>
      </c>
    </row>
    <row r="139" spans="1:25" hidden="1" x14ac:dyDescent="0.3">
      <c r="A139" s="5">
        <v>45684</v>
      </c>
      <c r="B139" t="s">
        <v>41</v>
      </c>
      <c r="C139" s="3">
        <v>7230</v>
      </c>
      <c r="D139" s="3">
        <v>869</v>
      </c>
      <c r="E139" s="3">
        <v>859838</v>
      </c>
      <c r="F139" s="3">
        <f>Table4_1416[[#This Row],[New_Followers]]-Table4_1416[[#This Row],[Unfollows]]</f>
        <v>6361</v>
      </c>
      <c r="G139" s="4">
        <v>7.397905186791E-3</v>
      </c>
      <c r="H139">
        <v>7.0117859410726204</v>
      </c>
      <c r="I139" s="6">
        <v>56907</v>
      </c>
      <c r="K139" s="5">
        <v>45684</v>
      </c>
      <c r="L139" t="s">
        <v>41</v>
      </c>
      <c r="M139" s="3">
        <v>6361</v>
      </c>
      <c r="W139" s="5">
        <v>45684</v>
      </c>
      <c r="Y139" s="3">
        <v>859838</v>
      </c>
    </row>
    <row r="140" spans="1:25" hidden="1" x14ac:dyDescent="0.3">
      <c r="A140" s="5">
        <v>45684</v>
      </c>
      <c r="B140" t="s">
        <v>41</v>
      </c>
      <c r="C140" s="3">
        <v>5940</v>
      </c>
      <c r="D140" s="3">
        <v>512</v>
      </c>
      <c r="E140" s="3">
        <v>865266</v>
      </c>
      <c r="F140" s="3">
        <f>Table4_1416[[#This Row],[New_Followers]]-Table4_1416[[#This Row],[Unfollows]]</f>
        <v>5428</v>
      </c>
      <c r="G140" s="4">
        <v>6.2732154042802997E-3</v>
      </c>
      <c r="H140">
        <v>15.7972230504839</v>
      </c>
      <c r="I140" s="6">
        <v>17531</v>
      </c>
      <c r="K140" s="5">
        <v>45684</v>
      </c>
      <c r="L140" t="s">
        <v>41</v>
      </c>
      <c r="M140" s="3">
        <v>5428</v>
      </c>
      <c r="W140" s="5">
        <v>45684</v>
      </c>
      <c r="Y140" s="3">
        <v>865266</v>
      </c>
    </row>
    <row r="141" spans="1:25" hidden="1" x14ac:dyDescent="0.3">
      <c r="A141" s="5">
        <v>45684</v>
      </c>
      <c r="B141" t="s">
        <v>23</v>
      </c>
      <c r="C141" s="3">
        <v>4271</v>
      </c>
      <c r="D141" s="3">
        <v>628</v>
      </c>
      <c r="E141" s="3">
        <v>868909</v>
      </c>
      <c r="F141" s="3">
        <f>Table4_1416[[#This Row],[New_Followers]]-Table4_1416[[#This Row],[Unfollows]]</f>
        <v>3643</v>
      </c>
      <c r="G141" s="4">
        <v>4.1926139561219902E-3</v>
      </c>
      <c r="H141">
        <v>11.124410036033691</v>
      </c>
      <c r="I141" s="6">
        <v>47051</v>
      </c>
      <c r="K141" s="5">
        <v>45684</v>
      </c>
      <c r="L141" t="s">
        <v>23</v>
      </c>
      <c r="M141" s="3">
        <v>3643</v>
      </c>
      <c r="W141" s="5">
        <v>45684</v>
      </c>
      <c r="Y141" s="3">
        <v>868909</v>
      </c>
    </row>
    <row r="142" spans="1:25" hidden="1" x14ac:dyDescent="0.3">
      <c r="A142" s="5">
        <v>45691</v>
      </c>
      <c r="B142" t="s">
        <v>14</v>
      </c>
      <c r="C142" s="3">
        <v>4456</v>
      </c>
      <c r="D142" s="3">
        <v>651</v>
      </c>
      <c r="E142" s="3">
        <v>872714</v>
      </c>
      <c r="F142" s="3">
        <f>Table4_1416[[#This Row],[New_Followers]]-Table4_1416[[#This Row],[Unfollows]]</f>
        <v>3805</v>
      </c>
      <c r="G142" s="4">
        <v>4.3599621410908996E-3</v>
      </c>
      <c r="H142">
        <v>9.5052903929580594</v>
      </c>
      <c r="I142" s="6">
        <v>17736</v>
      </c>
      <c r="K142" s="5">
        <v>45691</v>
      </c>
      <c r="L142" t="s">
        <v>14</v>
      </c>
      <c r="M142" s="3">
        <v>3805</v>
      </c>
      <c r="W142" s="5">
        <v>45691</v>
      </c>
      <c r="Y142" s="3">
        <v>872714</v>
      </c>
    </row>
    <row r="143" spans="1:25" hidden="1" x14ac:dyDescent="0.3">
      <c r="A143" s="5">
        <v>45691</v>
      </c>
      <c r="B143" t="s">
        <v>41</v>
      </c>
      <c r="C143" s="3">
        <v>8788</v>
      </c>
      <c r="D143" s="3">
        <v>660</v>
      </c>
      <c r="E143" s="3">
        <v>880842</v>
      </c>
      <c r="F143" s="3">
        <f>Table4_1416[[#This Row],[New_Followers]]-Table4_1416[[#This Row],[Unfollows]]</f>
        <v>8128</v>
      </c>
      <c r="G143" s="4">
        <v>9.2275345635198999E-3</v>
      </c>
      <c r="H143">
        <v>3.7175793161543158</v>
      </c>
      <c r="I143" s="6">
        <v>17710</v>
      </c>
      <c r="K143" s="5">
        <v>45691</v>
      </c>
      <c r="L143" t="s">
        <v>41</v>
      </c>
      <c r="M143" s="3">
        <v>8128</v>
      </c>
      <c r="W143" s="5">
        <v>45691</v>
      </c>
      <c r="Y143" s="3">
        <v>880842</v>
      </c>
    </row>
    <row r="144" spans="1:25" hidden="1" x14ac:dyDescent="0.3">
      <c r="A144" s="5">
        <v>45691</v>
      </c>
      <c r="B144" t="s">
        <v>14</v>
      </c>
      <c r="C144" s="3">
        <v>9599</v>
      </c>
      <c r="D144" s="3">
        <v>957</v>
      </c>
      <c r="E144" s="3">
        <v>889484</v>
      </c>
      <c r="F144" s="3">
        <f>Table4_1416[[#This Row],[New_Followers]]-Table4_1416[[#This Row],[Unfollows]]</f>
        <v>8642</v>
      </c>
      <c r="G144" s="4">
        <v>9.7157453085159502E-3</v>
      </c>
      <c r="H144">
        <v>8.768004820772493</v>
      </c>
      <c r="I144" s="6">
        <v>11619</v>
      </c>
      <c r="K144" s="5">
        <v>45691</v>
      </c>
      <c r="L144" t="s">
        <v>14</v>
      </c>
      <c r="M144" s="3">
        <v>8642</v>
      </c>
      <c r="W144" s="5">
        <v>45691</v>
      </c>
      <c r="Y144" s="3">
        <v>889484</v>
      </c>
    </row>
    <row r="145" spans="1:25" hidden="1" x14ac:dyDescent="0.3">
      <c r="A145" s="5">
        <v>45691</v>
      </c>
      <c r="B145" t="s">
        <v>41</v>
      </c>
      <c r="C145" s="3">
        <v>8650</v>
      </c>
      <c r="D145" s="3">
        <v>692</v>
      </c>
      <c r="E145" s="3">
        <v>897442</v>
      </c>
      <c r="F145" s="3">
        <f>Table4_1416[[#This Row],[New_Followers]]-Table4_1416[[#This Row],[Unfollows]]</f>
        <v>7958</v>
      </c>
      <c r="G145" s="4">
        <v>8.8674254157928897E-3</v>
      </c>
      <c r="H145">
        <v>7.6673478620345374</v>
      </c>
      <c r="I145" s="6">
        <v>23975</v>
      </c>
      <c r="K145" s="5">
        <v>45691</v>
      </c>
      <c r="L145" t="s">
        <v>41</v>
      </c>
      <c r="M145" s="3">
        <v>7958</v>
      </c>
      <c r="W145" s="5">
        <v>45691</v>
      </c>
      <c r="Y145" s="3">
        <v>897442</v>
      </c>
    </row>
    <row r="146" spans="1:25" x14ac:dyDescent="0.3">
      <c r="A146" s="5">
        <v>45698</v>
      </c>
      <c r="B146" t="s">
        <v>19</v>
      </c>
      <c r="C146" s="3">
        <v>3711</v>
      </c>
      <c r="D146" s="3">
        <v>291</v>
      </c>
      <c r="E146" s="3">
        <v>900862</v>
      </c>
      <c r="F146" s="3">
        <f>Table4_1416[[#This Row],[New_Followers]]-Table4_1416[[#This Row],[Unfollows]]</f>
        <v>3420</v>
      </c>
      <c r="G146" s="4">
        <v>3.7963639269943698E-3</v>
      </c>
      <c r="H146">
        <v>14.24879726306582</v>
      </c>
      <c r="I146" s="6">
        <v>55603</v>
      </c>
      <c r="K146" s="5">
        <v>45698</v>
      </c>
      <c r="M146" s="3">
        <v>3420</v>
      </c>
      <c r="W146" s="5">
        <v>45698</v>
      </c>
      <c r="Y146" s="3">
        <v>900862</v>
      </c>
    </row>
    <row r="147" spans="1:25" x14ac:dyDescent="0.3">
      <c r="A147" s="5">
        <v>45698</v>
      </c>
      <c r="B147" t="s">
        <v>19</v>
      </c>
      <c r="C147" s="3">
        <v>2668</v>
      </c>
      <c r="D147" s="3">
        <v>143</v>
      </c>
      <c r="E147" s="3">
        <v>903387</v>
      </c>
      <c r="F147" s="3">
        <f>Table4_1416[[#This Row],[New_Followers]]-Table4_1416[[#This Row],[Unfollows]]</f>
        <v>2525</v>
      </c>
      <c r="G147" s="4">
        <v>2.79503690002181E-3</v>
      </c>
      <c r="H147">
        <v>15.903372530266649</v>
      </c>
      <c r="I147" s="6">
        <v>33252</v>
      </c>
      <c r="K147" s="5">
        <v>45698</v>
      </c>
      <c r="M147" s="3">
        <v>2525</v>
      </c>
      <c r="W147" s="5">
        <v>45698</v>
      </c>
      <c r="Y147" s="3">
        <v>903387</v>
      </c>
    </row>
    <row r="148" spans="1:25" hidden="1" x14ac:dyDescent="0.3">
      <c r="A148" s="5">
        <v>45698</v>
      </c>
      <c r="B148" t="s">
        <v>41</v>
      </c>
      <c r="C148" s="3">
        <v>1147</v>
      </c>
      <c r="D148" s="3">
        <v>127</v>
      </c>
      <c r="E148" s="3">
        <v>904407</v>
      </c>
      <c r="F148" s="3">
        <f>Table4_1416[[#This Row],[New_Followers]]-Table4_1416[[#This Row],[Unfollows]]</f>
        <v>1020</v>
      </c>
      <c r="G148" s="4">
        <v>1.12781081968627E-3</v>
      </c>
      <c r="H148">
        <v>1.3997016829812241</v>
      </c>
      <c r="I148" s="6">
        <v>25261</v>
      </c>
      <c r="K148" s="5">
        <v>45698</v>
      </c>
      <c r="L148" t="s">
        <v>41</v>
      </c>
      <c r="M148" s="3">
        <v>1020</v>
      </c>
      <c r="W148" s="5">
        <v>45698</v>
      </c>
      <c r="Y148" s="3">
        <v>904407</v>
      </c>
    </row>
    <row r="149" spans="1:25" x14ac:dyDescent="0.3">
      <c r="A149" s="5">
        <v>45698</v>
      </c>
      <c r="B149" t="s">
        <v>19</v>
      </c>
      <c r="C149" s="3">
        <v>7420</v>
      </c>
      <c r="D149" s="3">
        <v>743</v>
      </c>
      <c r="E149" s="3">
        <v>911084</v>
      </c>
      <c r="F149" s="3">
        <f>Table4_1416[[#This Row],[New_Followers]]-Table4_1416[[#This Row],[Unfollows]]</f>
        <v>6677</v>
      </c>
      <c r="G149" s="4">
        <v>7.3286327056561202E-3</v>
      </c>
      <c r="H149">
        <v>10.593534734448189</v>
      </c>
      <c r="I149" s="6">
        <v>11431</v>
      </c>
      <c r="K149" s="5">
        <v>45698</v>
      </c>
      <c r="M149" s="3">
        <v>6677</v>
      </c>
      <c r="W149" s="5">
        <v>45698</v>
      </c>
      <c r="Y149" s="3">
        <v>911084</v>
      </c>
    </row>
    <row r="150" spans="1:25" hidden="1" x14ac:dyDescent="0.3">
      <c r="A150" s="5">
        <v>45705</v>
      </c>
      <c r="B150" t="s">
        <v>41</v>
      </c>
      <c r="C150" s="3">
        <v>1365</v>
      </c>
      <c r="D150" s="3">
        <v>75</v>
      </c>
      <c r="E150" s="3">
        <v>912374</v>
      </c>
      <c r="F150" s="3">
        <f>Table4_1416[[#This Row],[New_Followers]]-Table4_1416[[#This Row],[Unfollows]]</f>
        <v>1290</v>
      </c>
      <c r="G150" s="4">
        <v>1.4138938637006299E-3</v>
      </c>
      <c r="H150">
        <v>9.2688963078737441</v>
      </c>
      <c r="I150" s="6">
        <v>19067</v>
      </c>
      <c r="K150" s="5">
        <v>45705</v>
      </c>
      <c r="L150" t="s">
        <v>41</v>
      </c>
      <c r="M150" s="3">
        <v>1290</v>
      </c>
      <c r="W150" s="5">
        <v>45705</v>
      </c>
      <c r="Y150" s="3">
        <v>912374</v>
      </c>
    </row>
    <row r="151" spans="1:25" x14ac:dyDescent="0.3">
      <c r="A151" s="5">
        <v>45705</v>
      </c>
      <c r="B151" t="s">
        <v>19</v>
      </c>
      <c r="C151" s="3">
        <v>5531</v>
      </c>
      <c r="D151" s="3">
        <v>430</v>
      </c>
      <c r="E151" s="3">
        <v>917475</v>
      </c>
      <c r="F151" s="3">
        <f>Table4_1416[[#This Row],[New_Followers]]-Table4_1416[[#This Row],[Unfollows]]</f>
        <v>5101</v>
      </c>
      <c r="G151" s="4">
        <v>5.5598245183792498E-3</v>
      </c>
      <c r="H151">
        <v>2.7289026948963189</v>
      </c>
      <c r="I151" s="6">
        <v>47481</v>
      </c>
      <c r="K151" s="5">
        <v>45705</v>
      </c>
      <c r="M151" s="3">
        <v>5101</v>
      </c>
      <c r="W151" s="5">
        <v>45705</v>
      </c>
      <c r="Y151" s="3">
        <v>917475</v>
      </c>
    </row>
    <row r="152" spans="1:25" hidden="1" x14ac:dyDescent="0.3">
      <c r="A152" s="5">
        <v>45705</v>
      </c>
      <c r="B152" t="s">
        <v>23</v>
      </c>
      <c r="C152" s="3">
        <v>6330</v>
      </c>
      <c r="D152" s="3">
        <v>891</v>
      </c>
      <c r="E152" s="3">
        <v>922914</v>
      </c>
      <c r="F152" s="3">
        <f>Table4_1416[[#This Row],[New_Followers]]-Table4_1416[[#This Row],[Unfollows]]</f>
        <v>5439</v>
      </c>
      <c r="G152" s="4">
        <v>5.8932901657142503E-3</v>
      </c>
      <c r="H152">
        <v>14.789893749580139</v>
      </c>
      <c r="I152" s="6">
        <v>37037</v>
      </c>
      <c r="K152" s="5">
        <v>45705</v>
      </c>
      <c r="L152" t="s">
        <v>23</v>
      </c>
      <c r="M152" s="3">
        <v>5439</v>
      </c>
      <c r="W152" s="5">
        <v>45705</v>
      </c>
      <c r="Y152" s="3">
        <v>922914</v>
      </c>
    </row>
    <row r="153" spans="1:25" hidden="1" x14ac:dyDescent="0.3">
      <c r="A153" s="5">
        <v>45705</v>
      </c>
      <c r="B153" t="s">
        <v>23</v>
      </c>
      <c r="C153" s="3">
        <v>6510</v>
      </c>
      <c r="D153" s="3">
        <v>481</v>
      </c>
      <c r="E153" s="3">
        <v>928943</v>
      </c>
      <c r="F153" s="3">
        <f>Table4_1416[[#This Row],[New_Followers]]-Table4_1416[[#This Row],[Unfollows]]</f>
        <v>6029</v>
      </c>
      <c r="G153" s="4">
        <v>6.4901721634158397E-3</v>
      </c>
      <c r="H153">
        <v>2.3800168578696428</v>
      </c>
      <c r="I153" s="6">
        <v>19557</v>
      </c>
      <c r="K153" s="5">
        <v>45705</v>
      </c>
      <c r="L153" t="s">
        <v>23</v>
      </c>
      <c r="M153" s="3">
        <v>6029</v>
      </c>
      <c r="W153" s="5">
        <v>45705</v>
      </c>
      <c r="Y153" s="3">
        <v>928943</v>
      </c>
    </row>
    <row r="154" spans="1:25" hidden="1" x14ac:dyDescent="0.3">
      <c r="A154" s="5">
        <v>45712</v>
      </c>
      <c r="B154" t="s">
        <v>23</v>
      </c>
      <c r="C154" s="3">
        <v>9754</v>
      </c>
      <c r="D154" s="3">
        <v>629</v>
      </c>
      <c r="E154" s="3">
        <v>938068</v>
      </c>
      <c r="F154" s="3">
        <f>Table4_1416[[#This Row],[New_Followers]]-Table4_1416[[#This Row],[Unfollows]]</f>
        <v>9125</v>
      </c>
      <c r="G154" s="4">
        <v>9.7274398018054094E-3</v>
      </c>
      <c r="H154">
        <v>3.4123325814333292</v>
      </c>
      <c r="I154" s="6">
        <v>19435</v>
      </c>
      <c r="K154" s="5">
        <v>45712</v>
      </c>
      <c r="L154" t="s">
        <v>23</v>
      </c>
      <c r="M154" s="3">
        <v>9125</v>
      </c>
      <c r="W154" s="5">
        <v>45712</v>
      </c>
      <c r="Y154" s="3">
        <v>938068</v>
      </c>
    </row>
    <row r="155" spans="1:25" hidden="1" x14ac:dyDescent="0.3">
      <c r="A155" s="5">
        <v>45712</v>
      </c>
      <c r="B155" t="s">
        <v>14</v>
      </c>
      <c r="C155" s="3">
        <v>9964</v>
      </c>
      <c r="D155" s="3">
        <v>985</v>
      </c>
      <c r="E155" s="3">
        <v>947047</v>
      </c>
      <c r="F155" s="3">
        <f>Table4_1416[[#This Row],[New_Followers]]-Table4_1416[[#This Row],[Unfollows]]</f>
        <v>8979</v>
      </c>
      <c r="G155" s="4">
        <v>9.4810500429228992E-3</v>
      </c>
      <c r="H155">
        <v>1.9837452629066989</v>
      </c>
      <c r="I155" s="6">
        <v>47766</v>
      </c>
      <c r="K155" s="5">
        <v>45712</v>
      </c>
      <c r="L155" t="s">
        <v>14</v>
      </c>
      <c r="M155" s="3">
        <v>8979</v>
      </c>
      <c r="W155" s="5">
        <v>45712</v>
      </c>
      <c r="Y155" s="3">
        <v>947047</v>
      </c>
    </row>
    <row r="156" spans="1:25" hidden="1" x14ac:dyDescent="0.3">
      <c r="A156" s="5">
        <v>45712</v>
      </c>
      <c r="B156" t="s">
        <v>14</v>
      </c>
      <c r="C156" s="3">
        <v>7493</v>
      </c>
      <c r="D156" s="3">
        <v>1113</v>
      </c>
      <c r="E156" s="3">
        <v>953427</v>
      </c>
      <c r="F156" s="3">
        <f>Table4_1416[[#This Row],[New_Followers]]-Table4_1416[[#This Row],[Unfollows]]</f>
        <v>6380</v>
      </c>
      <c r="G156" s="4">
        <v>6.6916502259743004E-3</v>
      </c>
      <c r="H156">
        <v>15.684892498324469</v>
      </c>
      <c r="I156" s="6">
        <v>10162</v>
      </c>
      <c r="K156" s="5">
        <v>45712</v>
      </c>
      <c r="L156" t="s">
        <v>14</v>
      </c>
      <c r="M156" s="3">
        <v>6380</v>
      </c>
      <c r="W156" s="5">
        <v>45712</v>
      </c>
      <c r="Y156" s="3">
        <v>953427</v>
      </c>
    </row>
    <row r="157" spans="1:25" hidden="1" x14ac:dyDescent="0.3">
      <c r="A157" s="5">
        <v>45712</v>
      </c>
      <c r="B157" t="s">
        <v>23</v>
      </c>
      <c r="C157" s="3">
        <v>6439</v>
      </c>
      <c r="D157" s="3">
        <v>477</v>
      </c>
      <c r="E157" s="3">
        <v>959389</v>
      </c>
      <c r="F157" s="3">
        <f>Table4_1416[[#This Row],[New_Followers]]-Table4_1416[[#This Row],[Unfollows]]</f>
        <v>5962</v>
      </c>
      <c r="G157" s="4">
        <v>6.2143718554204799E-3</v>
      </c>
      <c r="H157">
        <v>7.4744446725989153</v>
      </c>
      <c r="I157" s="6">
        <v>44742</v>
      </c>
      <c r="K157" s="5">
        <v>45712</v>
      </c>
      <c r="L157" t="s">
        <v>23</v>
      </c>
      <c r="M157" s="3">
        <v>5962</v>
      </c>
      <c r="W157" s="5">
        <v>45712</v>
      </c>
      <c r="Y157" s="3">
        <v>959389</v>
      </c>
    </row>
    <row r="158" spans="1:25" hidden="1" x14ac:dyDescent="0.3">
      <c r="A158" s="5">
        <v>45719</v>
      </c>
      <c r="B158" t="s">
        <v>14</v>
      </c>
      <c r="C158" s="3">
        <v>7511</v>
      </c>
      <c r="D158" s="3">
        <v>880</v>
      </c>
      <c r="E158" s="3">
        <v>966020</v>
      </c>
      <c r="F158" s="3">
        <f>Table4_1416[[#This Row],[New_Followers]]-Table4_1416[[#This Row],[Unfollows]]</f>
        <v>6631</v>
      </c>
      <c r="G158" s="4">
        <v>6.8642471170369196E-3</v>
      </c>
      <c r="H158">
        <v>4.6083932009689246</v>
      </c>
      <c r="I158" s="6">
        <v>29675</v>
      </c>
      <c r="K158" s="5">
        <v>45719</v>
      </c>
      <c r="L158" t="s">
        <v>14</v>
      </c>
      <c r="M158" s="3">
        <v>6631</v>
      </c>
      <c r="W158" s="5">
        <v>45719</v>
      </c>
      <c r="Y158" s="3">
        <v>966020</v>
      </c>
    </row>
    <row r="159" spans="1:25" x14ac:dyDescent="0.3">
      <c r="A159" s="5">
        <v>45719</v>
      </c>
      <c r="B159" t="s">
        <v>19</v>
      </c>
      <c r="C159" s="3">
        <v>8504</v>
      </c>
      <c r="D159" s="3">
        <v>1072</v>
      </c>
      <c r="E159" s="3">
        <v>973452</v>
      </c>
      <c r="F159" s="3">
        <f>Table4_1416[[#This Row],[New_Followers]]-Table4_1416[[#This Row],[Unfollows]]</f>
        <v>7432</v>
      </c>
      <c r="G159" s="4">
        <v>7.6346856342172E-3</v>
      </c>
      <c r="H159">
        <v>6.5651927367759271</v>
      </c>
      <c r="I159" s="6">
        <v>18461</v>
      </c>
      <c r="K159" s="5">
        <v>45719</v>
      </c>
      <c r="M159" s="3">
        <v>7432</v>
      </c>
      <c r="W159" s="5">
        <v>45719</v>
      </c>
      <c r="Y159" s="3">
        <v>973452</v>
      </c>
    </row>
    <row r="160" spans="1:25" hidden="1" x14ac:dyDescent="0.3">
      <c r="A160" s="5">
        <v>45719</v>
      </c>
      <c r="B160" t="s">
        <v>41</v>
      </c>
      <c r="C160" s="3">
        <v>2246</v>
      </c>
      <c r="D160" s="3">
        <v>165</v>
      </c>
      <c r="E160" s="3">
        <v>975533</v>
      </c>
      <c r="F160" s="3">
        <f>Table4_1416[[#This Row],[New_Followers]]-Table4_1416[[#This Row],[Unfollows]]</f>
        <v>2081</v>
      </c>
      <c r="G160" s="4">
        <v>2.1331928289458199E-3</v>
      </c>
      <c r="H160">
        <v>2.9062061457685191</v>
      </c>
      <c r="I160" s="6">
        <v>27015</v>
      </c>
      <c r="K160" s="5">
        <v>45719</v>
      </c>
      <c r="L160" t="s">
        <v>41</v>
      </c>
      <c r="M160" s="3">
        <v>2081</v>
      </c>
      <c r="W160" s="5">
        <v>45719</v>
      </c>
      <c r="Y160" s="3">
        <v>975533</v>
      </c>
    </row>
    <row r="161" spans="1:25" hidden="1" x14ac:dyDescent="0.3">
      <c r="A161" s="5">
        <v>45719</v>
      </c>
      <c r="B161" t="s">
        <v>41</v>
      </c>
      <c r="C161" s="3">
        <v>4839</v>
      </c>
      <c r="D161" s="3">
        <v>594</v>
      </c>
      <c r="E161" s="3">
        <v>979778</v>
      </c>
      <c r="F161" s="3">
        <f>Table4_1416[[#This Row],[New_Followers]]-Table4_1416[[#This Row],[Unfollows]]</f>
        <v>4245</v>
      </c>
      <c r="G161" s="4">
        <v>4.3326141227910796E-3</v>
      </c>
      <c r="H161">
        <v>2.5803804535313102</v>
      </c>
      <c r="I161" s="6">
        <v>42591</v>
      </c>
      <c r="K161" s="5">
        <v>45719</v>
      </c>
      <c r="L161" t="s">
        <v>41</v>
      </c>
      <c r="M161" s="3">
        <v>4245</v>
      </c>
      <c r="W161" s="5">
        <v>45719</v>
      </c>
      <c r="Y161" s="3">
        <v>979778</v>
      </c>
    </row>
    <row r="162" spans="1:25" hidden="1" x14ac:dyDescent="0.3">
      <c r="A162" s="5">
        <v>45726</v>
      </c>
      <c r="B162" t="s">
        <v>41</v>
      </c>
      <c r="C162" s="3">
        <v>9551</v>
      </c>
      <c r="D162" s="3">
        <v>828</v>
      </c>
      <c r="E162" s="3">
        <v>988501</v>
      </c>
      <c r="F162" s="3">
        <f>Table4_1416[[#This Row],[New_Followers]]-Table4_1416[[#This Row],[Unfollows]]</f>
        <v>8723</v>
      </c>
      <c r="G162" s="4">
        <v>8.8244726105487E-3</v>
      </c>
      <c r="H162">
        <v>1.525036393488727</v>
      </c>
      <c r="I162" s="6">
        <v>38047</v>
      </c>
      <c r="K162" s="5">
        <v>45726</v>
      </c>
      <c r="L162" t="s">
        <v>41</v>
      </c>
      <c r="M162" s="3">
        <v>8723</v>
      </c>
      <c r="W162" s="5">
        <v>45726</v>
      </c>
      <c r="Y162" s="3">
        <v>988501</v>
      </c>
    </row>
    <row r="163" spans="1:25" hidden="1" x14ac:dyDescent="0.3">
      <c r="A163" s="5">
        <v>45726</v>
      </c>
      <c r="B163" t="s">
        <v>23</v>
      </c>
      <c r="C163" s="3">
        <v>3376</v>
      </c>
      <c r="D163" s="3">
        <v>382</v>
      </c>
      <c r="E163" s="3">
        <v>991495</v>
      </c>
      <c r="F163" s="3">
        <f>Table4_1416[[#This Row],[New_Followers]]-Table4_1416[[#This Row],[Unfollows]]</f>
        <v>2994</v>
      </c>
      <c r="G163" s="4">
        <v>3.0196823988018098E-3</v>
      </c>
      <c r="H163">
        <v>3.8694093263203548</v>
      </c>
      <c r="I163" s="6">
        <v>44782</v>
      </c>
      <c r="K163" s="5">
        <v>45726</v>
      </c>
      <c r="L163" t="s">
        <v>23</v>
      </c>
      <c r="M163" s="3">
        <v>2994</v>
      </c>
      <c r="W163" s="5">
        <v>45726</v>
      </c>
      <c r="Y163" s="3">
        <v>991495</v>
      </c>
    </row>
    <row r="164" spans="1:25" hidden="1" x14ac:dyDescent="0.3">
      <c r="A164" s="5">
        <v>45726</v>
      </c>
      <c r="B164" t="s">
        <v>14</v>
      </c>
      <c r="C164" s="3">
        <v>4009</v>
      </c>
      <c r="D164" s="3">
        <v>454</v>
      </c>
      <c r="E164" s="3">
        <v>995050</v>
      </c>
      <c r="F164" s="3">
        <f>Table4_1416[[#This Row],[New_Followers]]-Table4_1416[[#This Row],[Unfollows]]</f>
        <v>3555</v>
      </c>
      <c r="G164" s="4">
        <v>3.5726847897090599E-3</v>
      </c>
      <c r="H164">
        <v>2.1106477061454201</v>
      </c>
      <c r="I164" s="6">
        <v>19833</v>
      </c>
      <c r="K164" s="5">
        <v>45726</v>
      </c>
      <c r="L164" t="s">
        <v>14</v>
      </c>
      <c r="M164" s="3">
        <v>3555</v>
      </c>
      <c r="W164" s="5">
        <v>45726</v>
      </c>
      <c r="Y164" s="3">
        <v>995050</v>
      </c>
    </row>
    <row r="165" spans="1:25" x14ac:dyDescent="0.3">
      <c r="A165" s="5">
        <v>45726</v>
      </c>
      <c r="B165" t="s">
        <v>19</v>
      </c>
      <c r="C165" s="3">
        <v>2827</v>
      </c>
      <c r="D165" s="3">
        <v>292</v>
      </c>
      <c r="E165" s="3">
        <v>997585</v>
      </c>
      <c r="F165" s="3">
        <f>Table4_1416[[#This Row],[New_Followers]]-Table4_1416[[#This Row],[Unfollows]]</f>
        <v>2535</v>
      </c>
      <c r="G165" s="4">
        <v>2.5411368454818402E-3</v>
      </c>
      <c r="H165">
        <v>2.4004972007397871</v>
      </c>
      <c r="I165" s="6">
        <v>17896</v>
      </c>
      <c r="K165" s="5">
        <v>45726</v>
      </c>
      <c r="M165" s="3">
        <v>2535</v>
      </c>
      <c r="W165" s="5">
        <v>45726</v>
      </c>
      <c r="Y165" s="3">
        <v>997585</v>
      </c>
    </row>
    <row r="166" spans="1:25" x14ac:dyDescent="0.3">
      <c r="A166" s="5">
        <v>45733</v>
      </c>
      <c r="B166" t="s">
        <v>19</v>
      </c>
      <c r="C166" s="3">
        <v>7979</v>
      </c>
      <c r="D166" s="3">
        <v>470</v>
      </c>
      <c r="E166" s="3">
        <v>1005094</v>
      </c>
      <c r="F166" s="3">
        <f>Table4_1416[[#This Row],[New_Followers]]-Table4_1416[[#This Row],[Unfollows]]</f>
        <v>7509</v>
      </c>
      <c r="G166" s="4">
        <v>7.4709430162751E-3</v>
      </c>
      <c r="H166">
        <v>10.43086517280971</v>
      </c>
      <c r="I166" s="6">
        <v>42972</v>
      </c>
      <c r="K166" s="5">
        <v>45733</v>
      </c>
      <c r="M166" s="3">
        <v>7509</v>
      </c>
      <c r="W166" s="5">
        <v>45733</v>
      </c>
      <c r="Y166" s="3">
        <v>1005094</v>
      </c>
    </row>
    <row r="167" spans="1:25" hidden="1" x14ac:dyDescent="0.3">
      <c r="A167" s="5">
        <v>45733</v>
      </c>
      <c r="B167" t="s">
        <v>23</v>
      </c>
      <c r="C167" s="3">
        <v>9569</v>
      </c>
      <c r="D167" s="3">
        <v>1277</v>
      </c>
      <c r="E167" s="3">
        <v>1013386</v>
      </c>
      <c r="F167" s="3">
        <f>Table4_1416[[#This Row],[New_Followers]]-Table4_1416[[#This Row],[Unfollows]]</f>
        <v>8292</v>
      </c>
      <c r="G167" s="4">
        <v>8.1824694637581408E-3</v>
      </c>
      <c r="H167">
        <v>12.45517502708741</v>
      </c>
      <c r="I167" s="6">
        <v>59733</v>
      </c>
      <c r="K167" s="5">
        <v>45733</v>
      </c>
      <c r="L167" t="s">
        <v>23</v>
      </c>
      <c r="M167" s="3">
        <v>8292</v>
      </c>
      <c r="W167" s="5">
        <v>45733</v>
      </c>
      <c r="Y167" s="3">
        <v>1013386</v>
      </c>
    </row>
    <row r="168" spans="1:25" x14ac:dyDescent="0.3">
      <c r="A168" s="5">
        <v>45733</v>
      </c>
      <c r="B168" t="s">
        <v>19</v>
      </c>
      <c r="C168" s="3">
        <v>5285</v>
      </c>
      <c r="D168" s="3">
        <v>433</v>
      </c>
      <c r="E168" s="3">
        <v>1018238</v>
      </c>
      <c r="F168" s="3">
        <f>Table4_1416[[#This Row],[New_Followers]]-Table4_1416[[#This Row],[Unfollows]]</f>
        <v>4852</v>
      </c>
      <c r="G168" s="4">
        <v>4.7650942117658203E-3</v>
      </c>
      <c r="H168">
        <v>8.7022876773406619</v>
      </c>
      <c r="I168" s="6">
        <v>51800</v>
      </c>
      <c r="K168" s="5">
        <v>45733</v>
      </c>
      <c r="M168" s="3">
        <v>4852</v>
      </c>
      <c r="W168" s="5">
        <v>45733</v>
      </c>
      <c r="Y168" s="3">
        <v>1018238</v>
      </c>
    </row>
    <row r="169" spans="1:25" x14ac:dyDescent="0.3">
      <c r="A169" s="5">
        <v>45733</v>
      </c>
      <c r="B169" t="s">
        <v>19</v>
      </c>
      <c r="C169" s="3">
        <v>7910</v>
      </c>
      <c r="D169" s="3">
        <v>543</v>
      </c>
      <c r="E169" s="3">
        <v>1025605</v>
      </c>
      <c r="F169" s="3">
        <f>Table4_1416[[#This Row],[New_Followers]]-Table4_1416[[#This Row],[Unfollows]]</f>
        <v>7367</v>
      </c>
      <c r="G169" s="4">
        <v>7.1830773055903598E-3</v>
      </c>
      <c r="H169">
        <v>6.0590578244060822</v>
      </c>
      <c r="I169" s="6">
        <v>40508</v>
      </c>
      <c r="K169" s="5">
        <v>45733</v>
      </c>
      <c r="M169" s="3">
        <v>7367</v>
      </c>
      <c r="W169" s="5">
        <v>45733</v>
      </c>
      <c r="Y169" s="3">
        <v>1025605</v>
      </c>
    </row>
    <row r="170" spans="1:25" x14ac:dyDescent="0.3">
      <c r="A170" s="5">
        <v>45740</v>
      </c>
      <c r="B170" t="s">
        <v>19</v>
      </c>
      <c r="C170" s="3">
        <v>9561</v>
      </c>
      <c r="D170" s="3">
        <v>517</v>
      </c>
      <c r="E170" s="3">
        <v>1034649</v>
      </c>
      <c r="F170" s="3">
        <f>Table4_1416[[#This Row],[New_Followers]]-Table4_1416[[#This Row],[Unfollows]]</f>
        <v>9044</v>
      </c>
      <c r="G170" s="4">
        <v>8.7411286339618595E-3</v>
      </c>
      <c r="H170">
        <v>6.4086467971263694</v>
      </c>
      <c r="I170" s="6">
        <v>15347</v>
      </c>
      <c r="K170" s="5">
        <v>45740</v>
      </c>
      <c r="M170" s="3">
        <v>9044</v>
      </c>
      <c r="W170" s="5">
        <v>45740</v>
      </c>
      <c r="Y170" s="3">
        <v>1034649</v>
      </c>
    </row>
    <row r="171" spans="1:25" x14ac:dyDescent="0.3">
      <c r="A171" s="5">
        <v>45740</v>
      </c>
      <c r="B171" t="s">
        <v>19</v>
      </c>
      <c r="C171" s="3">
        <v>3196</v>
      </c>
      <c r="D171" s="3">
        <v>348</v>
      </c>
      <c r="E171" s="3">
        <v>1037497</v>
      </c>
      <c r="F171" s="3">
        <f>Table4_1416[[#This Row],[New_Followers]]-Table4_1416[[#This Row],[Unfollows]]</f>
        <v>2848</v>
      </c>
      <c r="G171" s="4">
        <v>2.7450681785103999E-3</v>
      </c>
      <c r="H171">
        <v>14.03040201562029</v>
      </c>
      <c r="I171" s="6">
        <v>40314</v>
      </c>
      <c r="K171" s="5">
        <v>45740</v>
      </c>
      <c r="M171" s="3">
        <v>2848</v>
      </c>
      <c r="W171" s="5">
        <v>45740</v>
      </c>
      <c r="Y171" s="3">
        <v>1037497</v>
      </c>
    </row>
    <row r="172" spans="1:25" hidden="1" x14ac:dyDescent="0.3">
      <c r="A172" s="5">
        <v>45740</v>
      </c>
      <c r="B172" t="s">
        <v>14</v>
      </c>
      <c r="C172" s="3">
        <v>4747</v>
      </c>
      <c r="D172" s="3">
        <v>558</v>
      </c>
      <c r="E172" s="3">
        <v>1041686</v>
      </c>
      <c r="F172" s="3">
        <f>Table4_1416[[#This Row],[New_Followers]]-Table4_1416[[#This Row],[Unfollows]]</f>
        <v>4189</v>
      </c>
      <c r="G172" s="4">
        <v>4.0213653634588497E-3</v>
      </c>
      <c r="H172">
        <v>5.7680529449373434</v>
      </c>
      <c r="I172" s="6">
        <v>12643</v>
      </c>
      <c r="K172" s="5">
        <v>45740</v>
      </c>
      <c r="L172" t="s">
        <v>14</v>
      </c>
      <c r="M172" s="3">
        <v>4189</v>
      </c>
      <c r="W172" s="5">
        <v>45740</v>
      </c>
      <c r="Y172" s="3">
        <v>1041686</v>
      </c>
    </row>
    <row r="173" spans="1:25" x14ac:dyDescent="0.3">
      <c r="A173" s="5">
        <v>45740</v>
      </c>
      <c r="B173" t="s">
        <v>19</v>
      </c>
      <c r="C173" s="3">
        <v>9843</v>
      </c>
      <c r="D173" s="3">
        <v>508</v>
      </c>
      <c r="E173" s="3">
        <v>1051021</v>
      </c>
      <c r="F173" s="3">
        <f>Table4_1416[[#This Row],[New_Followers]]-Table4_1416[[#This Row],[Unfollows]]</f>
        <v>9335</v>
      </c>
      <c r="G173" s="4">
        <v>8.8818396587699005E-3</v>
      </c>
      <c r="H173">
        <v>4.2080986012648651</v>
      </c>
      <c r="I173" s="6">
        <v>50785</v>
      </c>
      <c r="K173" s="5">
        <v>45740</v>
      </c>
      <c r="M173" s="3">
        <v>9335</v>
      </c>
      <c r="W173" s="5">
        <v>45740</v>
      </c>
      <c r="Y173" s="3">
        <v>1051021</v>
      </c>
    </row>
    <row r="174" spans="1:25" hidden="1" x14ac:dyDescent="0.3">
      <c r="A174" s="5">
        <v>45747</v>
      </c>
      <c r="B174" t="s">
        <v>41</v>
      </c>
      <c r="C174" s="3">
        <v>6978</v>
      </c>
      <c r="D174" s="3">
        <v>706</v>
      </c>
      <c r="E174" s="3">
        <v>1057293</v>
      </c>
      <c r="F174" s="3">
        <f>Table4_1416[[#This Row],[New_Followers]]-Table4_1416[[#This Row],[Unfollows]]</f>
        <v>6272</v>
      </c>
      <c r="G174" s="4">
        <v>5.9321304501212101E-3</v>
      </c>
      <c r="H174">
        <v>5.057443868445171</v>
      </c>
      <c r="I174" s="6">
        <v>28681</v>
      </c>
      <c r="K174" s="5">
        <v>45747</v>
      </c>
      <c r="L174" t="s">
        <v>41</v>
      </c>
      <c r="M174" s="3">
        <v>6272</v>
      </c>
      <c r="W174" s="5">
        <v>45747</v>
      </c>
      <c r="Y174" s="3">
        <v>1057293</v>
      </c>
    </row>
    <row r="175" spans="1:25" hidden="1" x14ac:dyDescent="0.3">
      <c r="A175" s="5">
        <v>45747</v>
      </c>
      <c r="B175" t="s">
        <v>23</v>
      </c>
      <c r="C175" s="3">
        <v>6607</v>
      </c>
      <c r="D175" s="3">
        <v>479</v>
      </c>
      <c r="E175" s="3">
        <v>1063421</v>
      </c>
      <c r="F175" s="3">
        <f>Table4_1416[[#This Row],[New_Followers]]-Table4_1416[[#This Row],[Unfollows]]</f>
        <v>6128</v>
      </c>
      <c r="G175" s="4">
        <v>5.7625343114345098E-3</v>
      </c>
      <c r="H175">
        <v>5.5892257158735816</v>
      </c>
      <c r="I175" s="6">
        <v>48328</v>
      </c>
      <c r="K175" s="5">
        <v>45747</v>
      </c>
      <c r="L175" t="s">
        <v>23</v>
      </c>
      <c r="M175" s="3">
        <v>6128</v>
      </c>
      <c r="W175" s="5">
        <v>45747</v>
      </c>
      <c r="Y175" s="3">
        <v>1063421</v>
      </c>
    </row>
    <row r="176" spans="1:25" hidden="1" x14ac:dyDescent="0.3">
      <c r="A176" s="5">
        <v>45747</v>
      </c>
      <c r="B176" t="s">
        <v>14</v>
      </c>
      <c r="C176" s="3">
        <v>1769</v>
      </c>
      <c r="D176" s="3">
        <v>202</v>
      </c>
      <c r="E176" s="3">
        <v>1064988</v>
      </c>
      <c r="F176" s="3">
        <f>Table4_1416[[#This Row],[New_Followers]]-Table4_1416[[#This Row],[Unfollows]]</f>
        <v>1567</v>
      </c>
      <c r="G176" s="4">
        <v>1.47137808125538E-3</v>
      </c>
      <c r="H176">
        <v>6.5457075572682513</v>
      </c>
      <c r="I176" s="6">
        <v>25892</v>
      </c>
      <c r="K176" s="5">
        <v>45747</v>
      </c>
      <c r="L176" t="s">
        <v>14</v>
      </c>
      <c r="M176" s="3">
        <v>1567</v>
      </c>
      <c r="W176" s="5">
        <v>45747</v>
      </c>
      <c r="Y176" s="3">
        <v>1064988</v>
      </c>
    </row>
    <row r="177" spans="1:25" x14ac:dyDescent="0.3">
      <c r="A177" s="5">
        <v>45747</v>
      </c>
      <c r="B177" t="s">
        <v>19</v>
      </c>
      <c r="C177" s="3">
        <v>1780</v>
      </c>
      <c r="D177" s="3">
        <v>120</v>
      </c>
      <c r="E177" s="3">
        <v>1066648</v>
      </c>
      <c r="F177" s="3">
        <f>Table4_1416[[#This Row],[New_Followers]]-Table4_1416[[#This Row],[Unfollows]]</f>
        <v>1660</v>
      </c>
      <c r="G177" s="4">
        <v>1.55627723485161E-3</v>
      </c>
      <c r="H177">
        <v>13.86474263299608</v>
      </c>
      <c r="I177" s="6">
        <v>57299</v>
      </c>
      <c r="K177" s="5">
        <v>45747</v>
      </c>
      <c r="M177" s="3">
        <v>1660</v>
      </c>
      <c r="W177" s="5">
        <v>45747</v>
      </c>
      <c r="Y177" s="3">
        <v>1066648</v>
      </c>
    </row>
    <row r="178" spans="1:25" hidden="1" x14ac:dyDescent="0.3">
      <c r="A178" s="5">
        <v>45754</v>
      </c>
      <c r="B178" t="s">
        <v>14</v>
      </c>
      <c r="C178" s="3">
        <v>7303</v>
      </c>
      <c r="D178" s="3">
        <v>869</v>
      </c>
      <c r="E178" s="3">
        <v>1073082</v>
      </c>
      <c r="F178" s="3">
        <f>Table4_1416[[#This Row],[New_Followers]]-Table4_1416[[#This Row],[Unfollows]]</f>
        <v>6434</v>
      </c>
      <c r="G178" s="4">
        <v>5.9958139266151197E-3</v>
      </c>
      <c r="H178">
        <v>8.1237966902808925</v>
      </c>
      <c r="I178" s="6">
        <v>27073</v>
      </c>
      <c r="K178" s="5">
        <v>45754</v>
      </c>
      <c r="L178" t="s">
        <v>14</v>
      </c>
      <c r="M178" s="3">
        <v>6434</v>
      </c>
      <c r="W178" s="5">
        <v>45754</v>
      </c>
      <c r="Y178" s="3">
        <v>1073082</v>
      </c>
    </row>
    <row r="179" spans="1:25" x14ac:dyDescent="0.3">
      <c r="A179" s="5">
        <v>45754</v>
      </c>
      <c r="B179" t="s">
        <v>19</v>
      </c>
      <c r="C179" s="3">
        <v>4983</v>
      </c>
      <c r="D179" s="3">
        <v>441</v>
      </c>
      <c r="E179" s="3">
        <v>1077624</v>
      </c>
      <c r="F179" s="3">
        <f>Table4_1416[[#This Row],[New_Followers]]-Table4_1416[[#This Row],[Unfollows]]</f>
        <v>4542</v>
      </c>
      <c r="G179" s="4">
        <v>4.2148281775461604E-3</v>
      </c>
      <c r="H179">
        <v>6.8954477628560609</v>
      </c>
      <c r="I179" s="6">
        <v>46768</v>
      </c>
      <c r="K179" s="5">
        <v>45754</v>
      </c>
      <c r="M179" s="3">
        <v>4542</v>
      </c>
      <c r="W179" s="5">
        <v>45754</v>
      </c>
      <c r="Y179" s="3">
        <v>1077624</v>
      </c>
    </row>
    <row r="180" spans="1:25" hidden="1" x14ac:dyDescent="0.3">
      <c r="A180" s="5">
        <v>45754</v>
      </c>
      <c r="B180" t="s">
        <v>41</v>
      </c>
      <c r="C180" s="3">
        <v>9714</v>
      </c>
      <c r="D180" s="3">
        <v>1395</v>
      </c>
      <c r="E180" s="3">
        <v>1085943</v>
      </c>
      <c r="F180" s="3">
        <f>Table4_1416[[#This Row],[New_Followers]]-Table4_1416[[#This Row],[Unfollows]]</f>
        <v>8319</v>
      </c>
      <c r="G180" s="4">
        <v>7.6606230713766798E-3</v>
      </c>
      <c r="H180">
        <v>5.2243073531483697</v>
      </c>
      <c r="I180" s="6">
        <v>40682</v>
      </c>
      <c r="K180" s="5">
        <v>45754</v>
      </c>
      <c r="L180" t="s">
        <v>41</v>
      </c>
      <c r="M180" s="3">
        <v>8319</v>
      </c>
      <c r="W180" s="5">
        <v>45754</v>
      </c>
      <c r="Y180" s="3">
        <v>1085943</v>
      </c>
    </row>
    <row r="181" spans="1:25" hidden="1" x14ac:dyDescent="0.3">
      <c r="A181" s="5">
        <v>45754</v>
      </c>
      <c r="B181" t="s">
        <v>23</v>
      </c>
      <c r="C181" s="3">
        <v>1521</v>
      </c>
      <c r="D181" s="3">
        <v>96</v>
      </c>
      <c r="E181" s="3">
        <v>1087368</v>
      </c>
      <c r="F181" s="3">
        <f>Table4_1416[[#This Row],[New_Followers]]-Table4_1416[[#This Row],[Unfollows]]</f>
        <v>1425</v>
      </c>
      <c r="G181" s="4">
        <v>1.31050389564526E-3</v>
      </c>
      <c r="H181">
        <v>12.709772588488899</v>
      </c>
      <c r="I181" s="6">
        <v>42262</v>
      </c>
      <c r="K181" s="5">
        <v>45754</v>
      </c>
      <c r="L181" t="s">
        <v>23</v>
      </c>
      <c r="M181" s="3">
        <v>1425</v>
      </c>
      <c r="W181" s="5">
        <v>45754</v>
      </c>
      <c r="Y181" s="3">
        <v>1087368</v>
      </c>
    </row>
    <row r="182" spans="1:25" x14ac:dyDescent="0.3">
      <c r="A182" s="5">
        <v>45761</v>
      </c>
      <c r="B182" t="s">
        <v>19</v>
      </c>
      <c r="C182" s="3">
        <v>8569</v>
      </c>
      <c r="D182" s="3">
        <v>720</v>
      </c>
      <c r="E182" s="3">
        <v>1095217</v>
      </c>
      <c r="F182" s="3">
        <f>Table4_1416[[#This Row],[New_Followers]]-Table4_1416[[#This Row],[Unfollows]]</f>
        <v>7849</v>
      </c>
      <c r="G182" s="4">
        <v>7.1666162961312703E-3</v>
      </c>
      <c r="H182">
        <v>9.589697749395782</v>
      </c>
      <c r="I182" s="6">
        <v>41358</v>
      </c>
      <c r="K182" s="5">
        <v>45761</v>
      </c>
      <c r="M182" s="3">
        <v>7849</v>
      </c>
      <c r="W182" s="5">
        <v>45761</v>
      </c>
      <c r="Y182" s="3">
        <v>1095217</v>
      </c>
    </row>
    <row r="183" spans="1:25" x14ac:dyDescent="0.3">
      <c r="A183" s="5">
        <v>45761</v>
      </c>
      <c r="B183" t="s">
        <v>19</v>
      </c>
      <c r="C183" s="3">
        <v>6784</v>
      </c>
      <c r="D183" s="3">
        <v>416</v>
      </c>
      <c r="E183" s="3">
        <v>1101585</v>
      </c>
      <c r="F183" s="3">
        <f>Table4_1416[[#This Row],[New_Followers]]-Table4_1416[[#This Row],[Unfollows]]</f>
        <v>6368</v>
      </c>
      <c r="G183" s="4">
        <v>5.7807613574985097E-3</v>
      </c>
      <c r="H183">
        <v>9.3041390360253633</v>
      </c>
      <c r="I183" s="6">
        <v>24289</v>
      </c>
      <c r="K183" s="5">
        <v>45761</v>
      </c>
      <c r="M183" s="3">
        <v>6368</v>
      </c>
      <c r="W183" s="5">
        <v>45761</v>
      </c>
      <c r="Y183" s="3">
        <v>1101585</v>
      </c>
    </row>
    <row r="184" spans="1:25" x14ac:dyDescent="0.3">
      <c r="A184" s="5">
        <v>45761</v>
      </c>
      <c r="B184" t="s">
        <v>19</v>
      </c>
      <c r="C184" s="3">
        <v>5583</v>
      </c>
      <c r="D184" s="3">
        <v>795</v>
      </c>
      <c r="E184" s="3">
        <v>1106373</v>
      </c>
      <c r="F184" s="3">
        <f>Table4_1416[[#This Row],[New_Followers]]-Table4_1416[[#This Row],[Unfollows]]</f>
        <v>4788</v>
      </c>
      <c r="G184" s="4">
        <v>4.3276544167292598E-3</v>
      </c>
      <c r="H184">
        <v>12.21550055903389</v>
      </c>
      <c r="I184" s="6">
        <v>59823</v>
      </c>
      <c r="K184" s="5">
        <v>45761</v>
      </c>
      <c r="M184" s="3">
        <v>4788</v>
      </c>
      <c r="W184" s="5">
        <v>45761</v>
      </c>
      <c r="Y184" s="3">
        <v>1106373</v>
      </c>
    </row>
    <row r="185" spans="1:25" x14ac:dyDescent="0.3">
      <c r="A185" s="5">
        <v>45761</v>
      </c>
      <c r="B185" t="s">
        <v>19</v>
      </c>
      <c r="C185" s="3">
        <v>6946</v>
      </c>
      <c r="D185" s="3">
        <v>956</v>
      </c>
      <c r="E185" s="3">
        <v>1112363</v>
      </c>
      <c r="F185" s="3">
        <f>Table4_1416[[#This Row],[New_Followers]]-Table4_1416[[#This Row],[Unfollows]]</f>
        <v>5990</v>
      </c>
      <c r="G185" s="4">
        <v>5.3849327962185002E-3</v>
      </c>
      <c r="H185">
        <v>1.64146056637986</v>
      </c>
      <c r="I185" s="6">
        <v>17927</v>
      </c>
      <c r="K185" s="5">
        <v>45761</v>
      </c>
      <c r="M185" s="3">
        <v>5990</v>
      </c>
      <c r="W185" s="5">
        <v>45761</v>
      </c>
      <c r="Y185" s="3">
        <v>1112363</v>
      </c>
    </row>
    <row r="186" spans="1:25" hidden="1" x14ac:dyDescent="0.3">
      <c r="A186" s="5">
        <v>45768</v>
      </c>
      <c r="B186" t="s">
        <v>23</v>
      </c>
      <c r="C186" s="3">
        <v>5941</v>
      </c>
      <c r="D186" s="3">
        <v>450</v>
      </c>
      <c r="E186" s="3">
        <v>1117854</v>
      </c>
      <c r="F186" s="3">
        <f>Table4_1416[[#This Row],[New_Followers]]-Table4_1416[[#This Row],[Unfollows]]</f>
        <v>5491</v>
      </c>
      <c r="G186" s="4">
        <v>4.9120904876665504E-3</v>
      </c>
      <c r="H186">
        <v>12.414411899944</v>
      </c>
      <c r="I186" s="6">
        <v>58330</v>
      </c>
      <c r="K186" s="5">
        <v>45768</v>
      </c>
      <c r="L186" t="s">
        <v>23</v>
      </c>
      <c r="M186" s="3">
        <v>5491</v>
      </c>
      <c r="W186" s="5">
        <v>45768</v>
      </c>
      <c r="Y186" s="3">
        <v>1117854</v>
      </c>
    </row>
    <row r="187" spans="1:25" hidden="1" x14ac:dyDescent="0.3">
      <c r="A187" s="5">
        <v>45768</v>
      </c>
      <c r="B187" t="s">
        <v>23</v>
      </c>
      <c r="C187" s="3">
        <v>7267</v>
      </c>
      <c r="D187" s="3">
        <v>842</v>
      </c>
      <c r="E187" s="3">
        <v>1124279</v>
      </c>
      <c r="F187" s="3">
        <f>Table4_1416[[#This Row],[New_Followers]]-Table4_1416[[#This Row],[Unfollows]]</f>
        <v>6425</v>
      </c>
      <c r="G187" s="4">
        <v>5.7147736460433796E-3</v>
      </c>
      <c r="H187">
        <v>2.2102165031989389</v>
      </c>
      <c r="I187" s="6">
        <v>11171</v>
      </c>
      <c r="K187" s="5">
        <v>45768</v>
      </c>
      <c r="L187" t="s">
        <v>23</v>
      </c>
      <c r="M187" s="3">
        <v>6425</v>
      </c>
      <c r="W187" s="5">
        <v>45768</v>
      </c>
      <c r="Y187" s="3">
        <v>1124279</v>
      </c>
    </row>
    <row r="188" spans="1:25" hidden="1" x14ac:dyDescent="0.3">
      <c r="A188" s="5">
        <v>45768</v>
      </c>
      <c r="B188" t="s">
        <v>41</v>
      </c>
      <c r="C188" s="3">
        <v>8128</v>
      </c>
      <c r="D188" s="3">
        <v>1070</v>
      </c>
      <c r="E188" s="3">
        <v>1131337</v>
      </c>
      <c r="F188" s="3">
        <f>Table4_1416[[#This Row],[New_Followers]]-Table4_1416[[#This Row],[Unfollows]]</f>
        <v>7058</v>
      </c>
      <c r="G188" s="4">
        <v>6.2386362330587603E-3</v>
      </c>
      <c r="H188">
        <v>8.1114645768679008</v>
      </c>
      <c r="I188" s="6">
        <v>21918</v>
      </c>
      <c r="K188" s="5">
        <v>45768</v>
      </c>
      <c r="L188" t="s">
        <v>41</v>
      </c>
      <c r="M188" s="3">
        <v>7058</v>
      </c>
      <c r="W188" s="5">
        <v>45768</v>
      </c>
      <c r="Y188" s="3">
        <v>1131337</v>
      </c>
    </row>
    <row r="189" spans="1:25" hidden="1" x14ac:dyDescent="0.3">
      <c r="A189" s="5">
        <v>45768</v>
      </c>
      <c r="B189" t="s">
        <v>23</v>
      </c>
      <c r="C189" s="3">
        <v>3461</v>
      </c>
      <c r="D189" s="3">
        <v>365</v>
      </c>
      <c r="E189" s="3">
        <v>1134433</v>
      </c>
      <c r="F189" s="3">
        <f>Table4_1416[[#This Row],[New_Followers]]-Table4_1416[[#This Row],[Unfollows]]</f>
        <v>3096</v>
      </c>
      <c r="G189" s="4">
        <v>2.7291166600407401E-3</v>
      </c>
      <c r="H189">
        <v>10.23489267325616</v>
      </c>
      <c r="I189" s="6">
        <v>51903</v>
      </c>
      <c r="K189" s="5">
        <v>45768</v>
      </c>
      <c r="L189" t="s">
        <v>23</v>
      </c>
      <c r="M189" s="3">
        <v>3096</v>
      </c>
      <c r="W189" s="5">
        <v>45768</v>
      </c>
      <c r="Y189" s="3">
        <v>1134433</v>
      </c>
    </row>
    <row r="190" spans="1:25" x14ac:dyDescent="0.3">
      <c r="A190" s="5">
        <v>45775</v>
      </c>
      <c r="B190" t="s">
        <v>19</v>
      </c>
      <c r="C190" s="3">
        <v>1685</v>
      </c>
      <c r="D190" s="3">
        <v>173</v>
      </c>
      <c r="E190" s="3">
        <v>1135945</v>
      </c>
      <c r="F190" s="3">
        <f>Table4_1416[[#This Row],[New_Followers]]-Table4_1416[[#This Row],[Unfollows]]</f>
        <v>1512</v>
      </c>
      <c r="G190" s="4">
        <v>1.33105035895224E-3</v>
      </c>
      <c r="H190">
        <v>8.7776256772995165</v>
      </c>
      <c r="I190" s="6">
        <v>49110</v>
      </c>
      <c r="K190" s="5">
        <v>45775</v>
      </c>
      <c r="M190" s="3">
        <v>1512</v>
      </c>
      <c r="W190" s="5">
        <v>45775</v>
      </c>
      <c r="Y190" s="3">
        <v>1135945</v>
      </c>
    </row>
    <row r="191" spans="1:25" hidden="1" x14ac:dyDescent="0.3">
      <c r="A191" s="5">
        <v>45775</v>
      </c>
      <c r="B191" t="s">
        <v>41</v>
      </c>
      <c r="C191" s="3">
        <v>3160</v>
      </c>
      <c r="D191" s="3">
        <v>234</v>
      </c>
      <c r="E191" s="3">
        <v>1138871</v>
      </c>
      <c r="F191" s="3">
        <f>Table4_1416[[#This Row],[New_Followers]]-Table4_1416[[#This Row],[Unfollows]]</f>
        <v>2926</v>
      </c>
      <c r="G191" s="4">
        <v>2.5692110871204901E-3</v>
      </c>
      <c r="H191">
        <v>5.6959041015180816</v>
      </c>
      <c r="I191" s="6">
        <v>21929</v>
      </c>
      <c r="K191" s="5">
        <v>45775</v>
      </c>
      <c r="L191" t="s">
        <v>41</v>
      </c>
      <c r="M191" s="3">
        <v>2926</v>
      </c>
      <c r="W191" s="5">
        <v>45775</v>
      </c>
      <c r="Y191" s="3">
        <v>1138871</v>
      </c>
    </row>
    <row r="192" spans="1:25" hidden="1" x14ac:dyDescent="0.3">
      <c r="A192" s="5">
        <v>45775</v>
      </c>
      <c r="B192" t="s">
        <v>41</v>
      </c>
      <c r="C192" s="3">
        <v>8031</v>
      </c>
      <c r="D192" s="3">
        <v>476</v>
      </c>
      <c r="E192" s="3">
        <v>1146426</v>
      </c>
      <c r="F192" s="3">
        <f>Table4_1416[[#This Row],[New_Followers]]-Table4_1416[[#This Row],[Unfollows]]</f>
        <v>7555</v>
      </c>
      <c r="G192" s="4">
        <v>6.5900459340594202E-3</v>
      </c>
      <c r="H192">
        <v>11.940413075069831</v>
      </c>
      <c r="I192" s="6">
        <v>12539</v>
      </c>
      <c r="K192" s="5">
        <v>45775</v>
      </c>
      <c r="L192" t="s">
        <v>41</v>
      </c>
      <c r="M192" s="3">
        <v>7555</v>
      </c>
      <c r="W192" s="5">
        <v>45775</v>
      </c>
      <c r="Y192" s="3">
        <v>1146426</v>
      </c>
    </row>
    <row r="193" spans="1:25" hidden="1" x14ac:dyDescent="0.3">
      <c r="A193" s="5">
        <v>45775</v>
      </c>
      <c r="B193" t="s">
        <v>41</v>
      </c>
      <c r="C193" s="3">
        <v>6341</v>
      </c>
      <c r="D193" s="3">
        <v>885</v>
      </c>
      <c r="E193" s="3">
        <v>1151882</v>
      </c>
      <c r="F193" s="3">
        <f>Table4_1416[[#This Row],[New_Followers]]-Table4_1416[[#This Row],[Unfollows]]</f>
        <v>5456</v>
      </c>
      <c r="G193" s="4">
        <v>4.7365962832998498E-3</v>
      </c>
      <c r="H193">
        <v>6.3457020771224837</v>
      </c>
      <c r="I193" s="6">
        <v>46727</v>
      </c>
      <c r="K193" s="5">
        <v>45775</v>
      </c>
      <c r="L193" t="s">
        <v>41</v>
      </c>
      <c r="M193" s="3">
        <v>5456</v>
      </c>
      <c r="W193" s="5">
        <v>45775</v>
      </c>
      <c r="Y193" s="3">
        <v>1151882</v>
      </c>
    </row>
    <row r="194" spans="1:25" x14ac:dyDescent="0.3">
      <c r="A194" s="5">
        <v>45782</v>
      </c>
      <c r="B194" t="s">
        <v>19</v>
      </c>
      <c r="C194" s="3">
        <v>1038</v>
      </c>
      <c r="D194" s="3">
        <v>145</v>
      </c>
      <c r="E194" s="3">
        <v>1152775</v>
      </c>
      <c r="F194" s="3">
        <f>Table4_1416[[#This Row],[New_Followers]]-Table4_1416[[#This Row],[Unfollows]]</f>
        <v>893</v>
      </c>
      <c r="G194" s="4">
        <v>7.7465246904209403E-4</v>
      </c>
      <c r="H194">
        <v>11.093752033137431</v>
      </c>
      <c r="I194" s="6">
        <v>55951</v>
      </c>
      <c r="K194" s="5">
        <v>45782</v>
      </c>
      <c r="M194" s="3">
        <v>893</v>
      </c>
      <c r="W194" s="5">
        <v>45782</v>
      </c>
      <c r="Y194" s="3">
        <v>1152775</v>
      </c>
    </row>
    <row r="195" spans="1:25" hidden="1" x14ac:dyDescent="0.3">
      <c r="A195" s="5">
        <v>45782</v>
      </c>
      <c r="B195" t="s">
        <v>14</v>
      </c>
      <c r="C195" s="3">
        <v>5875</v>
      </c>
      <c r="D195" s="3">
        <v>665</v>
      </c>
      <c r="E195" s="3">
        <v>1157985</v>
      </c>
      <c r="F195" s="3">
        <f>Table4_1416[[#This Row],[New_Followers]]-Table4_1416[[#This Row],[Unfollows]]</f>
        <v>5210</v>
      </c>
      <c r="G195" s="4">
        <v>4.4991947218659999E-3</v>
      </c>
      <c r="H195">
        <v>6.9871371390821126</v>
      </c>
      <c r="I195" s="6">
        <v>32669</v>
      </c>
      <c r="K195" s="5">
        <v>45782</v>
      </c>
      <c r="L195" t="s">
        <v>14</v>
      </c>
      <c r="M195" s="3">
        <v>5210</v>
      </c>
      <c r="W195" s="5">
        <v>45782</v>
      </c>
      <c r="Y195" s="3">
        <v>1157985</v>
      </c>
    </row>
    <row r="196" spans="1:25" x14ac:dyDescent="0.3">
      <c r="A196" s="5">
        <v>45782</v>
      </c>
      <c r="B196" t="s">
        <v>19</v>
      </c>
      <c r="C196" s="3">
        <v>2256</v>
      </c>
      <c r="D196" s="3">
        <v>189</v>
      </c>
      <c r="E196" s="3">
        <v>1160052</v>
      </c>
      <c r="F196" s="3">
        <f>Table4_1416[[#This Row],[New_Followers]]-Table4_1416[[#This Row],[Unfollows]]</f>
        <v>2067</v>
      </c>
      <c r="G196" s="4">
        <v>1.7818166771834401E-3</v>
      </c>
      <c r="H196">
        <v>2.8935771844710412</v>
      </c>
      <c r="I196" s="6">
        <v>15432</v>
      </c>
      <c r="K196" s="5">
        <v>45782</v>
      </c>
      <c r="M196" s="3">
        <v>2067</v>
      </c>
      <c r="W196" s="5">
        <v>45782</v>
      </c>
      <c r="Y196" s="3">
        <v>1160052</v>
      </c>
    </row>
    <row r="197" spans="1:25" hidden="1" x14ac:dyDescent="0.3">
      <c r="A197" s="5">
        <v>45782</v>
      </c>
      <c r="B197" t="s">
        <v>23</v>
      </c>
      <c r="C197" s="3">
        <v>8697</v>
      </c>
      <c r="D197" s="3">
        <v>738</v>
      </c>
      <c r="E197" s="3">
        <v>1168011</v>
      </c>
      <c r="F197" s="3">
        <f>Table4_1416[[#This Row],[New_Followers]]-Table4_1416[[#This Row],[Unfollows]]</f>
        <v>7959</v>
      </c>
      <c r="G197" s="4">
        <v>6.8141481544266302E-3</v>
      </c>
      <c r="H197">
        <v>3.8777032065622672</v>
      </c>
      <c r="I197" s="6">
        <v>30644</v>
      </c>
      <c r="K197" s="5">
        <v>45782</v>
      </c>
      <c r="L197" t="s">
        <v>23</v>
      </c>
      <c r="M197" s="3">
        <v>7959</v>
      </c>
      <c r="W197" s="5">
        <v>45782</v>
      </c>
      <c r="Y197" s="3">
        <v>1168011</v>
      </c>
    </row>
    <row r="198" spans="1:25" hidden="1" x14ac:dyDescent="0.3">
      <c r="A198" s="5">
        <v>45789</v>
      </c>
      <c r="B198" t="s">
        <v>23</v>
      </c>
      <c r="C198" s="3">
        <v>3196</v>
      </c>
      <c r="D198" s="3">
        <v>391</v>
      </c>
      <c r="E198" s="3">
        <v>1170816</v>
      </c>
      <c r="F198" s="3">
        <f>Table4_1416[[#This Row],[New_Followers]]-Table4_1416[[#This Row],[Unfollows]]</f>
        <v>2805</v>
      </c>
      <c r="G198" s="4">
        <v>2.39576500491965E-3</v>
      </c>
      <c r="H198">
        <v>7.2439221876024931</v>
      </c>
      <c r="I198" s="6">
        <v>28745</v>
      </c>
      <c r="K198" s="5">
        <v>45789</v>
      </c>
      <c r="L198" t="s">
        <v>23</v>
      </c>
      <c r="M198" s="3">
        <v>2805</v>
      </c>
      <c r="W198" s="5">
        <v>45789</v>
      </c>
      <c r="Y198" s="3">
        <v>1170816</v>
      </c>
    </row>
    <row r="199" spans="1:25" x14ac:dyDescent="0.3">
      <c r="A199" s="5">
        <v>45789</v>
      </c>
      <c r="B199" t="s">
        <v>19</v>
      </c>
      <c r="C199" s="3">
        <v>8165</v>
      </c>
      <c r="D199" s="3">
        <v>1140</v>
      </c>
      <c r="E199" s="3">
        <v>1177841</v>
      </c>
      <c r="F199" s="3">
        <f>Table4_1416[[#This Row],[New_Followers]]-Table4_1416[[#This Row],[Unfollows]]</f>
        <v>7025</v>
      </c>
      <c r="G199" s="4">
        <v>5.9643024822535499E-3</v>
      </c>
      <c r="H199">
        <v>9.095964565675672</v>
      </c>
      <c r="I199" s="6">
        <v>38228</v>
      </c>
      <c r="K199" s="5">
        <v>45789</v>
      </c>
      <c r="M199" s="3">
        <v>7025</v>
      </c>
      <c r="W199" s="5">
        <v>45789</v>
      </c>
      <c r="Y199" s="3">
        <v>1177841</v>
      </c>
    </row>
    <row r="200" spans="1:25" x14ac:dyDescent="0.3">
      <c r="A200" s="5">
        <v>45789</v>
      </c>
      <c r="B200" t="s">
        <v>19</v>
      </c>
      <c r="C200" s="3">
        <v>1301</v>
      </c>
      <c r="D200" s="3">
        <v>180</v>
      </c>
      <c r="E200" s="3">
        <v>1178962</v>
      </c>
      <c r="F200" s="3">
        <f>Table4_1416[[#This Row],[New_Followers]]-Table4_1416[[#This Row],[Unfollows]]</f>
        <v>1121</v>
      </c>
      <c r="G200" s="4">
        <v>9.5083641372665096E-4</v>
      </c>
      <c r="H200">
        <v>5.2275645864752214</v>
      </c>
      <c r="I200" s="6">
        <v>44521</v>
      </c>
      <c r="K200" s="5">
        <v>45789</v>
      </c>
      <c r="M200" s="3">
        <v>1121</v>
      </c>
      <c r="W200" s="5">
        <v>45789</v>
      </c>
      <c r="Y200" s="3">
        <v>1178962</v>
      </c>
    </row>
    <row r="201" spans="1:25" hidden="1" x14ac:dyDescent="0.3">
      <c r="A201" s="5">
        <v>45789</v>
      </c>
      <c r="B201" t="s">
        <v>41</v>
      </c>
      <c r="C201" s="3">
        <v>8527</v>
      </c>
      <c r="D201" s="3">
        <v>1091</v>
      </c>
      <c r="E201" s="3">
        <v>1186398</v>
      </c>
      <c r="F201" s="3">
        <f>Table4_1416[[#This Row],[New_Followers]]-Table4_1416[[#This Row],[Unfollows]]</f>
        <v>7436</v>
      </c>
      <c r="G201" s="4">
        <v>6.2677111728104704E-3</v>
      </c>
      <c r="H201">
        <v>1.676081719625286</v>
      </c>
      <c r="I201" s="6">
        <v>41703</v>
      </c>
      <c r="K201" s="5">
        <v>45789</v>
      </c>
      <c r="L201" t="s">
        <v>41</v>
      </c>
      <c r="M201" s="3">
        <v>7436</v>
      </c>
      <c r="W201" s="5">
        <v>45789</v>
      </c>
      <c r="Y201" s="3">
        <v>1186398</v>
      </c>
    </row>
  </sheetData>
  <pageMargins left="0.7" right="0.7" top="0.75" bottom="0.75" header="0.3" footer="0.3"/>
  <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C029-8409-4BC7-A746-9531FEDC2D08}">
  <dimension ref="A1:Z201"/>
  <sheetViews>
    <sheetView topLeftCell="K1" zoomScale="105" workbookViewId="0">
      <selection activeCell="K1" sqref="K1"/>
    </sheetView>
  </sheetViews>
  <sheetFormatPr defaultRowHeight="14.4" x14ac:dyDescent="0.3"/>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88671875" bestFit="1" customWidth="1"/>
    <col min="7" max="7" width="21" bestFit="1" customWidth="1"/>
    <col min="8" max="8" width="18" bestFit="1" customWidth="1"/>
    <col min="9" max="9" width="11.5546875" bestFit="1" customWidth="1"/>
    <col min="11" max="11" width="12.44140625" bestFit="1" customWidth="1"/>
    <col min="12" max="12" width="20.33203125" bestFit="1" customWidth="1"/>
    <col min="13" max="15" width="11" bestFit="1" customWidth="1"/>
    <col min="16" max="16" width="12.109375" bestFit="1" customWidth="1"/>
    <col min="26" max="26" width="50.77734375" bestFit="1" customWidth="1"/>
  </cols>
  <sheetData>
    <row r="1" spans="1:26" x14ac:dyDescent="0.3">
      <c r="A1" t="s">
        <v>338</v>
      </c>
      <c r="B1" t="s">
        <v>1</v>
      </c>
      <c r="C1" t="s">
        <v>339</v>
      </c>
      <c r="D1" t="s">
        <v>340</v>
      </c>
      <c r="E1" t="s">
        <v>341</v>
      </c>
      <c r="F1" t="s">
        <v>379</v>
      </c>
      <c r="G1" t="s">
        <v>342</v>
      </c>
      <c r="H1" t="s">
        <v>343</v>
      </c>
      <c r="I1" t="s">
        <v>344</v>
      </c>
      <c r="K1" s="16" t="s">
        <v>358</v>
      </c>
      <c r="L1" t="s">
        <v>380</v>
      </c>
    </row>
    <row r="2" spans="1:26" ht="15.6" x14ac:dyDescent="0.3">
      <c r="A2" s="5">
        <v>45446</v>
      </c>
      <c r="B2" t="s">
        <v>23</v>
      </c>
      <c r="C2" s="3">
        <v>4138</v>
      </c>
      <c r="D2" s="3">
        <v>361</v>
      </c>
      <c r="E2" s="3">
        <v>103777</v>
      </c>
      <c r="F2" s="3">
        <f>Table4_14[[#This Row],[New_Followers]]-Table4_14[[#This Row],[Unfollows]]</f>
        <v>3777</v>
      </c>
      <c r="G2" s="4">
        <v>3.6395347716738802E-2</v>
      </c>
      <c r="H2">
        <v>56.637790647253247</v>
      </c>
      <c r="I2" s="6">
        <v>23944</v>
      </c>
      <c r="K2" s="17">
        <v>45446</v>
      </c>
      <c r="L2" s="3">
        <v>246535</v>
      </c>
      <c r="Z2" s="13" t="s">
        <v>356</v>
      </c>
    </row>
    <row r="3" spans="1:26" x14ac:dyDescent="0.3">
      <c r="A3" s="5">
        <v>45446</v>
      </c>
      <c r="B3" t="s">
        <v>41</v>
      </c>
      <c r="C3" s="3">
        <v>8693</v>
      </c>
      <c r="D3" s="3">
        <v>1261</v>
      </c>
      <c r="E3" s="3">
        <v>111209</v>
      </c>
      <c r="F3" s="3">
        <f>Table4_14[[#This Row],[New_Followers]]-Table4_14[[#This Row],[Unfollows]]</f>
        <v>7432</v>
      </c>
      <c r="G3" s="4">
        <v>6.6829123542159405E-2</v>
      </c>
      <c r="H3">
        <v>69.475492091467416</v>
      </c>
      <c r="I3" s="6">
        <v>29873</v>
      </c>
      <c r="K3" s="17">
        <v>45453</v>
      </c>
      <c r="L3" s="3">
        <v>141896</v>
      </c>
    </row>
    <row r="4" spans="1:26" x14ac:dyDescent="0.3">
      <c r="A4" s="5">
        <v>45446</v>
      </c>
      <c r="B4" t="s">
        <v>14</v>
      </c>
      <c r="C4" s="3">
        <v>9264</v>
      </c>
      <c r="D4" s="3">
        <v>1141</v>
      </c>
      <c r="E4" s="3">
        <v>119332</v>
      </c>
      <c r="F4" s="3">
        <f>Table4_14[[#This Row],[New_Followers]]-Table4_14[[#This Row],[Unfollows]]</f>
        <v>8123</v>
      </c>
      <c r="G4" s="4">
        <v>6.8070592967519203E-2</v>
      </c>
      <c r="H4">
        <v>92.312204605638044</v>
      </c>
      <c r="I4" s="6">
        <v>50372</v>
      </c>
      <c r="K4" s="17">
        <v>45467</v>
      </c>
      <c r="L4" s="3">
        <v>198388</v>
      </c>
      <c r="Z4" s="14" t="s">
        <v>364</v>
      </c>
    </row>
    <row r="5" spans="1:26" x14ac:dyDescent="0.3">
      <c r="A5" s="5">
        <v>45446</v>
      </c>
      <c r="B5" t="s">
        <v>14</v>
      </c>
      <c r="C5" s="3">
        <v>8842</v>
      </c>
      <c r="D5" s="3">
        <v>971</v>
      </c>
      <c r="E5" s="3">
        <v>127203</v>
      </c>
      <c r="F5" s="3">
        <f>Table4_14[[#This Row],[New_Followers]]-Table4_14[[#This Row],[Unfollows]]</f>
        <v>7871</v>
      </c>
      <c r="G5" s="4">
        <v>6.1877471443283601E-2</v>
      </c>
      <c r="H5">
        <v>16.351815601833291</v>
      </c>
      <c r="I5" s="6">
        <v>33928</v>
      </c>
      <c r="K5" s="17">
        <v>45488</v>
      </c>
      <c r="L5" s="3">
        <v>255684</v>
      </c>
    </row>
    <row r="6" spans="1:26" x14ac:dyDescent="0.3">
      <c r="A6" s="5">
        <v>45453</v>
      </c>
      <c r="B6" t="s">
        <v>23</v>
      </c>
      <c r="C6" s="3">
        <v>7721</v>
      </c>
      <c r="D6" s="3">
        <v>506</v>
      </c>
      <c r="E6" s="3">
        <v>134418</v>
      </c>
      <c r="F6" s="3">
        <f>Table4_14[[#This Row],[New_Followers]]-Table4_14[[#This Row],[Unfollows]]</f>
        <v>7215</v>
      </c>
      <c r="G6" s="4">
        <v>5.3675846984778799E-2</v>
      </c>
      <c r="H6">
        <v>35.577824398518047</v>
      </c>
      <c r="I6" s="6">
        <v>25379</v>
      </c>
      <c r="K6" s="17">
        <v>45495</v>
      </c>
      <c r="L6" s="3">
        <v>289283</v>
      </c>
      <c r="Z6" s="15" t="s">
        <v>400</v>
      </c>
    </row>
    <row r="7" spans="1:26" x14ac:dyDescent="0.3">
      <c r="A7" s="5">
        <v>45453</v>
      </c>
      <c r="B7" t="s">
        <v>14</v>
      </c>
      <c r="C7" s="3">
        <v>8002</v>
      </c>
      <c r="D7" s="3">
        <v>524</v>
      </c>
      <c r="E7" s="3">
        <v>141896</v>
      </c>
      <c r="F7" s="3">
        <f>Table4_14[[#This Row],[New_Followers]]-Table4_14[[#This Row],[Unfollows]]</f>
        <v>7478</v>
      </c>
      <c r="G7" s="4">
        <v>5.2700569431132702E-2</v>
      </c>
      <c r="H7">
        <v>52.064892597395271</v>
      </c>
      <c r="I7" s="6">
        <v>46751</v>
      </c>
      <c r="K7" s="17">
        <v>45502</v>
      </c>
      <c r="L7" s="3">
        <v>300265</v>
      </c>
      <c r="Z7" s="15" t="s">
        <v>390</v>
      </c>
    </row>
    <row r="8" spans="1:26" x14ac:dyDescent="0.3">
      <c r="A8" s="5">
        <v>45453</v>
      </c>
      <c r="B8" t="s">
        <v>41</v>
      </c>
      <c r="C8" s="3">
        <v>5225</v>
      </c>
      <c r="D8" s="3">
        <v>291</v>
      </c>
      <c r="E8" s="3">
        <v>146830</v>
      </c>
      <c r="F8" s="3">
        <f>Table4_14[[#This Row],[New_Followers]]-Table4_14[[#This Row],[Unfollows]]</f>
        <v>4934</v>
      </c>
      <c r="G8" s="4">
        <v>3.3603487025812201E-2</v>
      </c>
      <c r="H8">
        <v>19.551862698358651</v>
      </c>
      <c r="I8" s="6">
        <v>44546</v>
      </c>
      <c r="K8" s="17">
        <v>45509</v>
      </c>
      <c r="L8" s="3">
        <v>315557</v>
      </c>
      <c r="Z8" s="15" t="s">
        <v>381</v>
      </c>
    </row>
    <row r="9" spans="1:26" x14ac:dyDescent="0.3">
      <c r="A9" s="5">
        <v>45453</v>
      </c>
      <c r="B9" t="s">
        <v>41</v>
      </c>
      <c r="C9" s="3">
        <v>3978</v>
      </c>
      <c r="D9" s="3">
        <v>543</v>
      </c>
      <c r="E9" s="3">
        <v>150265</v>
      </c>
      <c r="F9" s="3">
        <f>Table4_14[[#This Row],[New_Followers]]-Table4_14[[#This Row],[Unfollows]]</f>
        <v>3435</v>
      </c>
      <c r="G9" s="4">
        <v>2.2859614680730701E-2</v>
      </c>
      <c r="H9">
        <v>49.159817655475329</v>
      </c>
      <c r="I9" s="6">
        <v>34286</v>
      </c>
      <c r="K9" s="17">
        <v>45516</v>
      </c>
      <c r="L9" s="3">
        <v>340085</v>
      </c>
      <c r="Z9" s="15" t="s">
        <v>387</v>
      </c>
    </row>
    <row r="10" spans="1:26" x14ac:dyDescent="0.3">
      <c r="A10" s="5">
        <v>45460</v>
      </c>
      <c r="B10" t="s">
        <v>23</v>
      </c>
      <c r="C10" s="3">
        <v>8373</v>
      </c>
      <c r="D10" s="3">
        <v>921</v>
      </c>
      <c r="E10" s="3">
        <v>157717</v>
      </c>
      <c r="F10" s="3">
        <f>Table4_14[[#This Row],[New_Followers]]-Table4_14[[#This Row],[Unfollows]]</f>
        <v>7452</v>
      </c>
      <c r="G10" s="4">
        <v>4.7249186834646899E-2</v>
      </c>
      <c r="H10">
        <v>12.2263294381709</v>
      </c>
      <c r="I10" s="6">
        <v>15110</v>
      </c>
      <c r="K10" s="17">
        <v>45523</v>
      </c>
      <c r="L10" s="3">
        <v>729433</v>
      </c>
      <c r="Z10" s="15" t="s">
        <v>384</v>
      </c>
    </row>
    <row r="11" spans="1:26" x14ac:dyDescent="0.3">
      <c r="A11" s="5">
        <v>45460</v>
      </c>
      <c r="B11" t="s">
        <v>41</v>
      </c>
      <c r="C11" s="3">
        <v>6907</v>
      </c>
      <c r="D11" s="3">
        <v>834</v>
      </c>
      <c r="E11" s="3">
        <v>163790</v>
      </c>
      <c r="F11" s="3">
        <f>Table4_14[[#This Row],[New_Followers]]-Table4_14[[#This Row],[Unfollows]]</f>
        <v>6073</v>
      </c>
      <c r="G11" s="4">
        <v>3.70779656877709E-2</v>
      </c>
      <c r="H11">
        <v>54.158984064961238</v>
      </c>
      <c r="I11" s="6">
        <v>22087</v>
      </c>
      <c r="K11" s="17">
        <v>45530</v>
      </c>
      <c r="L11" s="3">
        <v>391152</v>
      </c>
      <c r="Z11" s="15" t="s">
        <v>388</v>
      </c>
    </row>
    <row r="12" spans="1:26" x14ac:dyDescent="0.3">
      <c r="A12" s="5">
        <v>45460</v>
      </c>
      <c r="B12" t="s">
        <v>19</v>
      </c>
      <c r="C12" s="3">
        <v>7097</v>
      </c>
      <c r="D12" s="3">
        <v>369</v>
      </c>
      <c r="E12" s="3">
        <v>170518</v>
      </c>
      <c r="F12" s="3">
        <f>Table4_14[[#This Row],[New_Followers]]-Table4_14[[#This Row],[Unfollows]]</f>
        <v>6728</v>
      </c>
      <c r="G12" s="4">
        <v>3.9456245088495101E-2</v>
      </c>
      <c r="H12">
        <v>9.2506362964613711</v>
      </c>
      <c r="I12" s="6">
        <v>33762</v>
      </c>
      <c r="K12" s="17">
        <v>45544</v>
      </c>
      <c r="L12" s="3">
        <v>862353</v>
      </c>
      <c r="Z12" s="15" t="s">
        <v>389</v>
      </c>
    </row>
    <row r="13" spans="1:26" x14ac:dyDescent="0.3">
      <c r="A13" s="5">
        <v>45460</v>
      </c>
      <c r="B13" t="s">
        <v>23</v>
      </c>
      <c r="C13" s="3">
        <v>6656</v>
      </c>
      <c r="D13" s="3">
        <v>978</v>
      </c>
      <c r="E13" s="3">
        <v>176196</v>
      </c>
      <c r="F13" s="3">
        <f>Table4_14[[#This Row],[New_Followers]]-Table4_14[[#This Row],[Unfollows]]</f>
        <v>5678</v>
      </c>
      <c r="G13" s="4">
        <v>3.2225476174260498E-2</v>
      </c>
      <c r="H13">
        <v>60.425889350496043</v>
      </c>
      <c r="I13" s="6">
        <v>27081</v>
      </c>
      <c r="K13" s="17">
        <v>45551</v>
      </c>
      <c r="L13" s="3">
        <v>895821</v>
      </c>
      <c r="Z13" s="15" t="s">
        <v>391</v>
      </c>
    </row>
    <row r="14" spans="1:26" x14ac:dyDescent="0.3">
      <c r="A14" s="5">
        <v>45467</v>
      </c>
      <c r="B14" t="s">
        <v>41</v>
      </c>
      <c r="C14" s="3">
        <v>9984</v>
      </c>
      <c r="D14" s="3">
        <v>1330</v>
      </c>
      <c r="E14" s="3">
        <v>184850</v>
      </c>
      <c r="F14" s="3">
        <f>Table4_14[[#This Row],[New_Followers]]-Table4_14[[#This Row],[Unfollows]]</f>
        <v>8654</v>
      </c>
      <c r="G14" s="4">
        <v>4.6816337571003501E-2</v>
      </c>
      <c r="H14">
        <v>57.524479307546663</v>
      </c>
      <c r="I14" s="6">
        <v>44947</v>
      </c>
      <c r="K14" s="17">
        <v>45572</v>
      </c>
      <c r="L14" s="3">
        <v>1002177</v>
      </c>
    </row>
    <row r="15" spans="1:26" x14ac:dyDescent="0.3">
      <c r="A15" s="5">
        <v>45467</v>
      </c>
      <c r="B15" t="s">
        <v>23</v>
      </c>
      <c r="C15" s="3">
        <v>5259</v>
      </c>
      <c r="D15" s="3">
        <v>374</v>
      </c>
      <c r="E15" s="3">
        <v>189735</v>
      </c>
      <c r="F15" s="3">
        <f>Table4_14[[#This Row],[New_Followers]]-Table4_14[[#This Row],[Unfollows]]</f>
        <v>4885</v>
      </c>
      <c r="G15" s="4">
        <v>2.5746435818378301E-2</v>
      </c>
      <c r="H15">
        <v>14.827522597306769</v>
      </c>
      <c r="I15" s="6">
        <v>19596</v>
      </c>
      <c r="K15" s="17">
        <v>45579</v>
      </c>
      <c r="L15" s="3">
        <v>522852</v>
      </c>
    </row>
    <row r="16" spans="1:26" x14ac:dyDescent="0.3">
      <c r="A16" s="5">
        <v>45467</v>
      </c>
      <c r="B16" t="s">
        <v>14</v>
      </c>
      <c r="C16" s="3">
        <v>9286</v>
      </c>
      <c r="D16" s="3">
        <v>633</v>
      </c>
      <c r="E16" s="3">
        <v>198388</v>
      </c>
      <c r="F16" s="3">
        <f>Table4_14[[#This Row],[New_Followers]]-Table4_14[[#This Row],[Unfollows]]</f>
        <v>8653</v>
      </c>
      <c r="G16" s="4">
        <v>4.3616549388067798E-2</v>
      </c>
      <c r="H16">
        <v>5.4343004617214756</v>
      </c>
      <c r="I16" s="6">
        <v>48019</v>
      </c>
      <c r="K16" s="17">
        <v>45586</v>
      </c>
      <c r="L16" s="3">
        <v>545824</v>
      </c>
    </row>
    <row r="17" spans="1:12" x14ac:dyDescent="0.3">
      <c r="A17" s="5">
        <v>45467</v>
      </c>
      <c r="B17" t="s">
        <v>41</v>
      </c>
      <c r="C17" s="3">
        <v>6901</v>
      </c>
      <c r="D17" s="3">
        <v>471</v>
      </c>
      <c r="E17" s="3">
        <v>204818</v>
      </c>
      <c r="F17" s="3">
        <f>Table4_14[[#This Row],[New_Followers]]-Table4_14[[#This Row],[Unfollows]]</f>
        <v>6430</v>
      </c>
      <c r="G17" s="4">
        <v>3.1393725160874499E-2</v>
      </c>
      <c r="H17">
        <v>60.827661631301943</v>
      </c>
      <c r="I17" s="6">
        <v>52003</v>
      </c>
      <c r="K17" s="17">
        <v>45593</v>
      </c>
      <c r="L17" s="3">
        <v>1143345</v>
      </c>
    </row>
    <row r="18" spans="1:12" x14ac:dyDescent="0.3">
      <c r="A18" s="5">
        <v>45474</v>
      </c>
      <c r="B18" t="s">
        <v>19</v>
      </c>
      <c r="C18" s="3">
        <v>5917</v>
      </c>
      <c r="D18" s="3">
        <v>475</v>
      </c>
      <c r="E18" s="3">
        <v>210260</v>
      </c>
      <c r="F18" s="3">
        <f>Table4_14[[#This Row],[New_Followers]]-Table4_14[[#This Row],[Unfollows]]</f>
        <v>5442</v>
      </c>
      <c r="G18" s="4">
        <v>2.5882241034909201E-2</v>
      </c>
      <c r="H18">
        <v>17.894035955483691</v>
      </c>
      <c r="I18" s="6">
        <v>28313</v>
      </c>
      <c r="K18" s="17">
        <v>45600</v>
      </c>
      <c r="L18" s="3">
        <v>599760</v>
      </c>
    </row>
    <row r="19" spans="1:12" x14ac:dyDescent="0.3">
      <c r="A19" s="5">
        <v>45474</v>
      </c>
      <c r="B19" t="s">
        <v>41</v>
      </c>
      <c r="C19" s="3">
        <v>9429</v>
      </c>
      <c r="D19" s="3">
        <v>966</v>
      </c>
      <c r="E19" s="3">
        <v>218723</v>
      </c>
      <c r="F19" s="3">
        <f>Table4_14[[#This Row],[New_Followers]]-Table4_14[[#This Row],[Unfollows]]</f>
        <v>8463</v>
      </c>
      <c r="G19" s="4">
        <v>3.8692775794040901E-2</v>
      </c>
      <c r="H19">
        <v>7.6914636320825887</v>
      </c>
      <c r="I19" s="6">
        <v>57639</v>
      </c>
      <c r="K19" s="17">
        <v>45607</v>
      </c>
      <c r="L19" s="3">
        <v>625922</v>
      </c>
    </row>
    <row r="20" spans="1:12" x14ac:dyDescent="0.3">
      <c r="A20" s="5">
        <v>45474</v>
      </c>
      <c r="B20" t="s">
        <v>23</v>
      </c>
      <c r="C20" s="3">
        <v>3530</v>
      </c>
      <c r="D20" s="3">
        <v>328</v>
      </c>
      <c r="E20" s="3">
        <v>221925</v>
      </c>
      <c r="F20" s="3">
        <f>Table4_14[[#This Row],[New_Followers]]-Table4_14[[#This Row],[Unfollows]]</f>
        <v>3202</v>
      </c>
      <c r="G20" s="4">
        <v>1.44282978483722E-2</v>
      </c>
      <c r="H20">
        <v>12.8372197814577</v>
      </c>
      <c r="I20" s="6">
        <v>11013</v>
      </c>
      <c r="K20" s="17">
        <v>45621</v>
      </c>
      <c r="L20" s="3">
        <v>675785</v>
      </c>
    </row>
    <row r="21" spans="1:12" x14ac:dyDescent="0.3">
      <c r="A21" s="5">
        <v>45474</v>
      </c>
      <c r="B21" t="s">
        <v>23</v>
      </c>
      <c r="C21" s="3">
        <v>2960</v>
      </c>
      <c r="D21" s="3">
        <v>234</v>
      </c>
      <c r="E21" s="3">
        <v>224651</v>
      </c>
      <c r="F21" s="3">
        <f>Table4_14[[#This Row],[New_Followers]]-Table4_14[[#This Row],[Unfollows]]</f>
        <v>2726</v>
      </c>
      <c r="G21" s="4">
        <v>1.21343773230478E-2</v>
      </c>
      <c r="H21">
        <v>17.41278694508371</v>
      </c>
      <c r="I21" s="6">
        <v>59378</v>
      </c>
      <c r="K21" s="17">
        <v>45628</v>
      </c>
      <c r="L21" s="3">
        <v>694115</v>
      </c>
    </row>
    <row r="22" spans="1:12" x14ac:dyDescent="0.3">
      <c r="A22" s="5">
        <v>45481</v>
      </c>
      <c r="B22" t="s">
        <v>41</v>
      </c>
      <c r="C22" s="3">
        <v>8045</v>
      </c>
      <c r="D22" s="3">
        <v>894</v>
      </c>
      <c r="E22" s="3">
        <v>231802</v>
      </c>
      <c r="F22" s="3">
        <f>Table4_14[[#This Row],[New_Followers]]-Table4_14[[#This Row],[Unfollows]]</f>
        <v>7151</v>
      </c>
      <c r="G22" s="4">
        <v>3.0849604403758401E-2</v>
      </c>
      <c r="H22">
        <v>47.634187798207087</v>
      </c>
      <c r="I22" s="6">
        <v>33705</v>
      </c>
      <c r="K22" s="17">
        <v>45635</v>
      </c>
      <c r="L22" s="3">
        <v>709008</v>
      </c>
    </row>
    <row r="23" spans="1:12" x14ac:dyDescent="0.3">
      <c r="A23" s="5">
        <v>45481</v>
      </c>
      <c r="B23" t="s">
        <v>19</v>
      </c>
      <c r="C23" s="3">
        <v>2048</v>
      </c>
      <c r="D23" s="3">
        <v>130</v>
      </c>
      <c r="E23" s="3">
        <v>233720</v>
      </c>
      <c r="F23" s="3">
        <f>Table4_14[[#This Row],[New_Followers]]-Table4_14[[#This Row],[Unfollows]]</f>
        <v>1918</v>
      </c>
      <c r="G23" s="4">
        <v>8.2064008214958097E-3</v>
      </c>
      <c r="H23">
        <v>39.284614068115687</v>
      </c>
      <c r="I23" s="6">
        <v>11828</v>
      </c>
      <c r="K23" s="17">
        <v>45649</v>
      </c>
      <c r="L23" s="3">
        <v>748744</v>
      </c>
    </row>
    <row r="24" spans="1:12" x14ac:dyDescent="0.3">
      <c r="A24" s="5">
        <v>45481</v>
      </c>
      <c r="B24" t="s">
        <v>19</v>
      </c>
      <c r="C24" s="3">
        <v>6772</v>
      </c>
      <c r="D24" s="3">
        <v>536</v>
      </c>
      <c r="E24" s="3">
        <v>239956</v>
      </c>
      <c r="F24" s="3">
        <f>Table4_14[[#This Row],[New_Followers]]-Table4_14[[#This Row],[Unfollows]]</f>
        <v>6236</v>
      </c>
      <c r="G24" s="4">
        <v>2.5988097817933299E-2</v>
      </c>
      <c r="H24">
        <v>9.8205504342462788</v>
      </c>
      <c r="I24" s="6">
        <v>17909</v>
      </c>
      <c r="K24" s="17">
        <v>45663</v>
      </c>
      <c r="L24" s="3">
        <v>798137</v>
      </c>
    </row>
    <row r="25" spans="1:12" x14ac:dyDescent="0.3">
      <c r="A25" s="5">
        <v>45481</v>
      </c>
      <c r="B25" t="s">
        <v>19</v>
      </c>
      <c r="C25" s="3">
        <v>3529</v>
      </c>
      <c r="D25" s="3">
        <v>305</v>
      </c>
      <c r="E25" s="3">
        <v>243180</v>
      </c>
      <c r="F25" s="3">
        <f>Table4_14[[#This Row],[New_Followers]]-Table4_14[[#This Row],[Unfollows]]</f>
        <v>3224</v>
      </c>
      <c r="G25" s="4">
        <v>1.3257669216218401E-2</v>
      </c>
      <c r="H25">
        <v>41.606628834608109</v>
      </c>
      <c r="I25" s="6">
        <v>48356</v>
      </c>
      <c r="K25" s="17">
        <v>45670</v>
      </c>
      <c r="L25" s="3">
        <v>818408</v>
      </c>
    </row>
    <row r="26" spans="1:12" x14ac:dyDescent="0.3">
      <c r="A26" s="5">
        <v>45488</v>
      </c>
      <c r="B26" t="s">
        <v>23</v>
      </c>
      <c r="C26" s="3">
        <v>3964</v>
      </c>
      <c r="D26" s="3">
        <v>378</v>
      </c>
      <c r="E26" s="3">
        <v>246766</v>
      </c>
      <c r="F26" s="3">
        <f>Table4_14[[#This Row],[New_Followers]]-Table4_14[[#This Row],[Unfollows]]</f>
        <v>3586</v>
      </c>
      <c r="G26" s="4">
        <v>1.45319857678935E-2</v>
      </c>
      <c r="H26">
        <v>13.6355899921383</v>
      </c>
      <c r="I26" s="6">
        <v>23109</v>
      </c>
      <c r="K26" s="17">
        <v>45677</v>
      </c>
      <c r="L26" s="3">
        <v>846217</v>
      </c>
    </row>
    <row r="27" spans="1:12" x14ac:dyDescent="0.3">
      <c r="A27" s="5">
        <v>45488</v>
      </c>
      <c r="B27" t="s">
        <v>41</v>
      </c>
      <c r="C27" s="3">
        <v>8137</v>
      </c>
      <c r="D27" s="3">
        <v>1045</v>
      </c>
      <c r="E27" s="3">
        <v>253858</v>
      </c>
      <c r="F27" s="3">
        <f>Table4_14[[#This Row],[New_Followers]]-Table4_14[[#This Row],[Unfollows]]</f>
        <v>7092</v>
      </c>
      <c r="G27" s="4">
        <v>2.79368780972039E-2</v>
      </c>
      <c r="H27">
        <v>20.47246886054408</v>
      </c>
      <c r="I27" s="6">
        <v>12023</v>
      </c>
      <c r="K27" s="17">
        <v>45691</v>
      </c>
      <c r="L27" s="3">
        <v>1762198</v>
      </c>
    </row>
    <row r="28" spans="1:12" x14ac:dyDescent="0.3">
      <c r="A28" s="5">
        <v>45488</v>
      </c>
      <c r="B28" t="s">
        <v>14</v>
      </c>
      <c r="C28" s="3">
        <v>1963</v>
      </c>
      <c r="D28" s="3">
        <v>137</v>
      </c>
      <c r="E28" s="3">
        <v>255684</v>
      </c>
      <c r="F28" s="3">
        <f>Table4_14[[#This Row],[New_Followers]]-Table4_14[[#This Row],[Unfollows]]</f>
        <v>1826</v>
      </c>
      <c r="G28" s="4">
        <v>7.1416279469970799E-3</v>
      </c>
      <c r="H28">
        <v>11.2083665774941</v>
      </c>
      <c r="I28" s="6">
        <v>24537</v>
      </c>
      <c r="K28" s="17">
        <v>45712</v>
      </c>
      <c r="L28" s="3">
        <v>1900474</v>
      </c>
    </row>
    <row r="29" spans="1:12" x14ac:dyDescent="0.3">
      <c r="A29" s="5">
        <v>45488</v>
      </c>
      <c r="B29" t="s">
        <v>23</v>
      </c>
      <c r="C29" s="3">
        <v>1536</v>
      </c>
      <c r="D29" s="3">
        <v>155</v>
      </c>
      <c r="E29" s="3">
        <v>257065</v>
      </c>
      <c r="F29" s="3">
        <f>Table4_14[[#This Row],[New_Followers]]-Table4_14[[#This Row],[Unfollows]]</f>
        <v>1381</v>
      </c>
      <c r="G29" s="4">
        <v>5.3721821329235798E-3</v>
      </c>
      <c r="H29">
        <v>12.15762550327738</v>
      </c>
      <c r="I29" s="6">
        <v>36661</v>
      </c>
      <c r="K29" s="17">
        <v>45719</v>
      </c>
      <c r="L29" s="3">
        <v>966020</v>
      </c>
    </row>
    <row r="30" spans="1:12" x14ac:dyDescent="0.3">
      <c r="A30" s="5">
        <v>45495</v>
      </c>
      <c r="B30" t="s">
        <v>19</v>
      </c>
      <c r="C30" s="3">
        <v>8340</v>
      </c>
      <c r="D30" s="3">
        <v>911</v>
      </c>
      <c r="E30" s="3">
        <v>264494</v>
      </c>
      <c r="F30" s="3">
        <f>Table4_14[[#This Row],[New_Followers]]-Table4_14[[#This Row],[Unfollows]]</f>
        <v>7429</v>
      </c>
      <c r="G30" s="4">
        <v>2.8087593669421599E-2</v>
      </c>
      <c r="H30">
        <v>37.302925586213682</v>
      </c>
      <c r="I30" s="6">
        <v>48659</v>
      </c>
      <c r="K30" s="17">
        <v>45726</v>
      </c>
      <c r="L30" s="3">
        <v>995050</v>
      </c>
    </row>
    <row r="31" spans="1:12" x14ac:dyDescent="0.3">
      <c r="A31" s="5">
        <v>45495</v>
      </c>
      <c r="B31" t="s">
        <v>41</v>
      </c>
      <c r="C31" s="3">
        <v>8179</v>
      </c>
      <c r="D31" s="3">
        <v>446</v>
      </c>
      <c r="E31" s="3">
        <v>272227</v>
      </c>
      <c r="F31" s="3">
        <f>Table4_14[[#This Row],[New_Followers]]-Table4_14[[#This Row],[Unfollows]]</f>
        <v>7733</v>
      </c>
      <c r="G31" s="4">
        <v>2.84064402134983E-2</v>
      </c>
      <c r="H31">
        <v>41.82171496581897</v>
      </c>
      <c r="I31" s="6">
        <v>43848</v>
      </c>
      <c r="K31" s="17">
        <v>45740</v>
      </c>
      <c r="L31" s="3">
        <v>1041686</v>
      </c>
    </row>
    <row r="32" spans="1:12" x14ac:dyDescent="0.3">
      <c r="A32" s="5">
        <v>45495</v>
      </c>
      <c r="B32" t="s">
        <v>19</v>
      </c>
      <c r="C32" s="3">
        <v>8967</v>
      </c>
      <c r="D32" s="3">
        <v>993</v>
      </c>
      <c r="E32" s="3">
        <v>280201</v>
      </c>
      <c r="F32" s="3">
        <f>Table4_14[[#This Row],[New_Followers]]-Table4_14[[#This Row],[Unfollows]]</f>
        <v>7974</v>
      </c>
      <c r="G32" s="4">
        <v>2.8458142547671102E-2</v>
      </c>
      <c r="H32">
        <v>52.792102811910027</v>
      </c>
      <c r="I32" s="6">
        <v>47804</v>
      </c>
      <c r="K32" s="17">
        <v>45747</v>
      </c>
      <c r="L32" s="3">
        <v>1064988</v>
      </c>
    </row>
    <row r="33" spans="1:12" x14ac:dyDescent="0.3">
      <c r="A33" s="5">
        <v>45495</v>
      </c>
      <c r="B33" t="s">
        <v>14</v>
      </c>
      <c r="C33" s="3">
        <v>9734</v>
      </c>
      <c r="D33" s="3">
        <v>652</v>
      </c>
      <c r="E33" s="3">
        <v>289283</v>
      </c>
      <c r="F33" s="3">
        <f>Table4_14[[#This Row],[New_Followers]]-Table4_14[[#This Row],[Unfollows]]</f>
        <v>9082</v>
      </c>
      <c r="G33" s="4">
        <v>3.1394862470314498E-2</v>
      </c>
      <c r="H33">
        <v>49.647922622483861</v>
      </c>
      <c r="I33" s="6">
        <v>25379</v>
      </c>
      <c r="K33" s="17">
        <v>45754</v>
      </c>
      <c r="L33" s="3">
        <v>1073082</v>
      </c>
    </row>
    <row r="34" spans="1:12" x14ac:dyDescent="0.3">
      <c r="A34" s="5">
        <v>45502</v>
      </c>
      <c r="B34" t="s">
        <v>19</v>
      </c>
      <c r="C34" s="3">
        <v>1845</v>
      </c>
      <c r="D34" s="3">
        <v>104</v>
      </c>
      <c r="E34" s="3">
        <v>291024</v>
      </c>
      <c r="F34" s="3">
        <f>Table4_14[[#This Row],[New_Followers]]-Table4_14[[#This Row],[Unfollows]]</f>
        <v>1741</v>
      </c>
      <c r="G34" s="4">
        <v>5.9823244818296801E-3</v>
      </c>
      <c r="H34">
        <v>28.158158777282971</v>
      </c>
      <c r="I34" s="6">
        <v>37766</v>
      </c>
      <c r="K34" s="17">
        <v>45782</v>
      </c>
      <c r="L34" s="3">
        <v>1157985</v>
      </c>
    </row>
    <row r="35" spans="1:12" x14ac:dyDescent="0.3">
      <c r="A35" s="5">
        <v>45502</v>
      </c>
      <c r="B35" t="s">
        <v>19</v>
      </c>
      <c r="C35" s="3">
        <v>6777</v>
      </c>
      <c r="D35" s="3">
        <v>981</v>
      </c>
      <c r="E35" s="3">
        <v>296820</v>
      </c>
      <c r="F35" s="3">
        <f>Table4_14[[#This Row],[New_Followers]]-Table4_14[[#This Row],[Unfollows]]</f>
        <v>5796</v>
      </c>
      <c r="G35" s="4">
        <v>1.9526986052152799E-2</v>
      </c>
      <c r="H35">
        <v>23.920557913887201</v>
      </c>
      <c r="I35" s="6">
        <v>53590</v>
      </c>
      <c r="K35" s="17" t="s">
        <v>359</v>
      </c>
      <c r="L35" s="3">
        <v>24658229</v>
      </c>
    </row>
    <row r="36" spans="1:12" x14ac:dyDescent="0.3">
      <c r="A36" s="5">
        <v>45502</v>
      </c>
      <c r="B36" t="s">
        <v>14</v>
      </c>
      <c r="C36" s="3">
        <v>4036</v>
      </c>
      <c r="D36" s="3">
        <v>591</v>
      </c>
      <c r="E36" s="3">
        <v>300265</v>
      </c>
      <c r="F36" s="3">
        <f>Table4_14[[#This Row],[New_Followers]]-Table4_14[[#This Row],[Unfollows]]</f>
        <v>3445</v>
      </c>
      <c r="G36" s="4">
        <v>1.1473198674504199E-2</v>
      </c>
      <c r="H36">
        <v>44.219272975538267</v>
      </c>
      <c r="I36" s="6">
        <v>12563</v>
      </c>
    </row>
    <row r="37" spans="1:12" x14ac:dyDescent="0.3">
      <c r="A37" s="5">
        <v>45502</v>
      </c>
      <c r="B37" t="s">
        <v>41</v>
      </c>
      <c r="C37" s="3">
        <v>6947</v>
      </c>
      <c r="D37" s="3">
        <v>908</v>
      </c>
      <c r="E37" s="3">
        <v>306304</v>
      </c>
      <c r="F37" s="3">
        <f>Table4_14[[#This Row],[New_Followers]]-Table4_14[[#This Row],[Unfollows]]</f>
        <v>6039</v>
      </c>
      <c r="G37" s="4">
        <v>1.9715707271207701E-2</v>
      </c>
      <c r="H37">
        <v>14.117673944839121</v>
      </c>
      <c r="I37" s="6">
        <v>46060</v>
      </c>
    </row>
    <row r="38" spans="1:12" x14ac:dyDescent="0.3">
      <c r="A38" s="5">
        <v>45509</v>
      </c>
      <c r="B38" t="s">
        <v>23</v>
      </c>
      <c r="C38" s="3">
        <v>3494</v>
      </c>
      <c r="D38" s="3">
        <v>281</v>
      </c>
      <c r="E38" s="3">
        <v>309517</v>
      </c>
      <c r="F38" s="3">
        <f>Table4_14[[#This Row],[New_Followers]]-Table4_14[[#This Row],[Unfollows]]</f>
        <v>3213</v>
      </c>
      <c r="G38" s="4">
        <v>1.03806899136396E-2</v>
      </c>
      <c r="H38">
        <v>27.765518533715429</v>
      </c>
      <c r="I38" s="6">
        <v>39197</v>
      </c>
    </row>
    <row r="39" spans="1:12" x14ac:dyDescent="0.3">
      <c r="A39" s="5">
        <v>45509</v>
      </c>
      <c r="B39" t="s">
        <v>41</v>
      </c>
      <c r="C39" s="3">
        <v>3719</v>
      </c>
      <c r="D39" s="3">
        <v>222</v>
      </c>
      <c r="E39" s="3">
        <v>313014</v>
      </c>
      <c r="F39" s="3">
        <f>Table4_14[[#This Row],[New_Followers]]-Table4_14[[#This Row],[Unfollows]]</f>
        <v>3497</v>
      </c>
      <c r="G39" s="4">
        <v>1.11720242545062E-2</v>
      </c>
      <c r="H39">
        <v>21.669318305251519</v>
      </c>
      <c r="I39" s="6">
        <v>13586</v>
      </c>
    </row>
    <row r="40" spans="1:12" x14ac:dyDescent="0.3">
      <c r="A40" s="5">
        <v>45509</v>
      </c>
      <c r="B40" t="s">
        <v>14</v>
      </c>
      <c r="C40" s="3">
        <v>2884</v>
      </c>
      <c r="D40" s="3">
        <v>341</v>
      </c>
      <c r="E40" s="3">
        <v>315557</v>
      </c>
      <c r="F40" s="3">
        <f>Table4_14[[#This Row],[New_Followers]]-Table4_14[[#This Row],[Unfollows]]</f>
        <v>2543</v>
      </c>
      <c r="G40" s="4">
        <v>8.0587659281841292E-3</v>
      </c>
      <c r="H40">
        <v>46.999749649033298</v>
      </c>
      <c r="I40" s="6">
        <v>26087</v>
      </c>
    </row>
    <row r="41" spans="1:12" x14ac:dyDescent="0.3">
      <c r="A41" s="5">
        <v>45509</v>
      </c>
      <c r="B41" t="s">
        <v>19</v>
      </c>
      <c r="C41" s="3">
        <v>5349</v>
      </c>
      <c r="D41" s="3">
        <v>502</v>
      </c>
      <c r="E41" s="3">
        <v>320404</v>
      </c>
      <c r="F41" s="3">
        <f>Table4_14[[#This Row],[New_Followers]]-Table4_14[[#This Row],[Unfollows]]</f>
        <v>4847</v>
      </c>
      <c r="G41" s="4">
        <v>1.51277761825695E-2</v>
      </c>
      <c r="H41">
        <v>5.2152906954969351</v>
      </c>
      <c r="I41" s="6">
        <v>58868</v>
      </c>
    </row>
    <row r="42" spans="1:12" x14ac:dyDescent="0.3">
      <c r="A42" s="5">
        <v>45516</v>
      </c>
      <c r="B42" t="s">
        <v>41</v>
      </c>
      <c r="C42" s="3">
        <v>6179</v>
      </c>
      <c r="D42" s="3">
        <v>384</v>
      </c>
      <c r="E42" s="3">
        <v>326199</v>
      </c>
      <c r="F42" s="3">
        <f>Table4_14[[#This Row],[New_Followers]]-Table4_14[[#This Row],[Unfollows]]</f>
        <v>5795</v>
      </c>
      <c r="G42" s="4">
        <v>1.7765229200580001E-2</v>
      </c>
      <c r="H42">
        <v>14.71218489327067</v>
      </c>
      <c r="I42" s="6">
        <v>33225</v>
      </c>
    </row>
    <row r="43" spans="1:12" x14ac:dyDescent="0.3">
      <c r="A43" s="5">
        <v>45516</v>
      </c>
      <c r="B43" t="s">
        <v>23</v>
      </c>
      <c r="C43" s="3">
        <v>7610</v>
      </c>
      <c r="D43" s="3">
        <v>757</v>
      </c>
      <c r="E43" s="3">
        <v>333052</v>
      </c>
      <c r="F43" s="3">
        <f>Table4_14[[#This Row],[New_Followers]]-Table4_14[[#This Row],[Unfollows]]</f>
        <v>6853</v>
      </c>
      <c r="G43" s="4">
        <v>2.0576366453286601E-2</v>
      </c>
      <c r="H43">
        <v>44.450416151231643</v>
      </c>
      <c r="I43" s="6">
        <v>39750</v>
      </c>
    </row>
    <row r="44" spans="1:12" x14ac:dyDescent="0.3">
      <c r="A44" s="5">
        <v>45516</v>
      </c>
      <c r="B44" t="s">
        <v>14</v>
      </c>
      <c r="C44" s="3">
        <v>7430</v>
      </c>
      <c r="D44" s="3">
        <v>397</v>
      </c>
      <c r="E44" s="3">
        <v>340085</v>
      </c>
      <c r="F44" s="3">
        <f>Table4_14[[#This Row],[New_Followers]]-Table4_14[[#This Row],[Unfollows]]</f>
        <v>7033</v>
      </c>
      <c r="G44" s="4">
        <v>2.0680124086625399E-2</v>
      </c>
      <c r="H44">
        <v>28.065042562888689</v>
      </c>
      <c r="I44" s="6">
        <v>16643</v>
      </c>
    </row>
    <row r="45" spans="1:12" x14ac:dyDescent="0.3">
      <c r="A45" s="5">
        <v>45516</v>
      </c>
      <c r="B45" t="s">
        <v>41</v>
      </c>
      <c r="C45" s="3">
        <v>8154</v>
      </c>
      <c r="D45" s="3">
        <v>1149</v>
      </c>
      <c r="E45" s="3">
        <v>347090</v>
      </c>
      <c r="F45" s="3">
        <f>Table4_14[[#This Row],[New_Followers]]-Table4_14[[#This Row],[Unfollows]]</f>
        <v>7005</v>
      </c>
      <c r="G45" s="4">
        <v>2.0182085338096699E-2</v>
      </c>
      <c r="H45">
        <v>26.003918292085629</v>
      </c>
      <c r="I45" s="6">
        <v>37523</v>
      </c>
    </row>
    <row r="46" spans="1:12" x14ac:dyDescent="0.3">
      <c r="A46" s="5">
        <v>45523</v>
      </c>
      <c r="B46" t="s">
        <v>23</v>
      </c>
      <c r="C46" s="3">
        <v>7488</v>
      </c>
      <c r="D46" s="3">
        <v>568</v>
      </c>
      <c r="E46" s="3">
        <v>354010</v>
      </c>
      <c r="F46" s="3">
        <f>Table4_14[[#This Row],[New_Followers]]-Table4_14[[#This Row],[Unfollows]]</f>
        <v>6920</v>
      </c>
      <c r="G46" s="4">
        <v>1.9547470410440401E-2</v>
      </c>
      <c r="H46">
        <v>13.47730290104799</v>
      </c>
      <c r="I46" s="6">
        <v>46727</v>
      </c>
    </row>
    <row r="47" spans="1:12" x14ac:dyDescent="0.3">
      <c r="A47" s="5">
        <v>45523</v>
      </c>
      <c r="B47" t="s">
        <v>14</v>
      </c>
      <c r="C47" s="3">
        <v>5737</v>
      </c>
      <c r="D47" s="3">
        <v>666</v>
      </c>
      <c r="E47" s="3">
        <v>359081</v>
      </c>
      <c r="F47" s="3">
        <f>Table4_14[[#This Row],[New_Followers]]-Table4_14[[#This Row],[Unfollows]]</f>
        <v>5071</v>
      </c>
      <c r="G47" s="4">
        <v>1.4122161852061201E-2</v>
      </c>
      <c r="H47">
        <v>4.6034181702735593</v>
      </c>
      <c r="I47" s="6">
        <v>21005</v>
      </c>
    </row>
    <row r="48" spans="1:12" x14ac:dyDescent="0.3">
      <c r="A48" s="5">
        <v>45523</v>
      </c>
      <c r="B48" t="s">
        <v>23</v>
      </c>
      <c r="C48" s="3">
        <v>7525</v>
      </c>
      <c r="D48" s="3">
        <v>610</v>
      </c>
      <c r="E48" s="3">
        <v>365996</v>
      </c>
      <c r="F48" s="3">
        <f>Table4_14[[#This Row],[New_Followers]]-Table4_14[[#This Row],[Unfollows]]</f>
        <v>6915</v>
      </c>
      <c r="G48" s="4">
        <v>1.8893649110919199E-2</v>
      </c>
      <c r="H48">
        <v>5.7694619613329108</v>
      </c>
      <c r="I48" s="6">
        <v>53543</v>
      </c>
    </row>
    <row r="49" spans="1:9" x14ac:dyDescent="0.3">
      <c r="A49" s="5">
        <v>45523</v>
      </c>
      <c r="B49" t="s">
        <v>14</v>
      </c>
      <c r="C49" s="3">
        <v>4850</v>
      </c>
      <c r="D49" s="3">
        <v>494</v>
      </c>
      <c r="E49" s="3">
        <v>370352</v>
      </c>
      <c r="F49" s="3">
        <f>Table4_14[[#This Row],[New_Followers]]-Table4_14[[#This Row],[Unfollows]]</f>
        <v>4356</v>
      </c>
      <c r="G49" s="4">
        <v>1.1761783384455901E-2</v>
      </c>
      <c r="H49">
        <v>20.46539508359615</v>
      </c>
      <c r="I49" s="6">
        <v>10161</v>
      </c>
    </row>
    <row r="50" spans="1:9" x14ac:dyDescent="0.3">
      <c r="A50" s="5">
        <v>45530</v>
      </c>
      <c r="B50" t="s">
        <v>19</v>
      </c>
      <c r="C50" s="3">
        <v>1689</v>
      </c>
      <c r="D50" s="3">
        <v>176</v>
      </c>
      <c r="E50" s="3">
        <v>371865</v>
      </c>
      <c r="F50" s="3">
        <f>Table4_14[[#This Row],[New_Followers]]-Table4_14[[#This Row],[Unfollows]]</f>
        <v>1513</v>
      </c>
      <c r="G50" s="4">
        <v>4.0686808384763299E-3</v>
      </c>
      <c r="H50">
        <v>38.012181840183942</v>
      </c>
      <c r="I50" s="6">
        <v>26029</v>
      </c>
    </row>
    <row r="51" spans="1:9" x14ac:dyDescent="0.3">
      <c r="A51" s="5">
        <v>45530</v>
      </c>
      <c r="B51" t="s">
        <v>41</v>
      </c>
      <c r="C51" s="3">
        <v>6175</v>
      </c>
      <c r="D51" s="3">
        <v>422</v>
      </c>
      <c r="E51" s="3">
        <v>377618</v>
      </c>
      <c r="F51" s="3">
        <f>Table4_14[[#This Row],[New_Followers]]-Table4_14[[#This Row],[Unfollows]]</f>
        <v>5753</v>
      </c>
      <c r="G51" s="4">
        <v>1.5234972909130401E-2</v>
      </c>
      <c r="H51">
        <v>37.86101298137271</v>
      </c>
      <c r="I51" s="6">
        <v>59745</v>
      </c>
    </row>
    <row r="52" spans="1:9" x14ac:dyDescent="0.3">
      <c r="A52" s="5">
        <v>45530</v>
      </c>
      <c r="B52" t="s">
        <v>23</v>
      </c>
      <c r="C52" s="3">
        <v>9648</v>
      </c>
      <c r="D52" s="3">
        <v>1417</v>
      </c>
      <c r="E52" s="3">
        <v>385849</v>
      </c>
      <c r="F52" s="3">
        <f>Table4_14[[#This Row],[New_Followers]]-Table4_14[[#This Row],[Unfollows]]</f>
        <v>8231</v>
      </c>
      <c r="G52" s="4">
        <v>2.13321791685348E-2</v>
      </c>
      <c r="H52">
        <v>3.6633501706626168</v>
      </c>
      <c r="I52" s="6">
        <v>24226</v>
      </c>
    </row>
    <row r="53" spans="1:9" x14ac:dyDescent="0.3">
      <c r="A53" s="5">
        <v>45530</v>
      </c>
      <c r="B53" t="s">
        <v>14</v>
      </c>
      <c r="C53" s="3">
        <v>6078</v>
      </c>
      <c r="D53" s="3">
        <v>775</v>
      </c>
      <c r="E53" s="3">
        <v>391152</v>
      </c>
      <c r="F53" s="3">
        <f>Table4_14[[#This Row],[New_Followers]]-Table4_14[[#This Row],[Unfollows]]</f>
        <v>5303</v>
      </c>
      <c r="G53" s="4">
        <v>1.35573894547388E-2</v>
      </c>
      <c r="H53">
        <v>37.760512537325639</v>
      </c>
      <c r="I53" s="6">
        <v>38731</v>
      </c>
    </row>
    <row r="54" spans="1:9" x14ac:dyDescent="0.3">
      <c r="A54" s="5">
        <v>45537</v>
      </c>
      <c r="B54" t="s">
        <v>23</v>
      </c>
      <c r="C54" s="3">
        <v>6448</v>
      </c>
      <c r="D54" s="3">
        <v>928</v>
      </c>
      <c r="E54" s="3">
        <v>396672</v>
      </c>
      <c r="F54" s="3">
        <f>Table4_14[[#This Row],[New_Followers]]-Table4_14[[#This Row],[Unfollows]]</f>
        <v>5520</v>
      </c>
      <c r="G54" s="4">
        <v>1.3915779283639899E-2</v>
      </c>
      <c r="H54">
        <v>30.118586640851881</v>
      </c>
      <c r="I54" s="6">
        <v>53922</v>
      </c>
    </row>
    <row r="55" spans="1:9" x14ac:dyDescent="0.3">
      <c r="A55" s="5">
        <v>45537</v>
      </c>
      <c r="B55" t="s">
        <v>23</v>
      </c>
      <c r="C55" s="3">
        <v>2179</v>
      </c>
      <c r="D55" s="3">
        <v>303</v>
      </c>
      <c r="E55" s="3">
        <v>398548</v>
      </c>
      <c r="F55" s="3">
        <f>Table4_14[[#This Row],[New_Followers]]-Table4_14[[#This Row],[Unfollows]]</f>
        <v>1876</v>
      </c>
      <c r="G55" s="4">
        <v>4.7070867248110602E-3</v>
      </c>
      <c r="H55">
        <v>33.909842729106657</v>
      </c>
      <c r="I55" s="6">
        <v>54848</v>
      </c>
    </row>
    <row r="56" spans="1:9" x14ac:dyDescent="0.3">
      <c r="A56" s="5">
        <v>45537</v>
      </c>
      <c r="B56" t="s">
        <v>41</v>
      </c>
      <c r="C56" s="3">
        <v>7406</v>
      </c>
      <c r="D56" s="3">
        <v>813</v>
      </c>
      <c r="E56" s="3">
        <v>405141</v>
      </c>
      <c r="F56" s="3">
        <f>Table4_14[[#This Row],[New_Followers]]-Table4_14[[#This Row],[Unfollows]]</f>
        <v>6593</v>
      </c>
      <c r="G56" s="4">
        <v>1.62733468101229E-2</v>
      </c>
      <c r="H56">
        <v>24.457411123534769</v>
      </c>
      <c r="I56" s="6">
        <v>13390</v>
      </c>
    </row>
    <row r="57" spans="1:9" x14ac:dyDescent="0.3">
      <c r="A57" s="5">
        <v>45537</v>
      </c>
      <c r="B57" t="s">
        <v>19</v>
      </c>
      <c r="C57" s="3">
        <v>9591</v>
      </c>
      <c r="D57" s="3">
        <v>1363</v>
      </c>
      <c r="E57" s="3">
        <v>413369</v>
      </c>
      <c r="F57" s="3">
        <f>Table4_14[[#This Row],[New_Followers]]-Table4_14[[#This Row],[Unfollows]]</f>
        <v>8228</v>
      </c>
      <c r="G57" s="4">
        <v>1.9904734026983201E-2</v>
      </c>
      <c r="H57">
        <v>10.494255737609739</v>
      </c>
      <c r="I57" s="6">
        <v>15997</v>
      </c>
    </row>
    <row r="58" spans="1:9" x14ac:dyDescent="0.3">
      <c r="A58" s="5">
        <v>45544</v>
      </c>
      <c r="B58" t="s">
        <v>23</v>
      </c>
      <c r="C58" s="3">
        <v>7907</v>
      </c>
      <c r="D58" s="3">
        <v>465</v>
      </c>
      <c r="E58" s="3">
        <v>420811</v>
      </c>
      <c r="F58" s="3">
        <f>Table4_14[[#This Row],[New_Followers]]-Table4_14[[#This Row],[Unfollows]]</f>
        <v>7442</v>
      </c>
      <c r="G58" s="4">
        <v>1.76848989213685E-2</v>
      </c>
      <c r="H58">
        <v>33.257448118038738</v>
      </c>
      <c r="I58" s="6">
        <v>22693</v>
      </c>
    </row>
    <row r="59" spans="1:9" x14ac:dyDescent="0.3">
      <c r="A59" s="5">
        <v>45544</v>
      </c>
      <c r="B59" t="s">
        <v>14</v>
      </c>
      <c r="C59" s="3">
        <v>9800</v>
      </c>
      <c r="D59" s="3">
        <v>682</v>
      </c>
      <c r="E59" s="3">
        <v>429929</v>
      </c>
      <c r="F59" s="3">
        <f>Table4_14[[#This Row],[New_Followers]]-Table4_14[[#This Row],[Unfollows]]</f>
        <v>9118</v>
      </c>
      <c r="G59" s="4">
        <v>2.1208152974095701E-2</v>
      </c>
      <c r="H59">
        <v>6.2966210699906267</v>
      </c>
      <c r="I59" s="6">
        <v>59815</v>
      </c>
    </row>
    <row r="60" spans="1:9" x14ac:dyDescent="0.3">
      <c r="A60" s="5">
        <v>45544</v>
      </c>
      <c r="B60" t="s">
        <v>14</v>
      </c>
      <c r="C60" s="3">
        <v>2638</v>
      </c>
      <c r="D60" s="3">
        <v>143</v>
      </c>
      <c r="E60" s="3">
        <v>432424</v>
      </c>
      <c r="F60" s="3">
        <f>Table4_14[[#This Row],[New_Followers]]-Table4_14[[#This Row],[Unfollows]]</f>
        <v>2495</v>
      </c>
      <c r="G60" s="4">
        <v>5.76980001110022E-3</v>
      </c>
      <c r="H60">
        <v>6.9547481175882924</v>
      </c>
      <c r="I60" s="6">
        <v>52092</v>
      </c>
    </row>
    <row r="61" spans="1:9" x14ac:dyDescent="0.3">
      <c r="A61" s="5">
        <v>45544</v>
      </c>
      <c r="B61" t="s">
        <v>19</v>
      </c>
      <c r="C61" s="3">
        <v>6671</v>
      </c>
      <c r="D61" s="3">
        <v>550</v>
      </c>
      <c r="E61" s="3">
        <v>438545</v>
      </c>
      <c r="F61" s="3">
        <f>Table4_14[[#This Row],[New_Followers]]-Table4_14[[#This Row],[Unfollows]]</f>
        <v>6121</v>
      </c>
      <c r="G61" s="4">
        <v>1.3957518612685099E-2</v>
      </c>
      <c r="H61">
        <v>17.750287883797562</v>
      </c>
      <c r="I61" s="6">
        <v>10541</v>
      </c>
    </row>
    <row r="62" spans="1:9" x14ac:dyDescent="0.3">
      <c r="A62" s="5">
        <v>45551</v>
      </c>
      <c r="B62" t="s">
        <v>14</v>
      </c>
      <c r="C62" s="3">
        <v>7928</v>
      </c>
      <c r="D62" s="3">
        <v>704</v>
      </c>
      <c r="E62" s="3">
        <v>445769</v>
      </c>
      <c r="F62" s="3">
        <f>Table4_14[[#This Row],[New_Followers]]-Table4_14[[#This Row],[Unfollows]]</f>
        <v>7224</v>
      </c>
      <c r="G62" s="4">
        <v>1.6205702953772001E-2</v>
      </c>
      <c r="H62">
        <v>11.194362999670229</v>
      </c>
      <c r="I62" s="6">
        <v>31817</v>
      </c>
    </row>
    <row r="63" spans="1:9" x14ac:dyDescent="0.3">
      <c r="A63" s="5">
        <v>45551</v>
      </c>
      <c r="B63" t="s">
        <v>19</v>
      </c>
      <c r="C63" s="3">
        <v>2382</v>
      </c>
      <c r="D63" s="3">
        <v>183</v>
      </c>
      <c r="E63" s="3">
        <v>447968</v>
      </c>
      <c r="F63" s="3">
        <f>Table4_14[[#This Row],[New_Followers]]-Table4_14[[#This Row],[Unfollows]]</f>
        <v>2199</v>
      </c>
      <c r="G63" s="4">
        <v>4.9088327737695503E-3</v>
      </c>
      <c r="H63">
        <v>4.7335970426459033</v>
      </c>
      <c r="I63" s="6">
        <v>47861</v>
      </c>
    </row>
    <row r="64" spans="1:9" x14ac:dyDescent="0.3">
      <c r="A64" s="5">
        <v>45551</v>
      </c>
      <c r="B64" t="s">
        <v>14</v>
      </c>
      <c r="C64" s="3">
        <v>2403</v>
      </c>
      <c r="D64" s="3">
        <v>319</v>
      </c>
      <c r="E64" s="3">
        <v>450052</v>
      </c>
      <c r="F64" s="3">
        <f>Table4_14[[#This Row],[New_Followers]]-Table4_14[[#This Row],[Unfollows]]</f>
        <v>2084</v>
      </c>
      <c r="G64" s="4">
        <v>4.63057602232631E-3</v>
      </c>
      <c r="H64">
        <v>29.92120910472568</v>
      </c>
      <c r="I64" s="6">
        <v>23428</v>
      </c>
    </row>
    <row r="65" spans="1:9" x14ac:dyDescent="0.3">
      <c r="A65" s="5">
        <v>45551</v>
      </c>
      <c r="B65" t="s">
        <v>41</v>
      </c>
      <c r="C65" s="3">
        <v>4292</v>
      </c>
      <c r="D65" s="3">
        <v>367</v>
      </c>
      <c r="E65" s="3">
        <v>453977</v>
      </c>
      <c r="F65" s="3">
        <f>Table4_14[[#This Row],[New_Followers]]-Table4_14[[#This Row],[Unfollows]]</f>
        <v>3925</v>
      </c>
      <c r="G65" s="4">
        <v>8.6458124530537899E-3</v>
      </c>
      <c r="H65">
        <v>3.5037017293827661</v>
      </c>
      <c r="I65" s="6">
        <v>53934</v>
      </c>
    </row>
    <row r="66" spans="1:9" x14ac:dyDescent="0.3">
      <c r="A66" s="5">
        <v>45558</v>
      </c>
      <c r="B66" t="s">
        <v>23</v>
      </c>
      <c r="C66" s="3">
        <v>1419</v>
      </c>
      <c r="D66" s="3">
        <v>110</v>
      </c>
      <c r="E66" s="3">
        <v>455286</v>
      </c>
      <c r="F66" s="3">
        <f>Table4_14[[#This Row],[New_Followers]]-Table4_14[[#This Row],[Unfollows]]</f>
        <v>1309</v>
      </c>
      <c r="G66" s="4">
        <v>2.8751158612388699E-3</v>
      </c>
      <c r="H66">
        <v>31.554451487636339</v>
      </c>
      <c r="I66" s="6">
        <v>58831</v>
      </c>
    </row>
    <row r="67" spans="1:9" x14ac:dyDescent="0.3">
      <c r="A67" s="5">
        <v>45558</v>
      </c>
      <c r="B67" t="s">
        <v>41</v>
      </c>
      <c r="C67" s="3">
        <v>5517</v>
      </c>
      <c r="D67" s="3">
        <v>575</v>
      </c>
      <c r="E67" s="3">
        <v>460228</v>
      </c>
      <c r="F67" s="3">
        <f>Table4_14[[#This Row],[New_Followers]]-Table4_14[[#This Row],[Unfollows]]</f>
        <v>4942</v>
      </c>
      <c r="G67" s="4">
        <v>1.07381558705685E-2</v>
      </c>
      <c r="H67">
        <v>29.45844233727631</v>
      </c>
      <c r="I67" s="6">
        <v>20258</v>
      </c>
    </row>
    <row r="68" spans="1:9" x14ac:dyDescent="0.3">
      <c r="A68" s="5">
        <v>45558</v>
      </c>
      <c r="B68" t="s">
        <v>23</v>
      </c>
      <c r="C68" s="3">
        <v>4302</v>
      </c>
      <c r="D68" s="3">
        <v>275</v>
      </c>
      <c r="E68" s="3">
        <v>464255</v>
      </c>
      <c r="F68" s="3">
        <f>Table4_14[[#This Row],[New_Followers]]-Table4_14[[#This Row],[Unfollows]]</f>
        <v>4027</v>
      </c>
      <c r="G68" s="4">
        <v>8.6741122874282404E-3</v>
      </c>
      <c r="H68">
        <v>15.72131694865968</v>
      </c>
      <c r="I68" s="6">
        <v>26044</v>
      </c>
    </row>
    <row r="69" spans="1:9" x14ac:dyDescent="0.3">
      <c r="A69" s="5">
        <v>45558</v>
      </c>
      <c r="B69" t="s">
        <v>23</v>
      </c>
      <c r="C69" s="3">
        <v>8857</v>
      </c>
      <c r="D69" s="3">
        <v>1153</v>
      </c>
      <c r="E69" s="3">
        <v>471959</v>
      </c>
      <c r="F69" s="3">
        <f>Table4_14[[#This Row],[New_Followers]]-Table4_14[[#This Row],[Unfollows]]</f>
        <v>7704</v>
      </c>
      <c r="G69" s="4">
        <v>1.6323451825264498E-2</v>
      </c>
      <c r="H69">
        <v>19.214592793018038</v>
      </c>
      <c r="I69" s="6">
        <v>39411</v>
      </c>
    </row>
    <row r="70" spans="1:9" x14ac:dyDescent="0.3">
      <c r="A70" s="5">
        <v>45565</v>
      </c>
      <c r="B70" t="s">
        <v>23</v>
      </c>
      <c r="C70" s="3">
        <v>8870</v>
      </c>
      <c r="D70" s="3">
        <v>509</v>
      </c>
      <c r="E70" s="3">
        <v>480320</v>
      </c>
      <c r="F70" s="3">
        <f>Table4_14[[#This Row],[New_Followers]]-Table4_14[[#This Row],[Unfollows]]</f>
        <v>8361</v>
      </c>
      <c r="G70" s="4">
        <v>1.7407145236508999E-2</v>
      </c>
      <c r="H70">
        <v>25.077864756828781</v>
      </c>
      <c r="I70" s="6">
        <v>15469</v>
      </c>
    </row>
    <row r="71" spans="1:9" x14ac:dyDescent="0.3">
      <c r="A71" s="5">
        <v>45565</v>
      </c>
      <c r="B71" t="s">
        <v>41</v>
      </c>
      <c r="C71" s="3">
        <v>6693</v>
      </c>
      <c r="D71" s="3">
        <v>995</v>
      </c>
      <c r="E71" s="3">
        <v>486018</v>
      </c>
      <c r="F71" s="3">
        <f>Table4_14[[#This Row],[New_Followers]]-Table4_14[[#This Row],[Unfollows]]</f>
        <v>5698</v>
      </c>
      <c r="G71" s="4">
        <v>1.1723845618886499E-2</v>
      </c>
      <c r="H71">
        <v>23.761877132122681</v>
      </c>
      <c r="I71" s="6">
        <v>38854</v>
      </c>
    </row>
    <row r="72" spans="1:9" x14ac:dyDescent="0.3">
      <c r="A72" s="5">
        <v>45565</v>
      </c>
      <c r="B72" t="s">
        <v>23</v>
      </c>
      <c r="C72" s="3">
        <v>1767</v>
      </c>
      <c r="D72" s="3">
        <v>224</v>
      </c>
      <c r="E72" s="3">
        <v>487561</v>
      </c>
      <c r="F72" s="3">
        <f>Table4_14[[#This Row],[New_Followers]]-Table4_14[[#This Row],[Unfollows]]</f>
        <v>1543</v>
      </c>
      <c r="G72" s="4">
        <v>3.1647322078673201E-3</v>
      </c>
      <c r="H72">
        <v>13.208603641390511</v>
      </c>
      <c r="I72" s="6">
        <v>16256</v>
      </c>
    </row>
    <row r="73" spans="1:9" x14ac:dyDescent="0.3">
      <c r="A73" s="5">
        <v>45565</v>
      </c>
      <c r="B73" t="s">
        <v>41</v>
      </c>
      <c r="C73" s="3">
        <v>3044</v>
      </c>
      <c r="D73" s="3">
        <v>212</v>
      </c>
      <c r="E73" s="3">
        <v>490393</v>
      </c>
      <c r="F73" s="3">
        <f>Table4_14[[#This Row],[New_Followers]]-Table4_14[[#This Row],[Unfollows]]</f>
        <v>2832</v>
      </c>
      <c r="G73" s="4">
        <v>5.7749600830354396E-3</v>
      </c>
      <c r="H73">
        <v>8.5343795690395261</v>
      </c>
      <c r="I73" s="6">
        <v>20720</v>
      </c>
    </row>
    <row r="74" spans="1:9" x14ac:dyDescent="0.3">
      <c r="A74" s="5">
        <v>45572</v>
      </c>
      <c r="B74" t="s">
        <v>19</v>
      </c>
      <c r="C74" s="3">
        <v>2549</v>
      </c>
      <c r="D74" s="3">
        <v>128</v>
      </c>
      <c r="E74" s="3">
        <v>492814</v>
      </c>
      <c r="F74" s="3">
        <f>Table4_14[[#This Row],[New_Followers]]-Table4_14[[#This Row],[Unfollows]]</f>
        <v>2421</v>
      </c>
      <c r="G74" s="4">
        <v>4.9126039438814597E-3</v>
      </c>
      <c r="H74">
        <v>12.734216154573531</v>
      </c>
      <c r="I74" s="6">
        <v>43937</v>
      </c>
    </row>
    <row r="75" spans="1:9" x14ac:dyDescent="0.3">
      <c r="A75" s="5">
        <v>45572</v>
      </c>
      <c r="B75" t="s">
        <v>14</v>
      </c>
      <c r="C75" s="3">
        <v>7140</v>
      </c>
      <c r="D75" s="3">
        <v>939</v>
      </c>
      <c r="E75" s="3">
        <v>499015</v>
      </c>
      <c r="F75" s="3">
        <f>Table4_14[[#This Row],[New_Followers]]-Table4_14[[#This Row],[Unfollows]]</f>
        <v>6201</v>
      </c>
      <c r="G75" s="4">
        <v>1.2426480165926901E-2</v>
      </c>
      <c r="H75">
        <v>25.120888149654821</v>
      </c>
      <c r="I75" s="6">
        <v>43598</v>
      </c>
    </row>
    <row r="76" spans="1:9" x14ac:dyDescent="0.3">
      <c r="A76" s="5">
        <v>45572</v>
      </c>
      <c r="B76" t="s">
        <v>14</v>
      </c>
      <c r="C76" s="3">
        <v>4716</v>
      </c>
      <c r="D76" s="3">
        <v>569</v>
      </c>
      <c r="E76" s="3">
        <v>503162</v>
      </c>
      <c r="F76" s="3">
        <f>Table4_14[[#This Row],[New_Followers]]-Table4_14[[#This Row],[Unfollows]]</f>
        <v>4147</v>
      </c>
      <c r="G76" s="4">
        <v>8.2418783612434997E-3</v>
      </c>
      <c r="H76">
        <v>25.64820077827817</v>
      </c>
      <c r="I76" s="6">
        <v>11651</v>
      </c>
    </row>
    <row r="77" spans="1:9" x14ac:dyDescent="0.3">
      <c r="A77" s="5">
        <v>45572</v>
      </c>
      <c r="B77" t="s">
        <v>23</v>
      </c>
      <c r="C77" s="3">
        <v>5481</v>
      </c>
      <c r="D77" s="3">
        <v>673</v>
      </c>
      <c r="E77" s="3">
        <v>507970</v>
      </c>
      <c r="F77" s="3">
        <f>Table4_14[[#This Row],[New_Followers]]-Table4_14[[#This Row],[Unfollows]]</f>
        <v>4808</v>
      </c>
      <c r="G77" s="4">
        <v>9.4651258932614106E-3</v>
      </c>
      <c r="H77">
        <v>13.08758391243577</v>
      </c>
      <c r="I77" s="6">
        <v>29194</v>
      </c>
    </row>
    <row r="78" spans="1:9" x14ac:dyDescent="0.3">
      <c r="A78" s="5">
        <v>45579</v>
      </c>
      <c r="B78" t="s">
        <v>41</v>
      </c>
      <c r="C78" s="3">
        <v>8898</v>
      </c>
      <c r="D78" s="3">
        <v>1131</v>
      </c>
      <c r="E78" s="3">
        <v>515737</v>
      </c>
      <c r="F78" s="3">
        <f>Table4_14[[#This Row],[New_Followers]]-Table4_14[[#This Row],[Unfollows]]</f>
        <v>7767</v>
      </c>
      <c r="G78" s="4">
        <v>1.50600015123988E-2</v>
      </c>
      <c r="H78">
        <v>2.1877429775253669</v>
      </c>
      <c r="I78" s="6">
        <v>35051</v>
      </c>
    </row>
    <row r="79" spans="1:9" x14ac:dyDescent="0.3">
      <c r="A79" s="5">
        <v>45579</v>
      </c>
      <c r="B79" t="s">
        <v>14</v>
      </c>
      <c r="C79" s="3">
        <v>7548</v>
      </c>
      <c r="D79" s="3">
        <v>433</v>
      </c>
      <c r="E79" s="3">
        <v>522852</v>
      </c>
      <c r="F79" s="3">
        <f>Table4_14[[#This Row],[New_Followers]]-Table4_14[[#This Row],[Unfollows]]</f>
        <v>7115</v>
      </c>
      <c r="G79" s="4">
        <v>1.36080573470122E-2</v>
      </c>
      <c r="H79">
        <v>8.3562843787534522</v>
      </c>
      <c r="I79" s="6">
        <v>37386</v>
      </c>
    </row>
    <row r="80" spans="1:9" x14ac:dyDescent="0.3">
      <c r="A80" s="5">
        <v>45579</v>
      </c>
      <c r="B80" t="s">
        <v>41</v>
      </c>
      <c r="C80" s="3">
        <v>3293</v>
      </c>
      <c r="D80" s="3">
        <v>282</v>
      </c>
      <c r="E80" s="3">
        <v>525863</v>
      </c>
      <c r="F80" s="3">
        <f>Table4_14[[#This Row],[New_Followers]]-Table4_14[[#This Row],[Unfollows]]</f>
        <v>3011</v>
      </c>
      <c r="G80" s="4">
        <v>5.7258259280459E-3</v>
      </c>
      <c r="H80">
        <v>27.040693108281051</v>
      </c>
      <c r="I80" s="6">
        <v>19518</v>
      </c>
    </row>
    <row r="81" spans="1:9" x14ac:dyDescent="0.3">
      <c r="A81" s="5">
        <v>45579</v>
      </c>
      <c r="B81" t="s">
        <v>41</v>
      </c>
      <c r="C81" s="3">
        <v>5837</v>
      </c>
      <c r="D81" s="3">
        <v>359</v>
      </c>
      <c r="E81" s="3">
        <v>531341</v>
      </c>
      <c r="F81" s="3">
        <f>Table4_14[[#This Row],[New_Followers]]-Table4_14[[#This Row],[Unfollows]]</f>
        <v>5478</v>
      </c>
      <c r="G81" s="4">
        <v>1.03097634099383E-2</v>
      </c>
      <c r="H81">
        <v>6.8073045370110723</v>
      </c>
      <c r="I81" s="6">
        <v>56026</v>
      </c>
    </row>
    <row r="82" spans="1:9" x14ac:dyDescent="0.3">
      <c r="A82" s="5">
        <v>45586</v>
      </c>
      <c r="B82" t="s">
        <v>23</v>
      </c>
      <c r="C82" s="3">
        <v>8758</v>
      </c>
      <c r="D82" s="3">
        <v>1193</v>
      </c>
      <c r="E82" s="3">
        <v>538906</v>
      </c>
      <c r="F82" s="3">
        <f>Table4_14[[#This Row],[New_Followers]]-Table4_14[[#This Row],[Unfollows]]</f>
        <v>7565</v>
      </c>
      <c r="G82" s="4">
        <v>1.40376985967868E-2</v>
      </c>
      <c r="H82">
        <v>3.4213758985797149</v>
      </c>
      <c r="I82" s="6">
        <v>26184</v>
      </c>
    </row>
    <row r="83" spans="1:9" x14ac:dyDescent="0.3">
      <c r="A83" s="5">
        <v>45586</v>
      </c>
      <c r="B83" t="s">
        <v>14</v>
      </c>
      <c r="C83" s="3">
        <v>7793</v>
      </c>
      <c r="D83" s="3">
        <v>875</v>
      </c>
      <c r="E83" s="3">
        <v>545824</v>
      </c>
      <c r="F83" s="3">
        <f>Table4_14[[#This Row],[New_Followers]]-Table4_14[[#This Row],[Unfollows]]</f>
        <v>6918</v>
      </c>
      <c r="G83" s="4">
        <v>1.26744151961072E-2</v>
      </c>
      <c r="H83">
        <v>5.5136820660139527</v>
      </c>
      <c r="I83" s="6">
        <v>43787</v>
      </c>
    </row>
    <row r="84" spans="1:9" x14ac:dyDescent="0.3">
      <c r="A84" s="5">
        <v>45586</v>
      </c>
      <c r="B84" t="s">
        <v>23</v>
      </c>
      <c r="C84" s="3">
        <v>8638</v>
      </c>
      <c r="D84" s="3">
        <v>717</v>
      </c>
      <c r="E84" s="3">
        <v>553745</v>
      </c>
      <c r="F84" s="3">
        <f>Table4_14[[#This Row],[New_Followers]]-Table4_14[[#This Row],[Unfollows]]</f>
        <v>7921</v>
      </c>
      <c r="G84" s="4">
        <v>1.4304418098583301E-2</v>
      </c>
      <c r="H84">
        <v>26.921416897669499</v>
      </c>
      <c r="I84" s="6">
        <v>31621</v>
      </c>
    </row>
    <row r="85" spans="1:9" x14ac:dyDescent="0.3">
      <c r="A85" s="5">
        <v>45586</v>
      </c>
      <c r="B85" t="s">
        <v>23</v>
      </c>
      <c r="C85" s="3">
        <v>8993</v>
      </c>
      <c r="D85" s="3">
        <v>506</v>
      </c>
      <c r="E85" s="3">
        <v>562232</v>
      </c>
      <c r="F85" s="3">
        <f>Table4_14[[#This Row],[New_Followers]]-Table4_14[[#This Row],[Unfollows]]</f>
        <v>8487</v>
      </c>
      <c r="G85" s="4">
        <v>1.5095192020375899E-2</v>
      </c>
      <c r="H85">
        <v>3.5131404829323132</v>
      </c>
      <c r="I85" s="6">
        <v>20028</v>
      </c>
    </row>
    <row r="86" spans="1:9" x14ac:dyDescent="0.3">
      <c r="A86" s="5">
        <v>45593</v>
      </c>
      <c r="B86" t="s">
        <v>14</v>
      </c>
      <c r="C86" s="3">
        <v>7007</v>
      </c>
      <c r="D86" s="3">
        <v>568</v>
      </c>
      <c r="E86" s="3">
        <v>568671</v>
      </c>
      <c r="F86" s="3">
        <f>Table4_14[[#This Row],[New_Followers]]-Table4_14[[#This Row],[Unfollows]]</f>
        <v>6439</v>
      </c>
      <c r="G86" s="4">
        <v>1.13228914433829E-2</v>
      </c>
      <c r="H86">
        <v>11.50507059442103</v>
      </c>
      <c r="I86" s="6">
        <v>22448</v>
      </c>
    </row>
    <row r="87" spans="1:9" x14ac:dyDescent="0.3">
      <c r="A87" s="5">
        <v>45593</v>
      </c>
      <c r="B87" t="s">
        <v>14</v>
      </c>
      <c r="C87" s="3">
        <v>6542</v>
      </c>
      <c r="D87" s="3">
        <v>539</v>
      </c>
      <c r="E87" s="3">
        <v>574674</v>
      </c>
      <c r="F87" s="3">
        <f>Table4_14[[#This Row],[New_Followers]]-Table4_14[[#This Row],[Unfollows]]</f>
        <v>6003</v>
      </c>
      <c r="G87" s="4">
        <v>1.04459223838211E-2</v>
      </c>
      <c r="H87">
        <v>6.4069368024305948</v>
      </c>
      <c r="I87" s="6">
        <v>55253</v>
      </c>
    </row>
    <row r="88" spans="1:9" x14ac:dyDescent="0.3">
      <c r="A88" s="5">
        <v>45593</v>
      </c>
      <c r="B88" t="s">
        <v>19</v>
      </c>
      <c r="C88" s="3">
        <v>7356</v>
      </c>
      <c r="D88" s="3">
        <v>904</v>
      </c>
      <c r="E88" s="3">
        <v>581126</v>
      </c>
      <c r="F88" s="3">
        <f>Table4_14[[#This Row],[New_Followers]]-Table4_14[[#This Row],[Unfollows]]</f>
        <v>6452</v>
      </c>
      <c r="G88" s="4">
        <v>1.1102583604932501E-2</v>
      </c>
      <c r="H88">
        <v>17.560907617280929</v>
      </c>
      <c r="I88" s="6">
        <v>44051</v>
      </c>
    </row>
    <row r="89" spans="1:9" x14ac:dyDescent="0.3">
      <c r="A89" s="5">
        <v>45593</v>
      </c>
      <c r="B89" t="s">
        <v>19</v>
      </c>
      <c r="C89" s="3">
        <v>9433</v>
      </c>
      <c r="D89" s="3">
        <v>1073</v>
      </c>
      <c r="E89" s="3">
        <v>589486</v>
      </c>
      <c r="F89" s="3">
        <f>Table4_14[[#This Row],[New_Followers]]-Table4_14[[#This Row],[Unfollows]]</f>
        <v>8360</v>
      </c>
      <c r="G89" s="4">
        <v>1.4181846557848699E-2</v>
      </c>
      <c r="H89">
        <v>7.2934726185185053</v>
      </c>
      <c r="I89" s="6">
        <v>59811</v>
      </c>
    </row>
    <row r="90" spans="1:9" x14ac:dyDescent="0.3">
      <c r="A90" s="5">
        <v>45600</v>
      </c>
      <c r="B90" t="s">
        <v>41</v>
      </c>
      <c r="C90" s="3">
        <v>8380</v>
      </c>
      <c r="D90" s="3">
        <v>1162</v>
      </c>
      <c r="E90" s="3">
        <v>596704</v>
      </c>
      <c r="F90" s="3">
        <f>Table4_14[[#This Row],[New_Followers]]-Table4_14[[#This Row],[Unfollows]]</f>
        <v>7218</v>
      </c>
      <c r="G90" s="4">
        <v>1.2096449831072E-2</v>
      </c>
      <c r="H90">
        <v>18.05853488496809</v>
      </c>
      <c r="I90" s="6">
        <v>40447</v>
      </c>
    </row>
    <row r="91" spans="1:9" x14ac:dyDescent="0.3">
      <c r="A91" s="5">
        <v>45600</v>
      </c>
      <c r="B91" t="s">
        <v>14</v>
      </c>
      <c r="C91" s="3">
        <v>3385</v>
      </c>
      <c r="D91" s="3">
        <v>329</v>
      </c>
      <c r="E91" s="3">
        <v>599760</v>
      </c>
      <c r="F91" s="3">
        <f>Table4_14[[#This Row],[New_Followers]]-Table4_14[[#This Row],[Unfollows]]</f>
        <v>3056</v>
      </c>
      <c r="G91" s="4">
        <v>5.0953714819261002E-3</v>
      </c>
      <c r="H91">
        <v>17.61788048552755</v>
      </c>
      <c r="I91" s="6">
        <v>28394</v>
      </c>
    </row>
    <row r="92" spans="1:9" x14ac:dyDescent="0.3">
      <c r="A92" s="5">
        <v>45600</v>
      </c>
      <c r="B92" t="s">
        <v>19</v>
      </c>
      <c r="C92" s="3">
        <v>5268</v>
      </c>
      <c r="D92" s="3">
        <v>326</v>
      </c>
      <c r="E92" s="3">
        <v>604702</v>
      </c>
      <c r="F92" s="3">
        <f>Table4_14[[#This Row],[New_Followers]]-Table4_14[[#This Row],[Unfollows]]</f>
        <v>4942</v>
      </c>
      <c r="G92" s="4">
        <v>8.17262056351724E-3</v>
      </c>
      <c r="H92">
        <v>23.435841125050029</v>
      </c>
      <c r="I92" s="6">
        <v>44501</v>
      </c>
    </row>
    <row r="93" spans="1:9" x14ac:dyDescent="0.3">
      <c r="A93" s="5">
        <v>45600</v>
      </c>
      <c r="B93" t="s">
        <v>41</v>
      </c>
      <c r="C93" s="3">
        <v>1671</v>
      </c>
      <c r="D93" s="3">
        <v>202</v>
      </c>
      <c r="E93" s="3">
        <v>606171</v>
      </c>
      <c r="F93" s="3">
        <f>Table4_14[[#This Row],[New_Followers]]-Table4_14[[#This Row],[Unfollows]]</f>
        <v>1469</v>
      </c>
      <c r="G93" s="4">
        <v>2.42340857612786E-3</v>
      </c>
      <c r="H93">
        <v>15.150015424690389</v>
      </c>
      <c r="I93" s="6">
        <v>40254</v>
      </c>
    </row>
    <row r="94" spans="1:9" x14ac:dyDescent="0.3">
      <c r="A94" s="5">
        <v>45607</v>
      </c>
      <c r="B94" t="s">
        <v>41</v>
      </c>
      <c r="C94" s="3">
        <v>1163</v>
      </c>
      <c r="D94" s="3">
        <v>146</v>
      </c>
      <c r="E94" s="3">
        <v>607188</v>
      </c>
      <c r="F94" s="3">
        <f>Table4_14[[#This Row],[New_Followers]]-Table4_14[[#This Row],[Unfollows]]</f>
        <v>1017</v>
      </c>
      <c r="G94" s="4">
        <v>1.6749342872388799E-3</v>
      </c>
      <c r="H94">
        <v>21.77776899411715</v>
      </c>
      <c r="I94" s="6">
        <v>28509</v>
      </c>
    </row>
    <row r="95" spans="1:9" x14ac:dyDescent="0.3">
      <c r="A95" s="5">
        <v>45607</v>
      </c>
      <c r="B95" t="s">
        <v>41</v>
      </c>
      <c r="C95" s="3">
        <v>9656</v>
      </c>
      <c r="D95" s="3">
        <v>1024</v>
      </c>
      <c r="E95" s="3">
        <v>615820</v>
      </c>
      <c r="F95" s="3">
        <f>Table4_14[[#This Row],[New_Followers]]-Table4_14[[#This Row],[Unfollows]]</f>
        <v>8632</v>
      </c>
      <c r="G95" s="4">
        <v>1.40170829138385E-2</v>
      </c>
      <c r="H95">
        <v>8.7252768666168681</v>
      </c>
      <c r="I95" s="6">
        <v>58998</v>
      </c>
    </row>
    <row r="96" spans="1:9" x14ac:dyDescent="0.3">
      <c r="A96" s="5">
        <v>45607</v>
      </c>
      <c r="B96" t="s">
        <v>19</v>
      </c>
      <c r="C96" s="3">
        <v>5592</v>
      </c>
      <c r="D96" s="3">
        <v>710</v>
      </c>
      <c r="E96" s="3">
        <v>620702</v>
      </c>
      <c r="F96" s="3">
        <f>Table4_14[[#This Row],[New_Followers]]-Table4_14[[#This Row],[Unfollows]]</f>
        <v>4882</v>
      </c>
      <c r="G96" s="4">
        <v>7.86528801260508E-3</v>
      </c>
      <c r="H96">
        <v>9.07118069540617</v>
      </c>
      <c r="I96" s="6">
        <v>24472</v>
      </c>
    </row>
    <row r="97" spans="1:9" x14ac:dyDescent="0.3">
      <c r="A97" s="5">
        <v>45607</v>
      </c>
      <c r="B97" t="s">
        <v>14</v>
      </c>
      <c r="C97" s="3">
        <v>5795</v>
      </c>
      <c r="D97" s="3">
        <v>575</v>
      </c>
      <c r="E97" s="3">
        <v>625922</v>
      </c>
      <c r="F97" s="3">
        <f>Table4_14[[#This Row],[New_Followers]]-Table4_14[[#This Row],[Unfollows]]</f>
        <v>5220</v>
      </c>
      <c r="G97" s="4">
        <v>8.3396972785746391E-3</v>
      </c>
      <c r="H97">
        <v>3.0908004511744269</v>
      </c>
      <c r="I97" s="6">
        <v>55657</v>
      </c>
    </row>
    <row r="98" spans="1:9" x14ac:dyDescent="0.3">
      <c r="A98" s="5">
        <v>45614</v>
      </c>
      <c r="B98" t="s">
        <v>23</v>
      </c>
      <c r="C98" s="3">
        <v>5798</v>
      </c>
      <c r="D98" s="3">
        <v>592</v>
      </c>
      <c r="E98" s="3">
        <v>631128</v>
      </c>
      <c r="F98" s="3">
        <f>Table4_14[[#This Row],[New_Followers]]-Table4_14[[#This Row],[Unfollows]]</f>
        <v>5206</v>
      </c>
      <c r="G98" s="4">
        <v>8.2487229214992797E-3</v>
      </c>
      <c r="H98">
        <v>1.6774727155188811</v>
      </c>
      <c r="I98" s="6">
        <v>13471</v>
      </c>
    </row>
    <row r="99" spans="1:9" x14ac:dyDescent="0.3">
      <c r="A99" s="5">
        <v>45614</v>
      </c>
      <c r="B99" t="s">
        <v>41</v>
      </c>
      <c r="C99" s="3">
        <v>7036</v>
      </c>
      <c r="D99" s="3">
        <v>652</v>
      </c>
      <c r="E99" s="3">
        <v>637512</v>
      </c>
      <c r="F99" s="3">
        <f>Table4_14[[#This Row],[New_Followers]]-Table4_14[[#This Row],[Unfollows]]</f>
        <v>6384</v>
      </c>
      <c r="G99" s="4">
        <v>1.00139291495689E-2</v>
      </c>
      <c r="H99">
        <v>3.5705994553828009</v>
      </c>
      <c r="I99" s="6">
        <v>51796</v>
      </c>
    </row>
    <row r="100" spans="1:9" x14ac:dyDescent="0.3">
      <c r="A100" s="5">
        <v>45614</v>
      </c>
      <c r="B100" t="s">
        <v>19</v>
      </c>
      <c r="C100" s="3">
        <v>3355</v>
      </c>
      <c r="D100" s="3">
        <v>176</v>
      </c>
      <c r="E100" s="3">
        <v>640691</v>
      </c>
      <c r="F100" s="3">
        <f>Table4_14[[#This Row],[New_Followers]]-Table4_14[[#This Row],[Unfollows]]</f>
        <v>3179</v>
      </c>
      <c r="G100" s="4">
        <v>4.96183027387618E-3</v>
      </c>
      <c r="H100">
        <v>12.426427091999111</v>
      </c>
      <c r="I100" s="6">
        <v>40268</v>
      </c>
    </row>
    <row r="101" spans="1:9" x14ac:dyDescent="0.3">
      <c r="A101" s="5">
        <v>45614</v>
      </c>
      <c r="B101" t="s">
        <v>19</v>
      </c>
      <c r="C101" s="3">
        <v>6887</v>
      </c>
      <c r="D101" s="3">
        <v>418</v>
      </c>
      <c r="E101" s="3">
        <v>647160</v>
      </c>
      <c r="F101" s="3">
        <f>Table4_14[[#This Row],[New_Followers]]-Table4_14[[#This Row],[Unfollows]]</f>
        <v>6469</v>
      </c>
      <c r="G101" s="4">
        <v>9.9959824463811096E-3</v>
      </c>
      <c r="H101">
        <v>20.240280610668151</v>
      </c>
      <c r="I101" s="6">
        <v>18329</v>
      </c>
    </row>
    <row r="102" spans="1:9" x14ac:dyDescent="0.3">
      <c r="A102" s="5">
        <v>45621</v>
      </c>
      <c r="B102" t="s">
        <v>23</v>
      </c>
      <c r="C102" s="3">
        <v>8961</v>
      </c>
      <c r="D102" s="3">
        <v>476</v>
      </c>
      <c r="E102" s="3">
        <v>655645</v>
      </c>
      <c r="F102" s="3">
        <f>Table4_14[[#This Row],[New_Followers]]-Table4_14[[#This Row],[Unfollows]]</f>
        <v>8485</v>
      </c>
      <c r="G102" s="4">
        <v>1.29414545981438E-2</v>
      </c>
      <c r="H102">
        <v>15.458517947974901</v>
      </c>
      <c r="I102" s="6">
        <v>44865</v>
      </c>
    </row>
    <row r="103" spans="1:9" x14ac:dyDescent="0.3">
      <c r="A103" s="5">
        <v>45621</v>
      </c>
      <c r="B103" t="s">
        <v>23</v>
      </c>
      <c r="C103" s="3">
        <v>6827</v>
      </c>
      <c r="D103" s="3">
        <v>775</v>
      </c>
      <c r="E103" s="3">
        <v>661697</v>
      </c>
      <c r="F103" s="3">
        <f>Table4_14[[#This Row],[New_Followers]]-Table4_14[[#This Row],[Unfollows]]</f>
        <v>6052</v>
      </c>
      <c r="G103" s="4">
        <v>9.1461802003031598E-3</v>
      </c>
      <c r="H103">
        <v>15.96622018839439</v>
      </c>
      <c r="I103" s="6">
        <v>56850</v>
      </c>
    </row>
    <row r="104" spans="1:9" x14ac:dyDescent="0.3">
      <c r="A104" s="5">
        <v>45621</v>
      </c>
      <c r="B104" t="s">
        <v>19</v>
      </c>
      <c r="C104" s="3">
        <v>9737</v>
      </c>
      <c r="D104" s="3">
        <v>792</v>
      </c>
      <c r="E104" s="3">
        <v>670642</v>
      </c>
      <c r="F104" s="3">
        <f>Table4_14[[#This Row],[New_Followers]]-Table4_14[[#This Row],[Unfollows]]</f>
        <v>8945</v>
      </c>
      <c r="G104" s="4">
        <v>1.33379657104685E-2</v>
      </c>
      <c r="H104">
        <v>5.301785453341723</v>
      </c>
      <c r="I104" s="6">
        <v>56698</v>
      </c>
    </row>
    <row r="105" spans="1:9" x14ac:dyDescent="0.3">
      <c r="A105" s="5">
        <v>45621</v>
      </c>
      <c r="B105" t="s">
        <v>14</v>
      </c>
      <c r="C105" s="3">
        <v>5719</v>
      </c>
      <c r="D105" s="3">
        <v>576</v>
      </c>
      <c r="E105" s="3">
        <v>675785</v>
      </c>
      <c r="F105" s="3">
        <f>Table4_14[[#This Row],[New_Followers]]-Table4_14[[#This Row],[Unfollows]]</f>
        <v>5143</v>
      </c>
      <c r="G105" s="4">
        <v>7.6104086358827197E-3</v>
      </c>
      <c r="H105">
        <v>10.21656296011305</v>
      </c>
      <c r="I105" s="6">
        <v>38272</v>
      </c>
    </row>
    <row r="106" spans="1:9" x14ac:dyDescent="0.3">
      <c r="A106" s="5">
        <v>45628</v>
      </c>
      <c r="B106" t="s">
        <v>23</v>
      </c>
      <c r="C106" s="3">
        <v>1593</v>
      </c>
      <c r="D106" s="3">
        <v>224</v>
      </c>
      <c r="E106" s="3">
        <v>677154</v>
      </c>
      <c r="F106" s="3">
        <f>Table4_14[[#This Row],[New_Followers]]-Table4_14[[#This Row],[Unfollows]]</f>
        <v>1369</v>
      </c>
      <c r="G106" s="4">
        <v>2.0216966893793699E-3</v>
      </c>
      <c r="H106">
        <v>4.1495730660972248</v>
      </c>
      <c r="I106" s="6">
        <v>52845</v>
      </c>
    </row>
    <row r="107" spans="1:9" x14ac:dyDescent="0.3">
      <c r="A107" s="5">
        <v>45628</v>
      </c>
      <c r="B107" t="s">
        <v>19</v>
      </c>
      <c r="C107" s="3">
        <v>5839</v>
      </c>
      <c r="D107" s="3">
        <v>437</v>
      </c>
      <c r="E107" s="3">
        <v>682556</v>
      </c>
      <c r="F107" s="3">
        <f>Table4_14[[#This Row],[New_Followers]]-Table4_14[[#This Row],[Unfollows]]</f>
        <v>5402</v>
      </c>
      <c r="G107" s="4">
        <v>7.9143689309009099E-3</v>
      </c>
      <c r="H107">
        <v>17.44750613869045</v>
      </c>
      <c r="I107" s="6">
        <v>16397</v>
      </c>
    </row>
    <row r="108" spans="1:9" x14ac:dyDescent="0.3">
      <c r="A108" s="5">
        <v>45628</v>
      </c>
      <c r="B108" t="s">
        <v>23</v>
      </c>
      <c r="C108" s="3">
        <v>8394</v>
      </c>
      <c r="D108" s="3">
        <v>764</v>
      </c>
      <c r="E108" s="3">
        <v>690186</v>
      </c>
      <c r="F108" s="3">
        <f>Table4_14[[#This Row],[New_Followers]]-Table4_14[[#This Row],[Unfollows]]</f>
        <v>7630</v>
      </c>
      <c r="G108" s="4">
        <v>1.10549909734477E-2</v>
      </c>
      <c r="H108">
        <v>6.3556780346167558</v>
      </c>
      <c r="I108" s="6">
        <v>42373</v>
      </c>
    </row>
    <row r="109" spans="1:9" x14ac:dyDescent="0.3">
      <c r="A109" s="5">
        <v>45628</v>
      </c>
      <c r="B109" t="s">
        <v>14</v>
      </c>
      <c r="C109" s="3">
        <v>4493</v>
      </c>
      <c r="D109" s="3">
        <v>564</v>
      </c>
      <c r="E109" s="3">
        <v>694115</v>
      </c>
      <c r="F109" s="3">
        <f>Table4_14[[#This Row],[New_Followers]]-Table4_14[[#This Row],[Unfollows]]</f>
        <v>3929</v>
      </c>
      <c r="G109" s="4">
        <v>5.6604453152575597E-3</v>
      </c>
      <c r="H109">
        <v>16.625487131094989</v>
      </c>
      <c r="I109" s="6">
        <v>45525</v>
      </c>
    </row>
    <row r="110" spans="1:9" x14ac:dyDescent="0.3">
      <c r="A110" s="5">
        <v>45635</v>
      </c>
      <c r="B110" t="s">
        <v>41</v>
      </c>
      <c r="C110" s="3">
        <v>7164</v>
      </c>
      <c r="D110" s="3">
        <v>522</v>
      </c>
      <c r="E110" s="3">
        <v>700757</v>
      </c>
      <c r="F110" s="3">
        <f>Table4_14[[#This Row],[New_Followers]]-Table4_14[[#This Row],[Unfollows]]</f>
        <v>6642</v>
      </c>
      <c r="G110" s="4">
        <v>9.4783213011072308E-3</v>
      </c>
      <c r="H110">
        <v>13.449169969047761</v>
      </c>
      <c r="I110" s="6">
        <v>34570</v>
      </c>
    </row>
    <row r="111" spans="1:9" x14ac:dyDescent="0.3">
      <c r="A111" s="5">
        <v>45635</v>
      </c>
      <c r="B111" t="s">
        <v>23</v>
      </c>
      <c r="C111" s="3">
        <v>3672</v>
      </c>
      <c r="D111" s="3">
        <v>211</v>
      </c>
      <c r="E111" s="3">
        <v>704218</v>
      </c>
      <c r="F111" s="3">
        <f>Table4_14[[#This Row],[New_Followers]]-Table4_14[[#This Row],[Unfollows]]</f>
        <v>3461</v>
      </c>
      <c r="G111" s="4">
        <v>4.9146713091684701E-3</v>
      </c>
      <c r="H111">
        <v>12.35057894004413</v>
      </c>
      <c r="I111" s="6">
        <v>28284</v>
      </c>
    </row>
    <row r="112" spans="1:9" x14ac:dyDescent="0.3">
      <c r="A112" s="5">
        <v>45635</v>
      </c>
      <c r="B112" t="s">
        <v>14</v>
      </c>
      <c r="C112" s="3">
        <v>5200</v>
      </c>
      <c r="D112" s="3">
        <v>410</v>
      </c>
      <c r="E112" s="3">
        <v>709008</v>
      </c>
      <c r="F112" s="3">
        <f>Table4_14[[#This Row],[New_Followers]]-Table4_14[[#This Row],[Unfollows]]</f>
        <v>4790</v>
      </c>
      <c r="G112" s="4">
        <v>6.7559181278631598E-3</v>
      </c>
      <c r="H112">
        <v>12.913394489201821</v>
      </c>
      <c r="I112" s="6">
        <v>28994</v>
      </c>
    </row>
    <row r="113" spans="1:9" x14ac:dyDescent="0.3">
      <c r="A113" s="5">
        <v>45635</v>
      </c>
      <c r="B113" t="s">
        <v>19</v>
      </c>
      <c r="C113" s="3">
        <v>1016</v>
      </c>
      <c r="D113" s="3">
        <v>67</v>
      </c>
      <c r="E113" s="3">
        <v>709957</v>
      </c>
      <c r="F113" s="3">
        <f>Table4_14[[#This Row],[New_Followers]]-Table4_14[[#This Row],[Unfollows]]</f>
        <v>949</v>
      </c>
      <c r="G113" s="4">
        <v>1.3367006734210699E-3</v>
      </c>
      <c r="H113">
        <v>20.774215903216671</v>
      </c>
      <c r="I113" s="6">
        <v>33284</v>
      </c>
    </row>
    <row r="114" spans="1:9" x14ac:dyDescent="0.3">
      <c r="A114" s="5">
        <v>45642</v>
      </c>
      <c r="B114" t="s">
        <v>23</v>
      </c>
      <c r="C114" s="3">
        <v>4191</v>
      </c>
      <c r="D114" s="3">
        <v>599</v>
      </c>
      <c r="E114" s="3">
        <v>713549</v>
      </c>
      <c r="F114" s="3">
        <f>Table4_14[[#This Row],[New_Followers]]-Table4_14[[#This Row],[Unfollows]]</f>
        <v>3592</v>
      </c>
      <c r="G114" s="4">
        <v>5.0339920594100803E-3</v>
      </c>
      <c r="H114">
        <v>11.56416728213479</v>
      </c>
      <c r="I114" s="6">
        <v>27833</v>
      </c>
    </row>
    <row r="115" spans="1:9" x14ac:dyDescent="0.3">
      <c r="A115" s="5">
        <v>45642</v>
      </c>
      <c r="B115" t="s">
        <v>23</v>
      </c>
      <c r="C115" s="3">
        <v>1392</v>
      </c>
      <c r="D115" s="3">
        <v>182</v>
      </c>
      <c r="E115" s="3">
        <v>714759</v>
      </c>
      <c r="F115" s="3">
        <f>Table4_14[[#This Row],[New_Followers]]-Table4_14[[#This Row],[Unfollows]]</f>
        <v>1210</v>
      </c>
      <c r="G115" s="4">
        <v>1.69287829883919E-3</v>
      </c>
      <c r="H115">
        <v>5.9603306848881932</v>
      </c>
      <c r="I115" s="6">
        <v>35122</v>
      </c>
    </row>
    <row r="116" spans="1:9" x14ac:dyDescent="0.3">
      <c r="A116" s="5">
        <v>45642</v>
      </c>
      <c r="B116" t="s">
        <v>19</v>
      </c>
      <c r="C116" s="3">
        <v>9616</v>
      </c>
      <c r="D116" s="3">
        <v>1089</v>
      </c>
      <c r="E116" s="3">
        <v>723286</v>
      </c>
      <c r="F116" s="3">
        <f>Table4_14[[#This Row],[New_Followers]]-Table4_14[[#This Row],[Unfollows]]</f>
        <v>8527</v>
      </c>
      <c r="G116" s="4">
        <v>1.17892507251627E-2</v>
      </c>
      <c r="H116">
        <v>19.25863351426683</v>
      </c>
      <c r="I116" s="6">
        <v>15017</v>
      </c>
    </row>
    <row r="117" spans="1:9" x14ac:dyDescent="0.3">
      <c r="A117" s="5">
        <v>45642</v>
      </c>
      <c r="B117" t="s">
        <v>41</v>
      </c>
      <c r="C117" s="3">
        <v>7272</v>
      </c>
      <c r="D117" s="3">
        <v>997</v>
      </c>
      <c r="E117" s="3">
        <v>729561</v>
      </c>
      <c r="F117" s="3">
        <f>Table4_14[[#This Row],[New_Followers]]-Table4_14[[#This Row],[Unfollows]]</f>
        <v>6275</v>
      </c>
      <c r="G117" s="4">
        <v>8.6010628309353201E-3</v>
      </c>
      <c r="H117">
        <v>13.428486445958599</v>
      </c>
      <c r="I117" s="6">
        <v>26370</v>
      </c>
    </row>
    <row r="118" spans="1:9" x14ac:dyDescent="0.3">
      <c r="A118" s="5">
        <v>45649</v>
      </c>
      <c r="B118" t="s">
        <v>19</v>
      </c>
      <c r="C118" s="3">
        <v>1571</v>
      </c>
      <c r="D118" s="3">
        <v>204</v>
      </c>
      <c r="E118" s="3">
        <v>730928</v>
      </c>
      <c r="F118" s="3">
        <f>Table4_14[[#This Row],[New_Followers]]-Table4_14[[#This Row],[Unfollows]]</f>
        <v>1367</v>
      </c>
      <c r="G118" s="4">
        <v>1.8702252479040301E-3</v>
      </c>
      <c r="H118">
        <v>19.449384891535139</v>
      </c>
      <c r="I118" s="6">
        <v>39252</v>
      </c>
    </row>
    <row r="119" spans="1:9" x14ac:dyDescent="0.3">
      <c r="A119" s="5">
        <v>45649</v>
      </c>
      <c r="B119" t="s">
        <v>23</v>
      </c>
      <c r="C119" s="3">
        <v>4631</v>
      </c>
      <c r="D119" s="3">
        <v>317</v>
      </c>
      <c r="E119" s="3">
        <v>735242</v>
      </c>
      <c r="F119" s="3">
        <f>Table4_14[[#This Row],[New_Followers]]-Table4_14[[#This Row],[Unfollows]]</f>
        <v>4314</v>
      </c>
      <c r="G119" s="4">
        <v>5.8674558852731496E-3</v>
      </c>
      <c r="H119">
        <v>1.381177897889402</v>
      </c>
      <c r="I119" s="6">
        <v>17999</v>
      </c>
    </row>
    <row r="120" spans="1:9" x14ac:dyDescent="0.3">
      <c r="A120" s="5">
        <v>45649</v>
      </c>
      <c r="B120" t="s">
        <v>19</v>
      </c>
      <c r="C120" s="3">
        <v>7172</v>
      </c>
      <c r="D120" s="3">
        <v>998</v>
      </c>
      <c r="E120" s="3">
        <v>741416</v>
      </c>
      <c r="F120" s="3">
        <f>Table4_14[[#This Row],[New_Followers]]-Table4_14[[#This Row],[Unfollows]]</f>
        <v>6174</v>
      </c>
      <c r="G120" s="4">
        <v>8.32730882527488E-3</v>
      </c>
      <c r="H120">
        <v>18.0667803230575</v>
      </c>
      <c r="I120" s="6">
        <v>32436</v>
      </c>
    </row>
    <row r="121" spans="1:9" x14ac:dyDescent="0.3">
      <c r="A121" s="5">
        <v>45649</v>
      </c>
      <c r="B121" t="s">
        <v>14</v>
      </c>
      <c r="C121" s="3">
        <v>8177</v>
      </c>
      <c r="D121" s="3">
        <v>849</v>
      </c>
      <c r="E121" s="3">
        <v>748744</v>
      </c>
      <c r="F121" s="3">
        <f>Table4_14[[#This Row],[New_Followers]]-Table4_14[[#This Row],[Unfollows]]</f>
        <v>7328</v>
      </c>
      <c r="G121" s="4">
        <v>9.78705672432768E-3</v>
      </c>
      <c r="H121">
        <v>10.34986590877523</v>
      </c>
      <c r="I121" s="6">
        <v>52963</v>
      </c>
    </row>
    <row r="122" spans="1:9" x14ac:dyDescent="0.3">
      <c r="A122" s="5">
        <v>45656</v>
      </c>
      <c r="B122" t="s">
        <v>19</v>
      </c>
      <c r="C122" s="3">
        <v>9433</v>
      </c>
      <c r="D122" s="3">
        <v>1233</v>
      </c>
      <c r="E122" s="3">
        <v>756944</v>
      </c>
      <c r="F122" s="3">
        <f>Table4_14[[#This Row],[New_Followers]]-Table4_14[[#This Row],[Unfollows]]</f>
        <v>8200</v>
      </c>
      <c r="G122" s="4">
        <v>1.08330338836162E-2</v>
      </c>
      <c r="H122">
        <v>11.391727789638329</v>
      </c>
      <c r="I122" s="6">
        <v>12096</v>
      </c>
    </row>
    <row r="123" spans="1:9" x14ac:dyDescent="0.3">
      <c r="A123" s="5">
        <v>45656</v>
      </c>
      <c r="B123" t="s">
        <v>23</v>
      </c>
      <c r="C123" s="3">
        <v>4897</v>
      </c>
      <c r="D123" s="3">
        <v>683</v>
      </c>
      <c r="E123" s="3">
        <v>761158</v>
      </c>
      <c r="F123" s="3">
        <f>Table4_14[[#This Row],[New_Followers]]-Table4_14[[#This Row],[Unfollows]]</f>
        <v>4214</v>
      </c>
      <c r="G123" s="4">
        <v>5.5363012672795904E-3</v>
      </c>
      <c r="H123">
        <v>15.06231294947961</v>
      </c>
      <c r="I123" s="6">
        <v>58201</v>
      </c>
    </row>
    <row r="124" spans="1:9" x14ac:dyDescent="0.3">
      <c r="A124" s="5">
        <v>45656</v>
      </c>
      <c r="B124" t="s">
        <v>19</v>
      </c>
      <c r="C124" s="3">
        <v>9123</v>
      </c>
      <c r="D124" s="3">
        <v>746</v>
      </c>
      <c r="E124" s="3">
        <v>769535</v>
      </c>
      <c r="F124" s="3">
        <f>Table4_14[[#This Row],[New_Followers]]-Table4_14[[#This Row],[Unfollows]]</f>
        <v>8377</v>
      </c>
      <c r="G124" s="4">
        <v>1.0885794668208699E-2</v>
      </c>
      <c r="H124">
        <v>6.3086149427901264</v>
      </c>
      <c r="I124" s="6">
        <v>35279</v>
      </c>
    </row>
    <row r="125" spans="1:9" x14ac:dyDescent="0.3">
      <c r="A125" s="5">
        <v>45656</v>
      </c>
      <c r="B125" t="s">
        <v>41</v>
      </c>
      <c r="C125" s="3">
        <v>3279</v>
      </c>
      <c r="D125" s="3">
        <v>200</v>
      </c>
      <c r="E125" s="3">
        <v>772614</v>
      </c>
      <c r="F125" s="3">
        <f>Table4_14[[#This Row],[New_Followers]]-Table4_14[[#This Row],[Unfollows]]</f>
        <v>3079</v>
      </c>
      <c r="G125" s="4">
        <v>3.9851724146857297E-3</v>
      </c>
      <c r="H125">
        <v>5.0212654702089274</v>
      </c>
      <c r="I125" s="6">
        <v>53363</v>
      </c>
    </row>
    <row r="126" spans="1:9" x14ac:dyDescent="0.3">
      <c r="A126" s="5">
        <v>45663</v>
      </c>
      <c r="B126" t="s">
        <v>19</v>
      </c>
      <c r="C126" s="3">
        <v>9980</v>
      </c>
      <c r="D126" s="3">
        <v>726</v>
      </c>
      <c r="E126" s="3">
        <v>781868</v>
      </c>
      <c r="F126" s="3">
        <f>Table4_14[[#This Row],[New_Followers]]-Table4_14[[#This Row],[Unfollows]]</f>
        <v>9254</v>
      </c>
      <c r="G126" s="4">
        <v>1.18357574424327E-2</v>
      </c>
      <c r="H126">
        <v>4.0220344099003924</v>
      </c>
      <c r="I126" s="6">
        <v>58709</v>
      </c>
    </row>
    <row r="127" spans="1:9" x14ac:dyDescent="0.3">
      <c r="A127" s="5">
        <v>45663</v>
      </c>
      <c r="B127" t="s">
        <v>41</v>
      </c>
      <c r="C127" s="3">
        <v>8451</v>
      </c>
      <c r="D127" s="3">
        <v>783</v>
      </c>
      <c r="E127" s="3">
        <v>789536</v>
      </c>
      <c r="F127" s="3">
        <f>Table4_14[[#This Row],[New_Followers]]-Table4_14[[#This Row],[Unfollows]]</f>
        <v>7668</v>
      </c>
      <c r="G127" s="4">
        <v>9.7120333968305408E-3</v>
      </c>
      <c r="H127">
        <v>12.407287318121019</v>
      </c>
      <c r="I127" s="6">
        <v>36201</v>
      </c>
    </row>
    <row r="128" spans="1:9" x14ac:dyDescent="0.3">
      <c r="A128" s="5">
        <v>45663</v>
      </c>
      <c r="B128" t="s">
        <v>14</v>
      </c>
      <c r="C128" s="3">
        <v>9906</v>
      </c>
      <c r="D128" s="3">
        <v>1305</v>
      </c>
      <c r="E128" s="3">
        <v>798137</v>
      </c>
      <c r="F128" s="3">
        <f>Table4_14[[#This Row],[New_Followers]]-Table4_14[[#This Row],[Unfollows]]</f>
        <v>8601</v>
      </c>
      <c r="G128" s="4">
        <v>1.0776345414383701E-2</v>
      </c>
      <c r="H128">
        <v>9.1811305577864442</v>
      </c>
      <c r="I128" s="6">
        <v>29715</v>
      </c>
    </row>
    <row r="129" spans="1:9" x14ac:dyDescent="0.3">
      <c r="A129" s="5">
        <v>45663</v>
      </c>
      <c r="B129" t="s">
        <v>41</v>
      </c>
      <c r="C129" s="3">
        <v>1775</v>
      </c>
      <c r="D129" s="3">
        <v>241</v>
      </c>
      <c r="E129" s="3">
        <v>799671</v>
      </c>
      <c r="F129" s="3">
        <f>Table4_14[[#This Row],[New_Followers]]-Table4_14[[#This Row],[Unfollows]]</f>
        <v>1534</v>
      </c>
      <c r="G129" s="4">
        <v>1.91828889630861E-3</v>
      </c>
      <c r="H129">
        <v>8.1379717408784362</v>
      </c>
      <c r="I129" s="6">
        <v>39309</v>
      </c>
    </row>
    <row r="130" spans="1:9" x14ac:dyDescent="0.3">
      <c r="A130" s="5">
        <v>45670</v>
      </c>
      <c r="B130" t="s">
        <v>19</v>
      </c>
      <c r="C130" s="3">
        <v>7869</v>
      </c>
      <c r="D130" s="3">
        <v>398</v>
      </c>
      <c r="E130" s="3">
        <v>807142</v>
      </c>
      <c r="F130" s="3">
        <f>Table4_14[[#This Row],[New_Followers]]-Table4_14[[#This Row],[Unfollows]]</f>
        <v>7471</v>
      </c>
      <c r="G130" s="4">
        <v>9.2561160241940096E-3</v>
      </c>
      <c r="H130">
        <v>15.211945357818079</v>
      </c>
      <c r="I130" s="6">
        <v>25078</v>
      </c>
    </row>
    <row r="131" spans="1:9" x14ac:dyDescent="0.3">
      <c r="A131" s="5">
        <v>45670</v>
      </c>
      <c r="B131" t="s">
        <v>23</v>
      </c>
      <c r="C131" s="3">
        <v>3247</v>
      </c>
      <c r="D131" s="3">
        <v>328</v>
      </c>
      <c r="E131" s="3">
        <v>810061</v>
      </c>
      <c r="F131" s="3">
        <f>Table4_14[[#This Row],[New_Followers]]-Table4_14[[#This Row],[Unfollows]]</f>
        <v>2919</v>
      </c>
      <c r="G131" s="4">
        <v>3.6034323341081701E-3</v>
      </c>
      <c r="H131">
        <v>13.941172331466399</v>
      </c>
      <c r="I131" s="6">
        <v>15105</v>
      </c>
    </row>
    <row r="132" spans="1:9" x14ac:dyDescent="0.3">
      <c r="A132" s="5">
        <v>45670</v>
      </c>
      <c r="B132" t="s">
        <v>41</v>
      </c>
      <c r="C132" s="3">
        <v>8088</v>
      </c>
      <c r="D132" s="3">
        <v>742</v>
      </c>
      <c r="E132" s="3">
        <v>817407</v>
      </c>
      <c r="F132" s="3">
        <f>Table4_14[[#This Row],[New_Followers]]-Table4_14[[#This Row],[Unfollows]]</f>
        <v>7346</v>
      </c>
      <c r="G132" s="4">
        <v>8.9869550909155403E-3</v>
      </c>
      <c r="H132">
        <v>14.664542877660701</v>
      </c>
      <c r="I132" s="6">
        <v>39312</v>
      </c>
    </row>
    <row r="133" spans="1:9" x14ac:dyDescent="0.3">
      <c r="A133" s="5">
        <v>45670</v>
      </c>
      <c r="B133" t="s">
        <v>14</v>
      </c>
      <c r="C133" s="3">
        <v>1078</v>
      </c>
      <c r="D133" s="3">
        <v>77</v>
      </c>
      <c r="E133" s="3">
        <v>818408</v>
      </c>
      <c r="F133" s="3">
        <f>Table4_14[[#This Row],[New_Followers]]-Table4_14[[#This Row],[Unfollows]]</f>
        <v>1001</v>
      </c>
      <c r="G133" s="4">
        <v>1.22310632349635E-3</v>
      </c>
      <c r="H133">
        <v>18.236747441373989</v>
      </c>
      <c r="I133" s="6">
        <v>12839</v>
      </c>
    </row>
    <row r="134" spans="1:9" x14ac:dyDescent="0.3">
      <c r="A134" s="5">
        <v>45677</v>
      </c>
      <c r="B134" t="s">
        <v>41</v>
      </c>
      <c r="C134" s="3">
        <v>9080</v>
      </c>
      <c r="D134" s="3">
        <v>562</v>
      </c>
      <c r="E134" s="3">
        <v>826926</v>
      </c>
      <c r="F134" s="3">
        <f>Table4_14[[#This Row],[New_Followers]]-Table4_14[[#This Row],[Unfollows]]</f>
        <v>8518</v>
      </c>
      <c r="G134" s="4">
        <v>1.03008007971693E-2</v>
      </c>
      <c r="H134">
        <v>7.1083748727213809</v>
      </c>
      <c r="I134" s="6">
        <v>13384</v>
      </c>
    </row>
    <row r="135" spans="1:9" x14ac:dyDescent="0.3">
      <c r="A135" s="5">
        <v>45677</v>
      </c>
      <c r="B135" t="s">
        <v>41</v>
      </c>
      <c r="C135" s="3">
        <v>8099</v>
      </c>
      <c r="D135" s="3">
        <v>678</v>
      </c>
      <c r="E135" s="3">
        <v>834347</v>
      </c>
      <c r="F135" s="3">
        <f>Table4_14[[#This Row],[New_Followers]]-Table4_14[[#This Row],[Unfollows]]</f>
        <v>7421</v>
      </c>
      <c r="G135" s="4">
        <v>8.8943808751035195E-3</v>
      </c>
      <c r="H135">
        <v>7.6464588474579518</v>
      </c>
      <c r="I135" s="6">
        <v>53619</v>
      </c>
    </row>
    <row r="136" spans="1:9" x14ac:dyDescent="0.3">
      <c r="A136" s="5">
        <v>45677</v>
      </c>
      <c r="B136" t="s">
        <v>41</v>
      </c>
      <c r="C136" s="3">
        <v>4926</v>
      </c>
      <c r="D136" s="3">
        <v>710</v>
      </c>
      <c r="E136" s="3">
        <v>838563</v>
      </c>
      <c r="F136" s="3">
        <f>Table4_14[[#This Row],[New_Followers]]-Table4_14[[#This Row],[Unfollows]]</f>
        <v>4216</v>
      </c>
      <c r="G136" s="4">
        <v>5.0276484891415398E-3</v>
      </c>
      <c r="H136">
        <v>12.96217457722318</v>
      </c>
      <c r="I136" s="6">
        <v>52821</v>
      </c>
    </row>
    <row r="137" spans="1:9" x14ac:dyDescent="0.3">
      <c r="A137" s="5">
        <v>45677</v>
      </c>
      <c r="B137" t="s">
        <v>14</v>
      </c>
      <c r="C137" s="3">
        <v>8340</v>
      </c>
      <c r="D137" s="3">
        <v>686</v>
      </c>
      <c r="E137" s="3">
        <v>846217</v>
      </c>
      <c r="F137" s="3">
        <f>Table4_14[[#This Row],[New_Followers]]-Table4_14[[#This Row],[Unfollows]]</f>
        <v>7654</v>
      </c>
      <c r="G137" s="4">
        <v>9.04496128061715E-3</v>
      </c>
      <c r="H137">
        <v>7.201344336027284</v>
      </c>
      <c r="I137" s="6">
        <v>23493</v>
      </c>
    </row>
    <row r="138" spans="1:9" x14ac:dyDescent="0.3">
      <c r="A138" s="5">
        <v>45684</v>
      </c>
      <c r="B138" t="s">
        <v>19</v>
      </c>
      <c r="C138" s="3">
        <v>8083</v>
      </c>
      <c r="D138" s="3">
        <v>823</v>
      </c>
      <c r="E138" s="3">
        <v>853477</v>
      </c>
      <c r="F138" s="3">
        <f>Table4_14[[#This Row],[New_Followers]]-Table4_14[[#This Row],[Unfollows]]</f>
        <v>7260</v>
      </c>
      <c r="G138" s="4">
        <v>8.5063803711172108E-3</v>
      </c>
      <c r="H138">
        <v>4.6300017457998282</v>
      </c>
      <c r="I138" s="6">
        <v>27069</v>
      </c>
    </row>
    <row r="139" spans="1:9" x14ac:dyDescent="0.3">
      <c r="A139" s="5">
        <v>45684</v>
      </c>
      <c r="B139" t="s">
        <v>41</v>
      </c>
      <c r="C139" s="3">
        <v>7230</v>
      </c>
      <c r="D139" s="3">
        <v>869</v>
      </c>
      <c r="E139" s="3">
        <v>859838</v>
      </c>
      <c r="F139" s="3">
        <f>Table4_14[[#This Row],[New_Followers]]-Table4_14[[#This Row],[Unfollows]]</f>
        <v>6361</v>
      </c>
      <c r="G139" s="4">
        <v>7.397905186791E-3</v>
      </c>
      <c r="H139">
        <v>7.0117859410726204</v>
      </c>
      <c r="I139" s="6">
        <v>56907</v>
      </c>
    </row>
    <row r="140" spans="1:9" x14ac:dyDescent="0.3">
      <c r="A140" s="5">
        <v>45684</v>
      </c>
      <c r="B140" t="s">
        <v>41</v>
      </c>
      <c r="C140" s="3">
        <v>5940</v>
      </c>
      <c r="D140" s="3">
        <v>512</v>
      </c>
      <c r="E140" s="3">
        <v>865266</v>
      </c>
      <c r="F140" s="3">
        <f>Table4_14[[#This Row],[New_Followers]]-Table4_14[[#This Row],[Unfollows]]</f>
        <v>5428</v>
      </c>
      <c r="G140" s="4">
        <v>6.2732154042802997E-3</v>
      </c>
      <c r="H140">
        <v>15.7972230504839</v>
      </c>
      <c r="I140" s="6">
        <v>17531</v>
      </c>
    </row>
    <row r="141" spans="1:9" x14ac:dyDescent="0.3">
      <c r="A141" s="5">
        <v>45684</v>
      </c>
      <c r="B141" t="s">
        <v>23</v>
      </c>
      <c r="C141" s="3">
        <v>4271</v>
      </c>
      <c r="D141" s="3">
        <v>628</v>
      </c>
      <c r="E141" s="3">
        <v>868909</v>
      </c>
      <c r="F141" s="3">
        <f>Table4_14[[#This Row],[New_Followers]]-Table4_14[[#This Row],[Unfollows]]</f>
        <v>3643</v>
      </c>
      <c r="G141" s="4">
        <v>4.1926139561219902E-3</v>
      </c>
      <c r="H141">
        <v>11.124410036033691</v>
      </c>
      <c r="I141" s="6">
        <v>47051</v>
      </c>
    </row>
    <row r="142" spans="1:9" x14ac:dyDescent="0.3">
      <c r="A142" s="5">
        <v>45691</v>
      </c>
      <c r="B142" t="s">
        <v>14</v>
      </c>
      <c r="C142" s="3">
        <v>4456</v>
      </c>
      <c r="D142" s="3">
        <v>651</v>
      </c>
      <c r="E142" s="3">
        <v>872714</v>
      </c>
      <c r="F142" s="3">
        <f>Table4_14[[#This Row],[New_Followers]]-Table4_14[[#This Row],[Unfollows]]</f>
        <v>3805</v>
      </c>
      <c r="G142" s="4">
        <v>4.3599621410908996E-3</v>
      </c>
      <c r="H142">
        <v>9.5052903929580594</v>
      </c>
      <c r="I142" s="6">
        <v>17736</v>
      </c>
    </row>
    <row r="143" spans="1:9" x14ac:dyDescent="0.3">
      <c r="A143" s="5">
        <v>45691</v>
      </c>
      <c r="B143" t="s">
        <v>41</v>
      </c>
      <c r="C143" s="3">
        <v>8788</v>
      </c>
      <c r="D143" s="3">
        <v>660</v>
      </c>
      <c r="E143" s="3">
        <v>880842</v>
      </c>
      <c r="F143" s="3">
        <f>Table4_14[[#This Row],[New_Followers]]-Table4_14[[#This Row],[Unfollows]]</f>
        <v>8128</v>
      </c>
      <c r="G143" s="4">
        <v>9.2275345635198999E-3</v>
      </c>
      <c r="H143">
        <v>3.7175793161543158</v>
      </c>
      <c r="I143" s="6">
        <v>17710</v>
      </c>
    </row>
    <row r="144" spans="1:9" x14ac:dyDescent="0.3">
      <c r="A144" s="5">
        <v>45691</v>
      </c>
      <c r="B144" t="s">
        <v>14</v>
      </c>
      <c r="C144" s="3">
        <v>9599</v>
      </c>
      <c r="D144" s="3">
        <v>957</v>
      </c>
      <c r="E144" s="3">
        <v>889484</v>
      </c>
      <c r="F144" s="3">
        <f>Table4_14[[#This Row],[New_Followers]]-Table4_14[[#This Row],[Unfollows]]</f>
        <v>8642</v>
      </c>
      <c r="G144" s="4">
        <v>9.7157453085159502E-3</v>
      </c>
      <c r="H144">
        <v>8.768004820772493</v>
      </c>
      <c r="I144" s="6">
        <v>11619</v>
      </c>
    </row>
    <row r="145" spans="1:9" x14ac:dyDescent="0.3">
      <c r="A145" s="5">
        <v>45691</v>
      </c>
      <c r="B145" t="s">
        <v>41</v>
      </c>
      <c r="C145" s="3">
        <v>8650</v>
      </c>
      <c r="D145" s="3">
        <v>692</v>
      </c>
      <c r="E145" s="3">
        <v>897442</v>
      </c>
      <c r="F145" s="3">
        <f>Table4_14[[#This Row],[New_Followers]]-Table4_14[[#This Row],[Unfollows]]</f>
        <v>7958</v>
      </c>
      <c r="G145" s="4">
        <v>8.8674254157928897E-3</v>
      </c>
      <c r="H145">
        <v>7.6673478620345374</v>
      </c>
      <c r="I145" s="6">
        <v>23975</v>
      </c>
    </row>
    <row r="146" spans="1:9" x14ac:dyDescent="0.3">
      <c r="A146" s="5">
        <v>45698</v>
      </c>
      <c r="B146" t="s">
        <v>19</v>
      </c>
      <c r="C146" s="3">
        <v>3711</v>
      </c>
      <c r="D146" s="3">
        <v>291</v>
      </c>
      <c r="E146" s="3">
        <v>900862</v>
      </c>
      <c r="F146" s="3">
        <f>Table4_14[[#This Row],[New_Followers]]-Table4_14[[#This Row],[Unfollows]]</f>
        <v>3420</v>
      </c>
      <c r="G146" s="4">
        <v>3.7963639269943698E-3</v>
      </c>
      <c r="H146">
        <v>14.24879726306582</v>
      </c>
      <c r="I146" s="6">
        <v>55603</v>
      </c>
    </row>
    <row r="147" spans="1:9" x14ac:dyDescent="0.3">
      <c r="A147" s="5">
        <v>45698</v>
      </c>
      <c r="B147" t="s">
        <v>19</v>
      </c>
      <c r="C147" s="3">
        <v>2668</v>
      </c>
      <c r="D147" s="3">
        <v>143</v>
      </c>
      <c r="E147" s="3">
        <v>903387</v>
      </c>
      <c r="F147" s="3">
        <f>Table4_14[[#This Row],[New_Followers]]-Table4_14[[#This Row],[Unfollows]]</f>
        <v>2525</v>
      </c>
      <c r="G147" s="4">
        <v>2.79503690002181E-3</v>
      </c>
      <c r="H147">
        <v>15.903372530266649</v>
      </c>
      <c r="I147" s="6">
        <v>33252</v>
      </c>
    </row>
    <row r="148" spans="1:9" x14ac:dyDescent="0.3">
      <c r="A148" s="5">
        <v>45698</v>
      </c>
      <c r="B148" t="s">
        <v>41</v>
      </c>
      <c r="C148" s="3">
        <v>1147</v>
      </c>
      <c r="D148" s="3">
        <v>127</v>
      </c>
      <c r="E148" s="3">
        <v>904407</v>
      </c>
      <c r="F148" s="3">
        <f>Table4_14[[#This Row],[New_Followers]]-Table4_14[[#This Row],[Unfollows]]</f>
        <v>1020</v>
      </c>
      <c r="G148" s="4">
        <v>1.12781081968627E-3</v>
      </c>
      <c r="H148">
        <v>1.3997016829812241</v>
      </c>
      <c r="I148" s="6">
        <v>25261</v>
      </c>
    </row>
    <row r="149" spans="1:9" x14ac:dyDescent="0.3">
      <c r="A149" s="5">
        <v>45698</v>
      </c>
      <c r="B149" t="s">
        <v>19</v>
      </c>
      <c r="C149" s="3">
        <v>7420</v>
      </c>
      <c r="D149" s="3">
        <v>743</v>
      </c>
      <c r="E149" s="3">
        <v>911084</v>
      </c>
      <c r="F149" s="3">
        <f>Table4_14[[#This Row],[New_Followers]]-Table4_14[[#This Row],[Unfollows]]</f>
        <v>6677</v>
      </c>
      <c r="G149" s="4">
        <v>7.3286327056561202E-3</v>
      </c>
      <c r="H149">
        <v>10.593534734448189</v>
      </c>
      <c r="I149" s="6">
        <v>11431</v>
      </c>
    </row>
    <row r="150" spans="1:9" x14ac:dyDescent="0.3">
      <c r="A150" s="5">
        <v>45705</v>
      </c>
      <c r="B150" t="s">
        <v>41</v>
      </c>
      <c r="C150" s="3">
        <v>1365</v>
      </c>
      <c r="D150" s="3">
        <v>75</v>
      </c>
      <c r="E150" s="3">
        <v>912374</v>
      </c>
      <c r="F150" s="3">
        <f>Table4_14[[#This Row],[New_Followers]]-Table4_14[[#This Row],[Unfollows]]</f>
        <v>1290</v>
      </c>
      <c r="G150" s="4">
        <v>1.4138938637006299E-3</v>
      </c>
      <c r="H150">
        <v>9.2688963078737441</v>
      </c>
      <c r="I150" s="6">
        <v>19067</v>
      </c>
    </row>
    <row r="151" spans="1:9" x14ac:dyDescent="0.3">
      <c r="A151" s="5">
        <v>45705</v>
      </c>
      <c r="B151" t="s">
        <v>19</v>
      </c>
      <c r="C151" s="3">
        <v>5531</v>
      </c>
      <c r="D151" s="3">
        <v>430</v>
      </c>
      <c r="E151" s="3">
        <v>917475</v>
      </c>
      <c r="F151" s="3">
        <f>Table4_14[[#This Row],[New_Followers]]-Table4_14[[#This Row],[Unfollows]]</f>
        <v>5101</v>
      </c>
      <c r="G151" s="4">
        <v>5.5598245183792498E-3</v>
      </c>
      <c r="H151">
        <v>2.7289026948963189</v>
      </c>
      <c r="I151" s="6">
        <v>47481</v>
      </c>
    </row>
    <row r="152" spans="1:9" x14ac:dyDescent="0.3">
      <c r="A152" s="5">
        <v>45705</v>
      </c>
      <c r="B152" t="s">
        <v>23</v>
      </c>
      <c r="C152" s="3">
        <v>6330</v>
      </c>
      <c r="D152" s="3">
        <v>891</v>
      </c>
      <c r="E152" s="3">
        <v>922914</v>
      </c>
      <c r="F152" s="3">
        <f>Table4_14[[#This Row],[New_Followers]]-Table4_14[[#This Row],[Unfollows]]</f>
        <v>5439</v>
      </c>
      <c r="G152" s="4">
        <v>5.8932901657142503E-3</v>
      </c>
      <c r="H152">
        <v>14.789893749580139</v>
      </c>
      <c r="I152" s="6">
        <v>37037</v>
      </c>
    </row>
    <row r="153" spans="1:9" x14ac:dyDescent="0.3">
      <c r="A153" s="5">
        <v>45705</v>
      </c>
      <c r="B153" t="s">
        <v>23</v>
      </c>
      <c r="C153" s="3">
        <v>6510</v>
      </c>
      <c r="D153" s="3">
        <v>481</v>
      </c>
      <c r="E153" s="3">
        <v>928943</v>
      </c>
      <c r="F153" s="3">
        <f>Table4_14[[#This Row],[New_Followers]]-Table4_14[[#This Row],[Unfollows]]</f>
        <v>6029</v>
      </c>
      <c r="G153" s="4">
        <v>6.4901721634158397E-3</v>
      </c>
      <c r="H153">
        <v>2.3800168578696428</v>
      </c>
      <c r="I153" s="6">
        <v>19557</v>
      </c>
    </row>
    <row r="154" spans="1:9" x14ac:dyDescent="0.3">
      <c r="A154" s="5">
        <v>45712</v>
      </c>
      <c r="B154" t="s">
        <v>23</v>
      </c>
      <c r="C154" s="3">
        <v>9754</v>
      </c>
      <c r="D154" s="3">
        <v>629</v>
      </c>
      <c r="E154" s="3">
        <v>938068</v>
      </c>
      <c r="F154" s="3">
        <f>Table4_14[[#This Row],[New_Followers]]-Table4_14[[#This Row],[Unfollows]]</f>
        <v>9125</v>
      </c>
      <c r="G154" s="4">
        <v>9.7274398018054094E-3</v>
      </c>
      <c r="H154">
        <v>3.4123325814333292</v>
      </c>
      <c r="I154" s="6">
        <v>19435</v>
      </c>
    </row>
    <row r="155" spans="1:9" x14ac:dyDescent="0.3">
      <c r="A155" s="5">
        <v>45712</v>
      </c>
      <c r="B155" t="s">
        <v>14</v>
      </c>
      <c r="C155" s="3">
        <v>9964</v>
      </c>
      <c r="D155" s="3">
        <v>985</v>
      </c>
      <c r="E155" s="3">
        <v>947047</v>
      </c>
      <c r="F155" s="3">
        <f>Table4_14[[#This Row],[New_Followers]]-Table4_14[[#This Row],[Unfollows]]</f>
        <v>8979</v>
      </c>
      <c r="G155" s="4">
        <v>9.4810500429228992E-3</v>
      </c>
      <c r="H155">
        <v>1.9837452629066989</v>
      </c>
      <c r="I155" s="6">
        <v>47766</v>
      </c>
    </row>
    <row r="156" spans="1:9" x14ac:dyDescent="0.3">
      <c r="A156" s="5">
        <v>45712</v>
      </c>
      <c r="B156" t="s">
        <v>14</v>
      </c>
      <c r="C156" s="3">
        <v>7493</v>
      </c>
      <c r="D156" s="3">
        <v>1113</v>
      </c>
      <c r="E156" s="3">
        <v>953427</v>
      </c>
      <c r="F156" s="3">
        <f>Table4_14[[#This Row],[New_Followers]]-Table4_14[[#This Row],[Unfollows]]</f>
        <v>6380</v>
      </c>
      <c r="G156" s="4">
        <v>6.6916502259743004E-3</v>
      </c>
      <c r="H156">
        <v>15.684892498324469</v>
      </c>
      <c r="I156" s="6">
        <v>10162</v>
      </c>
    </row>
    <row r="157" spans="1:9" x14ac:dyDescent="0.3">
      <c r="A157" s="5">
        <v>45712</v>
      </c>
      <c r="B157" t="s">
        <v>23</v>
      </c>
      <c r="C157" s="3">
        <v>6439</v>
      </c>
      <c r="D157" s="3">
        <v>477</v>
      </c>
      <c r="E157" s="3">
        <v>959389</v>
      </c>
      <c r="F157" s="3">
        <f>Table4_14[[#This Row],[New_Followers]]-Table4_14[[#This Row],[Unfollows]]</f>
        <v>5962</v>
      </c>
      <c r="G157" s="4">
        <v>6.2143718554204799E-3</v>
      </c>
      <c r="H157">
        <v>7.4744446725989153</v>
      </c>
      <c r="I157" s="6">
        <v>44742</v>
      </c>
    </row>
    <row r="158" spans="1:9" x14ac:dyDescent="0.3">
      <c r="A158" s="5">
        <v>45719</v>
      </c>
      <c r="B158" t="s">
        <v>14</v>
      </c>
      <c r="C158" s="3">
        <v>7511</v>
      </c>
      <c r="D158" s="3">
        <v>880</v>
      </c>
      <c r="E158" s="3">
        <v>966020</v>
      </c>
      <c r="F158" s="3">
        <f>Table4_14[[#This Row],[New_Followers]]-Table4_14[[#This Row],[Unfollows]]</f>
        <v>6631</v>
      </c>
      <c r="G158" s="4">
        <v>6.8642471170369196E-3</v>
      </c>
      <c r="H158">
        <v>4.6083932009689246</v>
      </c>
      <c r="I158" s="6">
        <v>29675</v>
      </c>
    </row>
    <row r="159" spans="1:9" x14ac:dyDescent="0.3">
      <c r="A159" s="5">
        <v>45719</v>
      </c>
      <c r="B159" t="s">
        <v>19</v>
      </c>
      <c r="C159" s="3">
        <v>8504</v>
      </c>
      <c r="D159" s="3">
        <v>1072</v>
      </c>
      <c r="E159" s="3">
        <v>973452</v>
      </c>
      <c r="F159" s="3">
        <f>Table4_14[[#This Row],[New_Followers]]-Table4_14[[#This Row],[Unfollows]]</f>
        <v>7432</v>
      </c>
      <c r="G159" s="4">
        <v>7.6346856342172E-3</v>
      </c>
      <c r="H159">
        <v>6.5651927367759271</v>
      </c>
      <c r="I159" s="6">
        <v>18461</v>
      </c>
    </row>
    <row r="160" spans="1:9" x14ac:dyDescent="0.3">
      <c r="A160" s="5">
        <v>45719</v>
      </c>
      <c r="B160" t="s">
        <v>41</v>
      </c>
      <c r="C160" s="3">
        <v>2246</v>
      </c>
      <c r="D160" s="3">
        <v>165</v>
      </c>
      <c r="E160" s="3">
        <v>975533</v>
      </c>
      <c r="F160" s="3">
        <f>Table4_14[[#This Row],[New_Followers]]-Table4_14[[#This Row],[Unfollows]]</f>
        <v>2081</v>
      </c>
      <c r="G160" s="4">
        <v>2.1331928289458199E-3</v>
      </c>
      <c r="H160">
        <v>2.9062061457685191</v>
      </c>
      <c r="I160" s="6">
        <v>27015</v>
      </c>
    </row>
    <row r="161" spans="1:9" x14ac:dyDescent="0.3">
      <c r="A161" s="5">
        <v>45719</v>
      </c>
      <c r="B161" t="s">
        <v>41</v>
      </c>
      <c r="C161" s="3">
        <v>4839</v>
      </c>
      <c r="D161" s="3">
        <v>594</v>
      </c>
      <c r="E161" s="3">
        <v>979778</v>
      </c>
      <c r="F161" s="3">
        <f>Table4_14[[#This Row],[New_Followers]]-Table4_14[[#This Row],[Unfollows]]</f>
        <v>4245</v>
      </c>
      <c r="G161" s="4">
        <v>4.3326141227910796E-3</v>
      </c>
      <c r="H161">
        <v>2.5803804535313102</v>
      </c>
      <c r="I161" s="6">
        <v>42591</v>
      </c>
    </row>
    <row r="162" spans="1:9" x14ac:dyDescent="0.3">
      <c r="A162" s="5">
        <v>45726</v>
      </c>
      <c r="B162" t="s">
        <v>41</v>
      </c>
      <c r="C162" s="3">
        <v>9551</v>
      </c>
      <c r="D162" s="3">
        <v>828</v>
      </c>
      <c r="E162" s="3">
        <v>988501</v>
      </c>
      <c r="F162" s="3">
        <f>Table4_14[[#This Row],[New_Followers]]-Table4_14[[#This Row],[Unfollows]]</f>
        <v>8723</v>
      </c>
      <c r="G162" s="4">
        <v>8.8244726105487E-3</v>
      </c>
      <c r="H162">
        <v>1.525036393488727</v>
      </c>
      <c r="I162" s="6">
        <v>38047</v>
      </c>
    </row>
    <row r="163" spans="1:9" x14ac:dyDescent="0.3">
      <c r="A163" s="5">
        <v>45726</v>
      </c>
      <c r="B163" t="s">
        <v>23</v>
      </c>
      <c r="C163" s="3">
        <v>3376</v>
      </c>
      <c r="D163" s="3">
        <v>382</v>
      </c>
      <c r="E163" s="3">
        <v>991495</v>
      </c>
      <c r="F163" s="3">
        <f>Table4_14[[#This Row],[New_Followers]]-Table4_14[[#This Row],[Unfollows]]</f>
        <v>2994</v>
      </c>
      <c r="G163" s="4">
        <v>3.0196823988018098E-3</v>
      </c>
      <c r="H163">
        <v>3.8694093263203548</v>
      </c>
      <c r="I163" s="6">
        <v>44782</v>
      </c>
    </row>
    <row r="164" spans="1:9" x14ac:dyDescent="0.3">
      <c r="A164" s="5">
        <v>45726</v>
      </c>
      <c r="B164" t="s">
        <v>14</v>
      </c>
      <c r="C164" s="3">
        <v>4009</v>
      </c>
      <c r="D164" s="3">
        <v>454</v>
      </c>
      <c r="E164" s="3">
        <v>995050</v>
      </c>
      <c r="F164" s="3">
        <f>Table4_14[[#This Row],[New_Followers]]-Table4_14[[#This Row],[Unfollows]]</f>
        <v>3555</v>
      </c>
      <c r="G164" s="4">
        <v>3.5726847897090599E-3</v>
      </c>
      <c r="H164">
        <v>2.1106477061454201</v>
      </c>
      <c r="I164" s="6">
        <v>19833</v>
      </c>
    </row>
    <row r="165" spans="1:9" x14ac:dyDescent="0.3">
      <c r="A165" s="5">
        <v>45726</v>
      </c>
      <c r="B165" t="s">
        <v>19</v>
      </c>
      <c r="C165" s="3">
        <v>2827</v>
      </c>
      <c r="D165" s="3">
        <v>292</v>
      </c>
      <c r="E165" s="3">
        <v>997585</v>
      </c>
      <c r="F165" s="3">
        <f>Table4_14[[#This Row],[New_Followers]]-Table4_14[[#This Row],[Unfollows]]</f>
        <v>2535</v>
      </c>
      <c r="G165" s="4">
        <v>2.5411368454818402E-3</v>
      </c>
      <c r="H165">
        <v>2.4004972007397871</v>
      </c>
      <c r="I165" s="6">
        <v>17896</v>
      </c>
    </row>
    <row r="166" spans="1:9" x14ac:dyDescent="0.3">
      <c r="A166" s="5">
        <v>45733</v>
      </c>
      <c r="B166" t="s">
        <v>19</v>
      </c>
      <c r="C166" s="3">
        <v>7979</v>
      </c>
      <c r="D166" s="3">
        <v>470</v>
      </c>
      <c r="E166" s="3">
        <v>1005094</v>
      </c>
      <c r="F166" s="3">
        <f>Table4_14[[#This Row],[New_Followers]]-Table4_14[[#This Row],[Unfollows]]</f>
        <v>7509</v>
      </c>
      <c r="G166" s="4">
        <v>7.4709430162751E-3</v>
      </c>
      <c r="H166">
        <v>10.43086517280971</v>
      </c>
      <c r="I166" s="6">
        <v>42972</v>
      </c>
    </row>
    <row r="167" spans="1:9" x14ac:dyDescent="0.3">
      <c r="A167" s="5">
        <v>45733</v>
      </c>
      <c r="B167" t="s">
        <v>23</v>
      </c>
      <c r="C167" s="3">
        <v>9569</v>
      </c>
      <c r="D167" s="3">
        <v>1277</v>
      </c>
      <c r="E167" s="3">
        <v>1013386</v>
      </c>
      <c r="F167" s="3">
        <f>Table4_14[[#This Row],[New_Followers]]-Table4_14[[#This Row],[Unfollows]]</f>
        <v>8292</v>
      </c>
      <c r="G167" s="4">
        <v>8.1824694637581408E-3</v>
      </c>
      <c r="H167">
        <v>12.45517502708741</v>
      </c>
      <c r="I167" s="6">
        <v>59733</v>
      </c>
    </row>
    <row r="168" spans="1:9" x14ac:dyDescent="0.3">
      <c r="A168" s="5">
        <v>45733</v>
      </c>
      <c r="B168" t="s">
        <v>19</v>
      </c>
      <c r="C168" s="3">
        <v>5285</v>
      </c>
      <c r="D168" s="3">
        <v>433</v>
      </c>
      <c r="E168" s="3">
        <v>1018238</v>
      </c>
      <c r="F168" s="3">
        <f>Table4_14[[#This Row],[New_Followers]]-Table4_14[[#This Row],[Unfollows]]</f>
        <v>4852</v>
      </c>
      <c r="G168" s="4">
        <v>4.7650942117658203E-3</v>
      </c>
      <c r="H168">
        <v>8.7022876773406619</v>
      </c>
      <c r="I168" s="6">
        <v>51800</v>
      </c>
    </row>
    <row r="169" spans="1:9" x14ac:dyDescent="0.3">
      <c r="A169" s="5">
        <v>45733</v>
      </c>
      <c r="B169" t="s">
        <v>19</v>
      </c>
      <c r="C169" s="3">
        <v>7910</v>
      </c>
      <c r="D169" s="3">
        <v>543</v>
      </c>
      <c r="E169" s="3">
        <v>1025605</v>
      </c>
      <c r="F169" s="3">
        <f>Table4_14[[#This Row],[New_Followers]]-Table4_14[[#This Row],[Unfollows]]</f>
        <v>7367</v>
      </c>
      <c r="G169" s="4">
        <v>7.1830773055903598E-3</v>
      </c>
      <c r="H169">
        <v>6.0590578244060822</v>
      </c>
      <c r="I169" s="6">
        <v>40508</v>
      </c>
    </row>
    <row r="170" spans="1:9" x14ac:dyDescent="0.3">
      <c r="A170" s="5">
        <v>45740</v>
      </c>
      <c r="B170" t="s">
        <v>19</v>
      </c>
      <c r="C170" s="3">
        <v>9561</v>
      </c>
      <c r="D170" s="3">
        <v>517</v>
      </c>
      <c r="E170" s="3">
        <v>1034649</v>
      </c>
      <c r="F170" s="3">
        <f>Table4_14[[#This Row],[New_Followers]]-Table4_14[[#This Row],[Unfollows]]</f>
        <v>9044</v>
      </c>
      <c r="G170" s="4">
        <v>8.7411286339618595E-3</v>
      </c>
      <c r="H170">
        <v>6.4086467971263694</v>
      </c>
      <c r="I170" s="6">
        <v>15347</v>
      </c>
    </row>
    <row r="171" spans="1:9" x14ac:dyDescent="0.3">
      <c r="A171" s="5">
        <v>45740</v>
      </c>
      <c r="B171" t="s">
        <v>19</v>
      </c>
      <c r="C171" s="3">
        <v>3196</v>
      </c>
      <c r="D171" s="3">
        <v>348</v>
      </c>
      <c r="E171" s="3">
        <v>1037497</v>
      </c>
      <c r="F171" s="3">
        <f>Table4_14[[#This Row],[New_Followers]]-Table4_14[[#This Row],[Unfollows]]</f>
        <v>2848</v>
      </c>
      <c r="G171" s="4">
        <v>2.7450681785103999E-3</v>
      </c>
      <c r="H171">
        <v>14.03040201562029</v>
      </c>
      <c r="I171" s="6">
        <v>40314</v>
      </c>
    </row>
    <row r="172" spans="1:9" x14ac:dyDescent="0.3">
      <c r="A172" s="5">
        <v>45740</v>
      </c>
      <c r="B172" t="s">
        <v>14</v>
      </c>
      <c r="C172" s="3">
        <v>4747</v>
      </c>
      <c r="D172" s="3">
        <v>558</v>
      </c>
      <c r="E172" s="3">
        <v>1041686</v>
      </c>
      <c r="F172" s="3">
        <f>Table4_14[[#This Row],[New_Followers]]-Table4_14[[#This Row],[Unfollows]]</f>
        <v>4189</v>
      </c>
      <c r="G172" s="4">
        <v>4.0213653634588497E-3</v>
      </c>
      <c r="H172">
        <v>5.7680529449373434</v>
      </c>
      <c r="I172" s="6">
        <v>12643</v>
      </c>
    </row>
    <row r="173" spans="1:9" x14ac:dyDescent="0.3">
      <c r="A173" s="5">
        <v>45740</v>
      </c>
      <c r="B173" t="s">
        <v>19</v>
      </c>
      <c r="C173" s="3">
        <v>9843</v>
      </c>
      <c r="D173" s="3">
        <v>508</v>
      </c>
      <c r="E173" s="3">
        <v>1051021</v>
      </c>
      <c r="F173" s="3">
        <f>Table4_14[[#This Row],[New_Followers]]-Table4_14[[#This Row],[Unfollows]]</f>
        <v>9335</v>
      </c>
      <c r="G173" s="4">
        <v>8.8818396587699005E-3</v>
      </c>
      <c r="H173">
        <v>4.2080986012648651</v>
      </c>
      <c r="I173" s="6">
        <v>50785</v>
      </c>
    </row>
    <row r="174" spans="1:9" x14ac:dyDescent="0.3">
      <c r="A174" s="5">
        <v>45747</v>
      </c>
      <c r="B174" t="s">
        <v>41</v>
      </c>
      <c r="C174" s="3">
        <v>6978</v>
      </c>
      <c r="D174" s="3">
        <v>706</v>
      </c>
      <c r="E174" s="3">
        <v>1057293</v>
      </c>
      <c r="F174" s="3">
        <f>Table4_14[[#This Row],[New_Followers]]-Table4_14[[#This Row],[Unfollows]]</f>
        <v>6272</v>
      </c>
      <c r="G174" s="4">
        <v>5.9321304501212101E-3</v>
      </c>
      <c r="H174">
        <v>5.057443868445171</v>
      </c>
      <c r="I174" s="6">
        <v>28681</v>
      </c>
    </row>
    <row r="175" spans="1:9" x14ac:dyDescent="0.3">
      <c r="A175" s="5">
        <v>45747</v>
      </c>
      <c r="B175" t="s">
        <v>23</v>
      </c>
      <c r="C175" s="3">
        <v>6607</v>
      </c>
      <c r="D175" s="3">
        <v>479</v>
      </c>
      <c r="E175" s="3">
        <v>1063421</v>
      </c>
      <c r="F175" s="3">
        <f>Table4_14[[#This Row],[New_Followers]]-Table4_14[[#This Row],[Unfollows]]</f>
        <v>6128</v>
      </c>
      <c r="G175" s="4">
        <v>5.7625343114345098E-3</v>
      </c>
      <c r="H175">
        <v>5.5892257158735816</v>
      </c>
      <c r="I175" s="6">
        <v>48328</v>
      </c>
    </row>
    <row r="176" spans="1:9" x14ac:dyDescent="0.3">
      <c r="A176" s="5">
        <v>45747</v>
      </c>
      <c r="B176" t="s">
        <v>14</v>
      </c>
      <c r="C176" s="3">
        <v>1769</v>
      </c>
      <c r="D176" s="3">
        <v>202</v>
      </c>
      <c r="E176" s="3">
        <v>1064988</v>
      </c>
      <c r="F176" s="3">
        <f>Table4_14[[#This Row],[New_Followers]]-Table4_14[[#This Row],[Unfollows]]</f>
        <v>1567</v>
      </c>
      <c r="G176" s="4">
        <v>1.47137808125538E-3</v>
      </c>
      <c r="H176">
        <v>6.5457075572682513</v>
      </c>
      <c r="I176" s="6">
        <v>25892</v>
      </c>
    </row>
    <row r="177" spans="1:9" x14ac:dyDescent="0.3">
      <c r="A177" s="5">
        <v>45747</v>
      </c>
      <c r="B177" t="s">
        <v>19</v>
      </c>
      <c r="C177" s="3">
        <v>1780</v>
      </c>
      <c r="D177" s="3">
        <v>120</v>
      </c>
      <c r="E177" s="3">
        <v>1066648</v>
      </c>
      <c r="F177" s="3">
        <f>Table4_14[[#This Row],[New_Followers]]-Table4_14[[#This Row],[Unfollows]]</f>
        <v>1660</v>
      </c>
      <c r="G177" s="4">
        <v>1.55627723485161E-3</v>
      </c>
      <c r="H177">
        <v>13.86474263299608</v>
      </c>
      <c r="I177" s="6">
        <v>57299</v>
      </c>
    </row>
    <row r="178" spans="1:9" x14ac:dyDescent="0.3">
      <c r="A178" s="5">
        <v>45754</v>
      </c>
      <c r="B178" t="s">
        <v>14</v>
      </c>
      <c r="C178" s="3">
        <v>7303</v>
      </c>
      <c r="D178" s="3">
        <v>869</v>
      </c>
      <c r="E178" s="3">
        <v>1073082</v>
      </c>
      <c r="F178" s="3">
        <f>Table4_14[[#This Row],[New_Followers]]-Table4_14[[#This Row],[Unfollows]]</f>
        <v>6434</v>
      </c>
      <c r="G178" s="4">
        <v>5.9958139266151197E-3</v>
      </c>
      <c r="H178">
        <v>8.1237966902808925</v>
      </c>
      <c r="I178" s="6">
        <v>27073</v>
      </c>
    </row>
    <row r="179" spans="1:9" x14ac:dyDescent="0.3">
      <c r="A179" s="5">
        <v>45754</v>
      </c>
      <c r="B179" t="s">
        <v>19</v>
      </c>
      <c r="C179" s="3">
        <v>4983</v>
      </c>
      <c r="D179" s="3">
        <v>441</v>
      </c>
      <c r="E179" s="3">
        <v>1077624</v>
      </c>
      <c r="F179" s="3">
        <f>Table4_14[[#This Row],[New_Followers]]-Table4_14[[#This Row],[Unfollows]]</f>
        <v>4542</v>
      </c>
      <c r="G179" s="4">
        <v>4.2148281775461604E-3</v>
      </c>
      <c r="H179">
        <v>6.8954477628560609</v>
      </c>
      <c r="I179" s="6">
        <v>46768</v>
      </c>
    </row>
    <row r="180" spans="1:9" x14ac:dyDescent="0.3">
      <c r="A180" s="5">
        <v>45754</v>
      </c>
      <c r="B180" t="s">
        <v>41</v>
      </c>
      <c r="C180" s="3">
        <v>9714</v>
      </c>
      <c r="D180" s="3">
        <v>1395</v>
      </c>
      <c r="E180" s="3">
        <v>1085943</v>
      </c>
      <c r="F180" s="3">
        <f>Table4_14[[#This Row],[New_Followers]]-Table4_14[[#This Row],[Unfollows]]</f>
        <v>8319</v>
      </c>
      <c r="G180" s="4">
        <v>7.6606230713766798E-3</v>
      </c>
      <c r="H180">
        <v>5.2243073531483697</v>
      </c>
      <c r="I180" s="6">
        <v>40682</v>
      </c>
    </row>
    <row r="181" spans="1:9" x14ac:dyDescent="0.3">
      <c r="A181" s="5">
        <v>45754</v>
      </c>
      <c r="B181" t="s">
        <v>23</v>
      </c>
      <c r="C181" s="3">
        <v>1521</v>
      </c>
      <c r="D181" s="3">
        <v>96</v>
      </c>
      <c r="E181" s="3">
        <v>1087368</v>
      </c>
      <c r="F181" s="3">
        <f>Table4_14[[#This Row],[New_Followers]]-Table4_14[[#This Row],[Unfollows]]</f>
        <v>1425</v>
      </c>
      <c r="G181" s="4">
        <v>1.31050389564526E-3</v>
      </c>
      <c r="H181">
        <v>12.709772588488899</v>
      </c>
      <c r="I181" s="6">
        <v>42262</v>
      </c>
    </row>
    <row r="182" spans="1:9" x14ac:dyDescent="0.3">
      <c r="A182" s="5">
        <v>45761</v>
      </c>
      <c r="B182" t="s">
        <v>19</v>
      </c>
      <c r="C182" s="3">
        <v>8569</v>
      </c>
      <c r="D182" s="3">
        <v>720</v>
      </c>
      <c r="E182" s="3">
        <v>1095217</v>
      </c>
      <c r="F182" s="3">
        <f>Table4_14[[#This Row],[New_Followers]]-Table4_14[[#This Row],[Unfollows]]</f>
        <v>7849</v>
      </c>
      <c r="G182" s="4">
        <v>7.1666162961312703E-3</v>
      </c>
      <c r="H182">
        <v>9.589697749395782</v>
      </c>
      <c r="I182" s="6">
        <v>41358</v>
      </c>
    </row>
    <row r="183" spans="1:9" x14ac:dyDescent="0.3">
      <c r="A183" s="5">
        <v>45761</v>
      </c>
      <c r="B183" t="s">
        <v>19</v>
      </c>
      <c r="C183" s="3">
        <v>6784</v>
      </c>
      <c r="D183" s="3">
        <v>416</v>
      </c>
      <c r="E183" s="3">
        <v>1101585</v>
      </c>
      <c r="F183" s="3">
        <f>Table4_14[[#This Row],[New_Followers]]-Table4_14[[#This Row],[Unfollows]]</f>
        <v>6368</v>
      </c>
      <c r="G183" s="4">
        <v>5.7807613574985097E-3</v>
      </c>
      <c r="H183">
        <v>9.3041390360253633</v>
      </c>
      <c r="I183" s="6">
        <v>24289</v>
      </c>
    </row>
    <row r="184" spans="1:9" x14ac:dyDescent="0.3">
      <c r="A184" s="5">
        <v>45761</v>
      </c>
      <c r="B184" t="s">
        <v>19</v>
      </c>
      <c r="C184" s="3">
        <v>5583</v>
      </c>
      <c r="D184" s="3">
        <v>795</v>
      </c>
      <c r="E184" s="3">
        <v>1106373</v>
      </c>
      <c r="F184" s="3">
        <f>Table4_14[[#This Row],[New_Followers]]-Table4_14[[#This Row],[Unfollows]]</f>
        <v>4788</v>
      </c>
      <c r="G184" s="4">
        <v>4.3276544167292598E-3</v>
      </c>
      <c r="H184">
        <v>12.21550055903389</v>
      </c>
      <c r="I184" s="6">
        <v>59823</v>
      </c>
    </row>
    <row r="185" spans="1:9" x14ac:dyDescent="0.3">
      <c r="A185" s="5">
        <v>45761</v>
      </c>
      <c r="B185" t="s">
        <v>19</v>
      </c>
      <c r="C185" s="3">
        <v>6946</v>
      </c>
      <c r="D185" s="3">
        <v>956</v>
      </c>
      <c r="E185" s="3">
        <v>1112363</v>
      </c>
      <c r="F185" s="3">
        <f>Table4_14[[#This Row],[New_Followers]]-Table4_14[[#This Row],[Unfollows]]</f>
        <v>5990</v>
      </c>
      <c r="G185" s="4">
        <v>5.3849327962185002E-3</v>
      </c>
      <c r="H185">
        <v>1.64146056637986</v>
      </c>
      <c r="I185" s="6">
        <v>17927</v>
      </c>
    </row>
    <row r="186" spans="1:9" x14ac:dyDescent="0.3">
      <c r="A186" s="5">
        <v>45768</v>
      </c>
      <c r="B186" t="s">
        <v>23</v>
      </c>
      <c r="C186" s="3">
        <v>5941</v>
      </c>
      <c r="D186" s="3">
        <v>450</v>
      </c>
      <c r="E186" s="3">
        <v>1117854</v>
      </c>
      <c r="F186" s="3">
        <f>Table4_14[[#This Row],[New_Followers]]-Table4_14[[#This Row],[Unfollows]]</f>
        <v>5491</v>
      </c>
      <c r="G186" s="4">
        <v>4.9120904876665504E-3</v>
      </c>
      <c r="H186">
        <v>12.414411899944</v>
      </c>
      <c r="I186" s="6">
        <v>58330</v>
      </c>
    </row>
    <row r="187" spans="1:9" x14ac:dyDescent="0.3">
      <c r="A187" s="5">
        <v>45768</v>
      </c>
      <c r="B187" t="s">
        <v>23</v>
      </c>
      <c r="C187" s="3">
        <v>7267</v>
      </c>
      <c r="D187" s="3">
        <v>842</v>
      </c>
      <c r="E187" s="3">
        <v>1124279</v>
      </c>
      <c r="F187" s="3">
        <f>Table4_14[[#This Row],[New_Followers]]-Table4_14[[#This Row],[Unfollows]]</f>
        <v>6425</v>
      </c>
      <c r="G187" s="4">
        <v>5.7147736460433796E-3</v>
      </c>
      <c r="H187">
        <v>2.2102165031989389</v>
      </c>
      <c r="I187" s="6">
        <v>11171</v>
      </c>
    </row>
    <row r="188" spans="1:9" x14ac:dyDescent="0.3">
      <c r="A188" s="5">
        <v>45768</v>
      </c>
      <c r="B188" t="s">
        <v>41</v>
      </c>
      <c r="C188" s="3">
        <v>8128</v>
      </c>
      <c r="D188" s="3">
        <v>1070</v>
      </c>
      <c r="E188" s="3">
        <v>1131337</v>
      </c>
      <c r="F188" s="3">
        <f>Table4_14[[#This Row],[New_Followers]]-Table4_14[[#This Row],[Unfollows]]</f>
        <v>7058</v>
      </c>
      <c r="G188" s="4">
        <v>6.2386362330587603E-3</v>
      </c>
      <c r="H188">
        <v>8.1114645768679008</v>
      </c>
      <c r="I188" s="6">
        <v>21918</v>
      </c>
    </row>
    <row r="189" spans="1:9" x14ac:dyDescent="0.3">
      <c r="A189" s="5">
        <v>45768</v>
      </c>
      <c r="B189" t="s">
        <v>23</v>
      </c>
      <c r="C189" s="3">
        <v>3461</v>
      </c>
      <c r="D189" s="3">
        <v>365</v>
      </c>
      <c r="E189" s="3">
        <v>1134433</v>
      </c>
      <c r="F189" s="3">
        <f>Table4_14[[#This Row],[New_Followers]]-Table4_14[[#This Row],[Unfollows]]</f>
        <v>3096</v>
      </c>
      <c r="G189" s="4">
        <v>2.7291166600407401E-3</v>
      </c>
      <c r="H189">
        <v>10.23489267325616</v>
      </c>
      <c r="I189" s="6">
        <v>51903</v>
      </c>
    </row>
    <row r="190" spans="1:9" x14ac:dyDescent="0.3">
      <c r="A190" s="5">
        <v>45775</v>
      </c>
      <c r="B190" t="s">
        <v>19</v>
      </c>
      <c r="C190" s="3">
        <v>1685</v>
      </c>
      <c r="D190" s="3">
        <v>173</v>
      </c>
      <c r="E190" s="3">
        <v>1135945</v>
      </c>
      <c r="F190" s="3">
        <f>Table4_14[[#This Row],[New_Followers]]-Table4_14[[#This Row],[Unfollows]]</f>
        <v>1512</v>
      </c>
      <c r="G190" s="4">
        <v>1.33105035895224E-3</v>
      </c>
      <c r="H190">
        <v>8.7776256772995165</v>
      </c>
      <c r="I190" s="6">
        <v>49110</v>
      </c>
    </row>
    <row r="191" spans="1:9" x14ac:dyDescent="0.3">
      <c r="A191" s="5">
        <v>45775</v>
      </c>
      <c r="B191" t="s">
        <v>41</v>
      </c>
      <c r="C191" s="3">
        <v>3160</v>
      </c>
      <c r="D191" s="3">
        <v>234</v>
      </c>
      <c r="E191" s="3">
        <v>1138871</v>
      </c>
      <c r="F191" s="3">
        <f>Table4_14[[#This Row],[New_Followers]]-Table4_14[[#This Row],[Unfollows]]</f>
        <v>2926</v>
      </c>
      <c r="G191" s="4">
        <v>2.5692110871204901E-3</v>
      </c>
      <c r="H191">
        <v>5.6959041015180816</v>
      </c>
      <c r="I191" s="6">
        <v>21929</v>
      </c>
    </row>
    <row r="192" spans="1:9" x14ac:dyDescent="0.3">
      <c r="A192" s="5">
        <v>45775</v>
      </c>
      <c r="B192" t="s">
        <v>41</v>
      </c>
      <c r="C192" s="3">
        <v>8031</v>
      </c>
      <c r="D192" s="3">
        <v>476</v>
      </c>
      <c r="E192" s="3">
        <v>1146426</v>
      </c>
      <c r="F192" s="3">
        <f>Table4_14[[#This Row],[New_Followers]]-Table4_14[[#This Row],[Unfollows]]</f>
        <v>7555</v>
      </c>
      <c r="G192" s="4">
        <v>6.5900459340594202E-3</v>
      </c>
      <c r="H192">
        <v>11.940413075069831</v>
      </c>
      <c r="I192" s="6">
        <v>12539</v>
      </c>
    </row>
    <row r="193" spans="1:9" x14ac:dyDescent="0.3">
      <c r="A193" s="5">
        <v>45775</v>
      </c>
      <c r="B193" t="s">
        <v>41</v>
      </c>
      <c r="C193" s="3">
        <v>6341</v>
      </c>
      <c r="D193" s="3">
        <v>885</v>
      </c>
      <c r="E193" s="3">
        <v>1151882</v>
      </c>
      <c r="F193" s="3">
        <f>Table4_14[[#This Row],[New_Followers]]-Table4_14[[#This Row],[Unfollows]]</f>
        <v>5456</v>
      </c>
      <c r="G193" s="4">
        <v>4.7365962832998498E-3</v>
      </c>
      <c r="H193">
        <v>6.3457020771224837</v>
      </c>
      <c r="I193" s="6">
        <v>46727</v>
      </c>
    </row>
    <row r="194" spans="1:9" x14ac:dyDescent="0.3">
      <c r="A194" s="5">
        <v>45782</v>
      </c>
      <c r="B194" t="s">
        <v>19</v>
      </c>
      <c r="C194" s="3">
        <v>1038</v>
      </c>
      <c r="D194" s="3">
        <v>145</v>
      </c>
      <c r="E194" s="3">
        <v>1152775</v>
      </c>
      <c r="F194" s="3">
        <f>Table4_14[[#This Row],[New_Followers]]-Table4_14[[#This Row],[Unfollows]]</f>
        <v>893</v>
      </c>
      <c r="G194" s="4">
        <v>7.7465246904209403E-4</v>
      </c>
      <c r="H194">
        <v>11.093752033137431</v>
      </c>
      <c r="I194" s="6">
        <v>55951</v>
      </c>
    </row>
    <row r="195" spans="1:9" x14ac:dyDescent="0.3">
      <c r="A195" s="5">
        <v>45782</v>
      </c>
      <c r="B195" t="s">
        <v>14</v>
      </c>
      <c r="C195" s="3">
        <v>5875</v>
      </c>
      <c r="D195" s="3">
        <v>665</v>
      </c>
      <c r="E195" s="3">
        <v>1157985</v>
      </c>
      <c r="F195" s="3">
        <f>Table4_14[[#This Row],[New_Followers]]-Table4_14[[#This Row],[Unfollows]]</f>
        <v>5210</v>
      </c>
      <c r="G195" s="4">
        <v>4.4991947218659999E-3</v>
      </c>
      <c r="H195">
        <v>6.9871371390821126</v>
      </c>
      <c r="I195" s="6">
        <v>32669</v>
      </c>
    </row>
    <row r="196" spans="1:9" x14ac:dyDescent="0.3">
      <c r="A196" s="5">
        <v>45782</v>
      </c>
      <c r="B196" t="s">
        <v>19</v>
      </c>
      <c r="C196" s="3">
        <v>2256</v>
      </c>
      <c r="D196" s="3">
        <v>189</v>
      </c>
      <c r="E196" s="3">
        <v>1160052</v>
      </c>
      <c r="F196" s="3">
        <f>Table4_14[[#This Row],[New_Followers]]-Table4_14[[#This Row],[Unfollows]]</f>
        <v>2067</v>
      </c>
      <c r="G196" s="4">
        <v>1.7818166771834401E-3</v>
      </c>
      <c r="H196">
        <v>2.8935771844710412</v>
      </c>
      <c r="I196" s="6">
        <v>15432</v>
      </c>
    </row>
    <row r="197" spans="1:9" x14ac:dyDescent="0.3">
      <c r="A197" s="5">
        <v>45782</v>
      </c>
      <c r="B197" t="s">
        <v>23</v>
      </c>
      <c r="C197" s="3">
        <v>8697</v>
      </c>
      <c r="D197" s="3">
        <v>738</v>
      </c>
      <c r="E197" s="3">
        <v>1168011</v>
      </c>
      <c r="F197" s="3">
        <f>Table4_14[[#This Row],[New_Followers]]-Table4_14[[#This Row],[Unfollows]]</f>
        <v>7959</v>
      </c>
      <c r="G197" s="4">
        <v>6.8141481544266302E-3</v>
      </c>
      <c r="H197">
        <v>3.8777032065622672</v>
      </c>
      <c r="I197" s="6">
        <v>30644</v>
      </c>
    </row>
    <row r="198" spans="1:9" x14ac:dyDescent="0.3">
      <c r="A198" s="5">
        <v>45789</v>
      </c>
      <c r="B198" t="s">
        <v>23</v>
      </c>
      <c r="C198" s="3">
        <v>3196</v>
      </c>
      <c r="D198" s="3">
        <v>391</v>
      </c>
      <c r="E198" s="3">
        <v>1170816</v>
      </c>
      <c r="F198" s="3">
        <f>Table4_14[[#This Row],[New_Followers]]-Table4_14[[#This Row],[Unfollows]]</f>
        <v>2805</v>
      </c>
      <c r="G198" s="4">
        <v>2.39576500491965E-3</v>
      </c>
      <c r="H198">
        <v>7.2439221876024931</v>
      </c>
      <c r="I198" s="6">
        <v>28745</v>
      </c>
    </row>
    <row r="199" spans="1:9" x14ac:dyDescent="0.3">
      <c r="A199" s="5">
        <v>45789</v>
      </c>
      <c r="B199" t="s">
        <v>19</v>
      </c>
      <c r="C199" s="3">
        <v>8165</v>
      </c>
      <c r="D199" s="3">
        <v>1140</v>
      </c>
      <c r="E199" s="3">
        <v>1177841</v>
      </c>
      <c r="F199" s="3">
        <f>Table4_14[[#This Row],[New_Followers]]-Table4_14[[#This Row],[Unfollows]]</f>
        <v>7025</v>
      </c>
      <c r="G199" s="4">
        <v>5.9643024822535499E-3</v>
      </c>
      <c r="H199">
        <v>9.095964565675672</v>
      </c>
      <c r="I199" s="6">
        <v>38228</v>
      </c>
    </row>
    <row r="200" spans="1:9" x14ac:dyDescent="0.3">
      <c r="A200" s="5">
        <v>45789</v>
      </c>
      <c r="B200" t="s">
        <v>19</v>
      </c>
      <c r="C200" s="3">
        <v>1301</v>
      </c>
      <c r="D200" s="3">
        <v>180</v>
      </c>
      <c r="E200" s="3">
        <v>1178962</v>
      </c>
      <c r="F200" s="3">
        <f>Table4_14[[#This Row],[New_Followers]]-Table4_14[[#This Row],[Unfollows]]</f>
        <v>1121</v>
      </c>
      <c r="G200" s="4">
        <v>9.5083641372665096E-4</v>
      </c>
      <c r="H200">
        <v>5.2275645864752214</v>
      </c>
      <c r="I200" s="6">
        <v>44521</v>
      </c>
    </row>
    <row r="201" spans="1:9" x14ac:dyDescent="0.3">
      <c r="A201" s="5">
        <v>45789</v>
      </c>
      <c r="B201" t="s">
        <v>41</v>
      </c>
      <c r="C201" s="3">
        <v>8527</v>
      </c>
      <c r="D201" s="3">
        <v>1091</v>
      </c>
      <c r="E201" s="3">
        <v>1186398</v>
      </c>
      <c r="F201" s="3">
        <f>Table4_14[[#This Row],[New_Followers]]-Table4_14[[#This Row],[Unfollows]]</f>
        <v>7436</v>
      </c>
      <c r="G201" s="4">
        <v>6.2677111728104704E-3</v>
      </c>
      <c r="H201">
        <v>1.676081719625286</v>
      </c>
      <c r="I201" s="6">
        <v>41703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AEF1-53E6-4E32-A8D6-CFA3E8A87E12}">
  <dimension ref="A1:AA201"/>
  <sheetViews>
    <sheetView topLeftCell="I1" workbookViewId="0">
      <selection activeCell="AA6" sqref="AA6"/>
    </sheetView>
  </sheetViews>
  <sheetFormatPr defaultRowHeight="14.4" x14ac:dyDescent="0.3"/>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88671875" bestFit="1" customWidth="1"/>
    <col min="7" max="7" width="21" bestFit="1" customWidth="1"/>
    <col min="8" max="8" width="18" bestFit="1" customWidth="1"/>
    <col min="9" max="9" width="11.5546875" bestFit="1" customWidth="1"/>
    <col min="11" max="11" width="12.44140625" bestFit="1" customWidth="1"/>
    <col min="12" max="12" width="22.88671875" bestFit="1" customWidth="1"/>
    <col min="13" max="15" width="8.109375" bestFit="1" customWidth="1"/>
    <col min="16" max="16" width="10.5546875" bestFit="1" customWidth="1"/>
    <col min="27" max="27" width="49.33203125" bestFit="1" customWidth="1"/>
  </cols>
  <sheetData>
    <row r="1" spans="1:27" x14ac:dyDescent="0.3">
      <c r="A1" t="s">
        <v>338</v>
      </c>
      <c r="B1" t="s">
        <v>1</v>
      </c>
      <c r="C1" t="s">
        <v>339</v>
      </c>
      <c r="D1" t="s">
        <v>340</v>
      </c>
      <c r="E1" t="s">
        <v>341</v>
      </c>
      <c r="F1" t="s">
        <v>379</v>
      </c>
      <c r="G1" t="s">
        <v>342</v>
      </c>
      <c r="H1" t="s">
        <v>343</v>
      </c>
      <c r="I1" t="s">
        <v>344</v>
      </c>
      <c r="K1" s="16" t="s">
        <v>358</v>
      </c>
      <c r="L1" t="s">
        <v>385</v>
      </c>
    </row>
    <row r="2" spans="1:27" ht="15.6" x14ac:dyDescent="0.3">
      <c r="A2" s="5">
        <v>45446</v>
      </c>
      <c r="B2" t="s">
        <v>23</v>
      </c>
      <c r="C2" s="3">
        <v>4138</v>
      </c>
      <c r="D2" s="3">
        <v>361</v>
      </c>
      <c r="E2" s="3">
        <v>103777</v>
      </c>
      <c r="F2" s="3">
        <f>Table4_145[[#This Row],[New_Followers]]-Table4_145[[#This Row],[Unfollows]]</f>
        <v>3777</v>
      </c>
      <c r="G2" s="4">
        <v>3.6395347716738802E-2</v>
      </c>
      <c r="H2">
        <v>56.637790647253247</v>
      </c>
      <c r="I2" s="6">
        <v>23944</v>
      </c>
      <c r="K2" s="17">
        <v>45446</v>
      </c>
      <c r="L2" s="3">
        <v>27203</v>
      </c>
      <c r="AA2" s="13" t="s">
        <v>356</v>
      </c>
    </row>
    <row r="3" spans="1:27" x14ac:dyDescent="0.3">
      <c r="A3" s="5">
        <v>45446</v>
      </c>
      <c r="B3" t="s">
        <v>41</v>
      </c>
      <c r="C3" s="3">
        <v>8693</v>
      </c>
      <c r="D3" s="3">
        <v>1261</v>
      </c>
      <c r="E3" s="3">
        <v>111209</v>
      </c>
      <c r="F3" s="3">
        <f>Table4_145[[#This Row],[New_Followers]]-Table4_145[[#This Row],[Unfollows]]</f>
        <v>7432</v>
      </c>
      <c r="G3" s="4">
        <v>6.6829123542159405E-2</v>
      </c>
      <c r="H3">
        <v>69.475492091467416</v>
      </c>
      <c r="I3" s="6">
        <v>29873</v>
      </c>
      <c r="K3" s="17">
        <v>45453</v>
      </c>
      <c r="L3" s="3">
        <v>23062</v>
      </c>
    </row>
    <row r="4" spans="1:27" x14ac:dyDescent="0.3">
      <c r="A4" s="5">
        <v>45446</v>
      </c>
      <c r="B4" t="s">
        <v>14</v>
      </c>
      <c r="C4" s="3">
        <v>9264</v>
      </c>
      <c r="D4" s="3">
        <v>1141</v>
      </c>
      <c r="E4" s="3">
        <v>119332</v>
      </c>
      <c r="F4" s="3">
        <f>Table4_145[[#This Row],[New_Followers]]-Table4_145[[#This Row],[Unfollows]]</f>
        <v>8123</v>
      </c>
      <c r="G4" s="4">
        <v>6.8070592967519203E-2</v>
      </c>
      <c r="H4">
        <v>92.312204605638044</v>
      </c>
      <c r="I4" s="6">
        <v>50372</v>
      </c>
      <c r="K4" s="17">
        <v>45460</v>
      </c>
      <c r="L4" s="3">
        <v>25931</v>
      </c>
      <c r="AA4" s="14" t="s">
        <v>364</v>
      </c>
    </row>
    <row r="5" spans="1:27" x14ac:dyDescent="0.3">
      <c r="A5" s="5">
        <v>45446</v>
      </c>
      <c r="B5" t="s">
        <v>14</v>
      </c>
      <c r="C5" s="3">
        <v>8842</v>
      </c>
      <c r="D5" s="3">
        <v>971</v>
      </c>
      <c r="E5" s="3">
        <v>127203</v>
      </c>
      <c r="F5" s="3">
        <f>Table4_145[[#This Row],[New_Followers]]-Table4_145[[#This Row],[Unfollows]]</f>
        <v>7871</v>
      </c>
      <c r="G5" s="4">
        <v>6.1877471443283601E-2</v>
      </c>
      <c r="H5">
        <v>16.351815601833291</v>
      </c>
      <c r="I5" s="6">
        <v>33928</v>
      </c>
      <c r="K5" s="17">
        <v>45467</v>
      </c>
      <c r="L5" s="3">
        <v>28622</v>
      </c>
    </row>
    <row r="6" spans="1:27" x14ac:dyDescent="0.3">
      <c r="A6" s="5">
        <v>45453</v>
      </c>
      <c r="B6" t="s">
        <v>23</v>
      </c>
      <c r="C6" s="3">
        <v>7721</v>
      </c>
      <c r="D6" s="3">
        <v>506</v>
      </c>
      <c r="E6" s="3">
        <v>134418</v>
      </c>
      <c r="F6" s="3">
        <f>Table4_145[[#This Row],[New_Followers]]-Table4_145[[#This Row],[Unfollows]]</f>
        <v>7215</v>
      </c>
      <c r="G6" s="4">
        <v>5.3675846984778799E-2</v>
      </c>
      <c r="H6">
        <v>35.577824398518047</v>
      </c>
      <c r="I6" s="6">
        <v>25379</v>
      </c>
      <c r="K6" s="17">
        <v>45474</v>
      </c>
      <c r="L6" s="3">
        <v>19833</v>
      </c>
      <c r="AA6" s="15" t="s">
        <v>400</v>
      </c>
    </row>
    <row r="7" spans="1:27" x14ac:dyDescent="0.3">
      <c r="A7" s="5">
        <v>45453</v>
      </c>
      <c r="B7" t="s">
        <v>14</v>
      </c>
      <c r="C7" s="3">
        <v>8002</v>
      </c>
      <c r="D7" s="3">
        <v>524</v>
      </c>
      <c r="E7" s="3">
        <v>141896</v>
      </c>
      <c r="F7" s="3">
        <f>Table4_145[[#This Row],[New_Followers]]-Table4_145[[#This Row],[Unfollows]]</f>
        <v>7478</v>
      </c>
      <c r="G7" s="4">
        <v>5.2700569431132702E-2</v>
      </c>
      <c r="H7">
        <v>52.064892597395271</v>
      </c>
      <c r="I7" s="6">
        <v>46751</v>
      </c>
      <c r="K7" s="17">
        <v>45481</v>
      </c>
      <c r="L7" s="3">
        <v>18529</v>
      </c>
      <c r="AA7" s="15" t="s">
        <v>390</v>
      </c>
    </row>
    <row r="8" spans="1:27" x14ac:dyDescent="0.3">
      <c r="A8" s="5">
        <v>45453</v>
      </c>
      <c r="B8" t="s">
        <v>41</v>
      </c>
      <c r="C8" s="3">
        <v>5225</v>
      </c>
      <c r="D8" s="3">
        <v>291</v>
      </c>
      <c r="E8" s="3">
        <v>146830</v>
      </c>
      <c r="F8" s="3">
        <f>Table4_145[[#This Row],[New_Followers]]-Table4_145[[#This Row],[Unfollows]]</f>
        <v>4934</v>
      </c>
      <c r="G8" s="4">
        <v>3.3603487025812201E-2</v>
      </c>
      <c r="H8">
        <v>19.551862698358651</v>
      </c>
      <c r="I8" s="6">
        <v>44546</v>
      </c>
      <c r="K8" s="17">
        <v>45488</v>
      </c>
      <c r="L8" s="3">
        <v>13885</v>
      </c>
      <c r="AA8" s="15" t="s">
        <v>392</v>
      </c>
    </row>
    <row r="9" spans="1:27" x14ac:dyDescent="0.3">
      <c r="A9" s="5">
        <v>45453</v>
      </c>
      <c r="B9" t="s">
        <v>41</v>
      </c>
      <c r="C9" s="3">
        <v>3978</v>
      </c>
      <c r="D9" s="3">
        <v>543</v>
      </c>
      <c r="E9" s="3">
        <v>150265</v>
      </c>
      <c r="F9" s="3">
        <f>Table4_145[[#This Row],[New_Followers]]-Table4_145[[#This Row],[Unfollows]]</f>
        <v>3435</v>
      </c>
      <c r="G9" s="4">
        <v>2.2859614680730701E-2</v>
      </c>
      <c r="H9">
        <v>49.159817655475329</v>
      </c>
      <c r="I9" s="6">
        <v>34286</v>
      </c>
      <c r="K9" s="17">
        <v>45495</v>
      </c>
      <c r="L9" s="3">
        <v>32218</v>
      </c>
      <c r="AA9" s="15" t="s">
        <v>387</v>
      </c>
    </row>
    <row r="10" spans="1:27" x14ac:dyDescent="0.3">
      <c r="A10" s="5">
        <v>45460</v>
      </c>
      <c r="B10" t="s">
        <v>23</v>
      </c>
      <c r="C10" s="3">
        <v>8373</v>
      </c>
      <c r="D10" s="3">
        <v>921</v>
      </c>
      <c r="E10" s="3">
        <v>157717</v>
      </c>
      <c r="F10" s="3">
        <f>Table4_145[[#This Row],[New_Followers]]-Table4_145[[#This Row],[Unfollows]]</f>
        <v>7452</v>
      </c>
      <c r="G10" s="4">
        <v>4.7249186834646899E-2</v>
      </c>
      <c r="H10">
        <v>12.2263294381709</v>
      </c>
      <c r="I10" s="6">
        <v>15110</v>
      </c>
      <c r="K10" s="17">
        <v>45502</v>
      </c>
      <c r="L10" s="3">
        <v>17021</v>
      </c>
      <c r="AA10" s="15" t="s">
        <v>384</v>
      </c>
    </row>
    <row r="11" spans="1:27" x14ac:dyDescent="0.3">
      <c r="A11" s="5">
        <v>45460</v>
      </c>
      <c r="B11" t="s">
        <v>41</v>
      </c>
      <c r="C11" s="3">
        <v>6907</v>
      </c>
      <c r="D11" s="3">
        <v>834</v>
      </c>
      <c r="E11" s="3">
        <v>163790</v>
      </c>
      <c r="F11" s="3">
        <f>Table4_145[[#This Row],[New_Followers]]-Table4_145[[#This Row],[Unfollows]]</f>
        <v>6073</v>
      </c>
      <c r="G11" s="4">
        <v>3.70779656877709E-2</v>
      </c>
      <c r="H11">
        <v>54.158984064961238</v>
      </c>
      <c r="I11" s="6">
        <v>22087</v>
      </c>
      <c r="K11" s="17">
        <v>45509</v>
      </c>
      <c r="L11" s="3">
        <v>14100</v>
      </c>
      <c r="AA11" s="15" t="s">
        <v>388</v>
      </c>
    </row>
    <row r="12" spans="1:27" x14ac:dyDescent="0.3">
      <c r="A12" s="5">
        <v>45460</v>
      </c>
      <c r="B12" t="s">
        <v>19</v>
      </c>
      <c r="C12" s="3">
        <v>7097</v>
      </c>
      <c r="D12" s="3">
        <v>369</v>
      </c>
      <c r="E12" s="3">
        <v>170518</v>
      </c>
      <c r="F12" s="3">
        <f>Table4_145[[#This Row],[New_Followers]]-Table4_145[[#This Row],[Unfollows]]</f>
        <v>6728</v>
      </c>
      <c r="G12" s="4">
        <v>3.9456245088495101E-2</v>
      </c>
      <c r="H12">
        <v>9.2506362964613711</v>
      </c>
      <c r="I12" s="6">
        <v>33762</v>
      </c>
      <c r="K12" s="17">
        <v>45516</v>
      </c>
      <c r="L12" s="3">
        <v>26686</v>
      </c>
      <c r="AA12" s="15" t="s">
        <v>389</v>
      </c>
    </row>
    <row r="13" spans="1:27" x14ac:dyDescent="0.3">
      <c r="A13" s="5">
        <v>45460</v>
      </c>
      <c r="B13" t="s">
        <v>23</v>
      </c>
      <c r="C13" s="3">
        <v>6656</v>
      </c>
      <c r="D13" s="3">
        <v>978</v>
      </c>
      <c r="E13" s="3">
        <v>176196</v>
      </c>
      <c r="F13" s="3">
        <f>Table4_145[[#This Row],[New_Followers]]-Table4_145[[#This Row],[Unfollows]]</f>
        <v>5678</v>
      </c>
      <c r="G13" s="4">
        <v>3.2225476174260498E-2</v>
      </c>
      <c r="H13">
        <v>60.425889350496043</v>
      </c>
      <c r="I13" s="6">
        <v>27081</v>
      </c>
      <c r="K13" s="17">
        <v>45523</v>
      </c>
      <c r="L13" s="3">
        <v>23262</v>
      </c>
      <c r="AA13" s="15" t="s">
        <v>391</v>
      </c>
    </row>
    <row r="14" spans="1:27" x14ac:dyDescent="0.3">
      <c r="A14" s="5">
        <v>45467</v>
      </c>
      <c r="B14" t="s">
        <v>41</v>
      </c>
      <c r="C14" s="3">
        <v>9984</v>
      </c>
      <c r="D14" s="3">
        <v>1330</v>
      </c>
      <c r="E14" s="3">
        <v>184850</v>
      </c>
      <c r="F14" s="3">
        <f>Table4_145[[#This Row],[New_Followers]]-Table4_145[[#This Row],[Unfollows]]</f>
        <v>8654</v>
      </c>
      <c r="G14" s="4">
        <v>4.6816337571003501E-2</v>
      </c>
      <c r="H14">
        <v>57.524479307546663</v>
      </c>
      <c r="I14" s="6">
        <v>44947</v>
      </c>
      <c r="K14" s="17">
        <v>45530</v>
      </c>
      <c r="L14" s="3">
        <v>20800</v>
      </c>
    </row>
    <row r="15" spans="1:27" x14ac:dyDescent="0.3">
      <c r="A15" s="5">
        <v>45467</v>
      </c>
      <c r="B15" t="s">
        <v>23</v>
      </c>
      <c r="C15" s="3">
        <v>5259</v>
      </c>
      <c r="D15" s="3">
        <v>374</v>
      </c>
      <c r="E15" s="3">
        <v>189735</v>
      </c>
      <c r="F15" s="3">
        <f>Table4_145[[#This Row],[New_Followers]]-Table4_145[[#This Row],[Unfollows]]</f>
        <v>4885</v>
      </c>
      <c r="G15" s="4">
        <v>2.5746435818378301E-2</v>
      </c>
      <c r="H15">
        <v>14.827522597306769</v>
      </c>
      <c r="I15" s="6">
        <v>19596</v>
      </c>
      <c r="K15" s="17">
        <v>45537</v>
      </c>
      <c r="L15" s="3">
        <v>22217</v>
      </c>
    </row>
    <row r="16" spans="1:27" x14ac:dyDescent="0.3">
      <c r="A16" s="5">
        <v>45467</v>
      </c>
      <c r="B16" t="s">
        <v>14</v>
      </c>
      <c r="C16" s="3">
        <v>9286</v>
      </c>
      <c r="D16" s="3">
        <v>633</v>
      </c>
      <c r="E16" s="3">
        <v>198388</v>
      </c>
      <c r="F16" s="3">
        <f>Table4_145[[#This Row],[New_Followers]]-Table4_145[[#This Row],[Unfollows]]</f>
        <v>8653</v>
      </c>
      <c r="G16" s="4">
        <v>4.3616549388067798E-2</v>
      </c>
      <c r="H16">
        <v>5.4343004617214756</v>
      </c>
      <c r="I16" s="6">
        <v>48019</v>
      </c>
      <c r="K16" s="17">
        <v>45544</v>
      </c>
      <c r="L16" s="3">
        <v>25176</v>
      </c>
    </row>
    <row r="17" spans="1:12" x14ac:dyDescent="0.3">
      <c r="A17" s="5">
        <v>45467</v>
      </c>
      <c r="B17" t="s">
        <v>41</v>
      </c>
      <c r="C17" s="3">
        <v>6901</v>
      </c>
      <c r="D17" s="3">
        <v>471</v>
      </c>
      <c r="E17" s="3">
        <v>204818</v>
      </c>
      <c r="F17" s="3">
        <f>Table4_145[[#This Row],[New_Followers]]-Table4_145[[#This Row],[Unfollows]]</f>
        <v>6430</v>
      </c>
      <c r="G17" s="4">
        <v>3.1393725160874499E-2</v>
      </c>
      <c r="H17">
        <v>60.827661631301943</v>
      </c>
      <c r="I17" s="6">
        <v>52003</v>
      </c>
      <c r="K17" s="17">
        <v>45551</v>
      </c>
      <c r="L17" s="3">
        <v>15432</v>
      </c>
    </row>
    <row r="18" spans="1:12" x14ac:dyDescent="0.3">
      <c r="A18" s="5">
        <v>45474</v>
      </c>
      <c r="B18" t="s">
        <v>19</v>
      </c>
      <c r="C18" s="3">
        <v>5917</v>
      </c>
      <c r="D18" s="3">
        <v>475</v>
      </c>
      <c r="E18" s="3">
        <v>210260</v>
      </c>
      <c r="F18" s="3">
        <f>Table4_145[[#This Row],[New_Followers]]-Table4_145[[#This Row],[Unfollows]]</f>
        <v>5442</v>
      </c>
      <c r="G18" s="4">
        <v>2.5882241034909201E-2</v>
      </c>
      <c r="H18">
        <v>17.894035955483691</v>
      </c>
      <c r="I18" s="6">
        <v>28313</v>
      </c>
      <c r="K18" s="17">
        <v>45558</v>
      </c>
      <c r="L18" s="3">
        <v>17982</v>
      </c>
    </row>
    <row r="19" spans="1:12" x14ac:dyDescent="0.3">
      <c r="A19" s="5">
        <v>45474</v>
      </c>
      <c r="B19" t="s">
        <v>41</v>
      </c>
      <c r="C19" s="3">
        <v>9429</v>
      </c>
      <c r="D19" s="3">
        <v>966</v>
      </c>
      <c r="E19" s="3">
        <v>218723</v>
      </c>
      <c r="F19" s="3">
        <f>Table4_145[[#This Row],[New_Followers]]-Table4_145[[#This Row],[Unfollows]]</f>
        <v>8463</v>
      </c>
      <c r="G19" s="4">
        <v>3.8692775794040901E-2</v>
      </c>
      <c r="H19">
        <v>7.6914636320825887</v>
      </c>
      <c r="I19" s="6">
        <v>57639</v>
      </c>
      <c r="K19" s="17">
        <v>45565</v>
      </c>
      <c r="L19" s="3">
        <v>18434</v>
      </c>
    </row>
    <row r="20" spans="1:12" x14ac:dyDescent="0.3">
      <c r="A20" s="5">
        <v>45474</v>
      </c>
      <c r="B20" t="s">
        <v>23</v>
      </c>
      <c r="C20" s="3">
        <v>3530</v>
      </c>
      <c r="D20" s="3">
        <v>328</v>
      </c>
      <c r="E20" s="3">
        <v>221925</v>
      </c>
      <c r="F20" s="3">
        <f>Table4_145[[#This Row],[New_Followers]]-Table4_145[[#This Row],[Unfollows]]</f>
        <v>3202</v>
      </c>
      <c r="G20" s="4">
        <v>1.44282978483722E-2</v>
      </c>
      <c r="H20">
        <v>12.8372197814577</v>
      </c>
      <c r="I20" s="6">
        <v>11013</v>
      </c>
      <c r="K20" s="17">
        <v>45572</v>
      </c>
      <c r="L20" s="3">
        <v>17577</v>
      </c>
    </row>
    <row r="21" spans="1:12" x14ac:dyDescent="0.3">
      <c r="A21" s="5">
        <v>45474</v>
      </c>
      <c r="B21" t="s">
        <v>23</v>
      </c>
      <c r="C21" s="3">
        <v>2960</v>
      </c>
      <c r="D21" s="3">
        <v>234</v>
      </c>
      <c r="E21" s="3">
        <v>224651</v>
      </c>
      <c r="F21" s="3">
        <f>Table4_145[[#This Row],[New_Followers]]-Table4_145[[#This Row],[Unfollows]]</f>
        <v>2726</v>
      </c>
      <c r="G21" s="4">
        <v>1.21343773230478E-2</v>
      </c>
      <c r="H21">
        <v>17.41278694508371</v>
      </c>
      <c r="I21" s="6">
        <v>59378</v>
      </c>
      <c r="K21" s="17">
        <v>45579</v>
      </c>
      <c r="L21" s="3">
        <v>23371</v>
      </c>
    </row>
    <row r="22" spans="1:12" x14ac:dyDescent="0.3">
      <c r="A22" s="5">
        <v>45481</v>
      </c>
      <c r="B22" t="s">
        <v>41</v>
      </c>
      <c r="C22" s="3">
        <v>8045</v>
      </c>
      <c r="D22" s="3">
        <v>894</v>
      </c>
      <c r="E22" s="3">
        <v>231802</v>
      </c>
      <c r="F22" s="3">
        <f>Table4_145[[#This Row],[New_Followers]]-Table4_145[[#This Row],[Unfollows]]</f>
        <v>7151</v>
      </c>
      <c r="G22" s="4">
        <v>3.0849604403758401E-2</v>
      </c>
      <c r="H22">
        <v>47.634187798207087</v>
      </c>
      <c r="I22" s="6">
        <v>33705</v>
      </c>
      <c r="K22" s="17">
        <v>45586</v>
      </c>
      <c r="L22" s="3">
        <v>30891</v>
      </c>
    </row>
    <row r="23" spans="1:12" x14ac:dyDescent="0.3">
      <c r="A23" s="5">
        <v>45481</v>
      </c>
      <c r="B23" t="s">
        <v>19</v>
      </c>
      <c r="C23" s="3">
        <v>2048</v>
      </c>
      <c r="D23" s="3">
        <v>130</v>
      </c>
      <c r="E23" s="3">
        <v>233720</v>
      </c>
      <c r="F23" s="3">
        <f>Table4_145[[#This Row],[New_Followers]]-Table4_145[[#This Row],[Unfollows]]</f>
        <v>1918</v>
      </c>
      <c r="G23" s="4">
        <v>8.2064008214958097E-3</v>
      </c>
      <c r="H23">
        <v>39.284614068115687</v>
      </c>
      <c r="I23" s="6">
        <v>11828</v>
      </c>
      <c r="K23" s="17">
        <v>45593</v>
      </c>
      <c r="L23" s="3">
        <v>27254</v>
      </c>
    </row>
    <row r="24" spans="1:12" x14ac:dyDescent="0.3">
      <c r="A24" s="5">
        <v>45481</v>
      </c>
      <c r="B24" t="s">
        <v>19</v>
      </c>
      <c r="C24" s="3">
        <v>6772</v>
      </c>
      <c r="D24" s="3">
        <v>536</v>
      </c>
      <c r="E24" s="3">
        <v>239956</v>
      </c>
      <c r="F24" s="3">
        <f>Table4_145[[#This Row],[New_Followers]]-Table4_145[[#This Row],[Unfollows]]</f>
        <v>6236</v>
      </c>
      <c r="G24" s="4">
        <v>2.5988097817933299E-2</v>
      </c>
      <c r="H24">
        <v>9.8205504342462788</v>
      </c>
      <c r="I24" s="6">
        <v>17909</v>
      </c>
      <c r="K24" s="17">
        <v>45600</v>
      </c>
      <c r="L24" s="3">
        <v>16685</v>
      </c>
    </row>
    <row r="25" spans="1:12" x14ac:dyDescent="0.3">
      <c r="A25" s="5">
        <v>45481</v>
      </c>
      <c r="B25" t="s">
        <v>19</v>
      </c>
      <c r="C25" s="3">
        <v>3529</v>
      </c>
      <c r="D25" s="3">
        <v>305</v>
      </c>
      <c r="E25" s="3">
        <v>243180</v>
      </c>
      <c r="F25" s="3">
        <f>Table4_145[[#This Row],[New_Followers]]-Table4_145[[#This Row],[Unfollows]]</f>
        <v>3224</v>
      </c>
      <c r="G25" s="4">
        <v>1.3257669216218401E-2</v>
      </c>
      <c r="H25">
        <v>41.606628834608109</v>
      </c>
      <c r="I25" s="6">
        <v>48356</v>
      </c>
      <c r="K25" s="17">
        <v>45607</v>
      </c>
      <c r="L25" s="3">
        <v>19751</v>
      </c>
    </row>
    <row r="26" spans="1:12" x14ac:dyDescent="0.3">
      <c r="A26" s="5">
        <v>45488</v>
      </c>
      <c r="B26" t="s">
        <v>23</v>
      </c>
      <c r="C26" s="3">
        <v>3964</v>
      </c>
      <c r="D26" s="3">
        <v>378</v>
      </c>
      <c r="E26" s="3">
        <v>246766</v>
      </c>
      <c r="F26" s="3">
        <f>Table4_145[[#This Row],[New_Followers]]-Table4_145[[#This Row],[Unfollows]]</f>
        <v>3586</v>
      </c>
      <c r="G26" s="4">
        <v>1.45319857678935E-2</v>
      </c>
      <c r="H26">
        <v>13.6355899921383</v>
      </c>
      <c r="I26" s="6">
        <v>23109</v>
      </c>
      <c r="K26" s="17">
        <v>45614</v>
      </c>
      <c r="L26" s="3">
        <v>21238</v>
      </c>
    </row>
    <row r="27" spans="1:12" x14ac:dyDescent="0.3">
      <c r="A27" s="5">
        <v>45488</v>
      </c>
      <c r="B27" t="s">
        <v>41</v>
      </c>
      <c r="C27" s="3">
        <v>8137</v>
      </c>
      <c r="D27" s="3">
        <v>1045</v>
      </c>
      <c r="E27" s="3">
        <v>253858</v>
      </c>
      <c r="F27" s="3">
        <f>Table4_145[[#This Row],[New_Followers]]-Table4_145[[#This Row],[Unfollows]]</f>
        <v>7092</v>
      </c>
      <c r="G27" s="4">
        <v>2.79368780972039E-2</v>
      </c>
      <c r="H27">
        <v>20.47246886054408</v>
      </c>
      <c r="I27" s="6">
        <v>12023</v>
      </c>
      <c r="K27" s="17">
        <v>45621</v>
      </c>
      <c r="L27" s="3">
        <v>28625</v>
      </c>
    </row>
    <row r="28" spans="1:12" x14ac:dyDescent="0.3">
      <c r="A28" s="5">
        <v>45488</v>
      </c>
      <c r="B28" t="s">
        <v>14</v>
      </c>
      <c r="C28" s="3">
        <v>1963</v>
      </c>
      <c r="D28" s="3">
        <v>137</v>
      </c>
      <c r="E28" s="3">
        <v>255684</v>
      </c>
      <c r="F28" s="3">
        <f>Table4_145[[#This Row],[New_Followers]]-Table4_145[[#This Row],[Unfollows]]</f>
        <v>1826</v>
      </c>
      <c r="G28" s="4">
        <v>7.1416279469970799E-3</v>
      </c>
      <c r="H28">
        <v>11.2083665774941</v>
      </c>
      <c r="I28" s="6">
        <v>24537</v>
      </c>
      <c r="K28" s="17">
        <v>45628</v>
      </c>
      <c r="L28" s="3">
        <v>18330</v>
      </c>
    </row>
    <row r="29" spans="1:12" x14ac:dyDescent="0.3">
      <c r="A29" s="5">
        <v>45488</v>
      </c>
      <c r="B29" t="s">
        <v>23</v>
      </c>
      <c r="C29" s="3">
        <v>1536</v>
      </c>
      <c r="D29" s="3">
        <v>155</v>
      </c>
      <c r="E29" s="3">
        <v>257065</v>
      </c>
      <c r="F29" s="3">
        <f>Table4_145[[#This Row],[New_Followers]]-Table4_145[[#This Row],[Unfollows]]</f>
        <v>1381</v>
      </c>
      <c r="G29" s="4">
        <v>5.3721821329235798E-3</v>
      </c>
      <c r="H29">
        <v>12.15762550327738</v>
      </c>
      <c r="I29" s="6">
        <v>36661</v>
      </c>
      <c r="K29" s="17">
        <v>45635</v>
      </c>
      <c r="L29" s="3">
        <v>15842</v>
      </c>
    </row>
    <row r="30" spans="1:12" x14ac:dyDescent="0.3">
      <c r="A30" s="5">
        <v>45495</v>
      </c>
      <c r="B30" t="s">
        <v>19</v>
      </c>
      <c r="C30" s="3">
        <v>8340</v>
      </c>
      <c r="D30" s="3">
        <v>911</v>
      </c>
      <c r="E30" s="3">
        <v>264494</v>
      </c>
      <c r="F30" s="3">
        <f>Table4_145[[#This Row],[New_Followers]]-Table4_145[[#This Row],[Unfollows]]</f>
        <v>7429</v>
      </c>
      <c r="G30" s="4">
        <v>2.8087593669421599E-2</v>
      </c>
      <c r="H30">
        <v>37.302925586213682</v>
      </c>
      <c r="I30" s="6">
        <v>48659</v>
      </c>
      <c r="K30" s="17">
        <v>45642</v>
      </c>
      <c r="L30" s="3">
        <v>19604</v>
      </c>
    </row>
    <row r="31" spans="1:12" x14ac:dyDescent="0.3">
      <c r="A31" s="5">
        <v>45495</v>
      </c>
      <c r="B31" t="s">
        <v>41</v>
      </c>
      <c r="C31" s="3">
        <v>8179</v>
      </c>
      <c r="D31" s="3">
        <v>446</v>
      </c>
      <c r="E31" s="3">
        <v>272227</v>
      </c>
      <c r="F31" s="3">
        <f>Table4_145[[#This Row],[New_Followers]]-Table4_145[[#This Row],[Unfollows]]</f>
        <v>7733</v>
      </c>
      <c r="G31" s="4">
        <v>2.84064402134983E-2</v>
      </c>
      <c r="H31">
        <v>41.82171496581897</v>
      </c>
      <c r="I31" s="6">
        <v>43848</v>
      </c>
      <c r="K31" s="17">
        <v>45649</v>
      </c>
      <c r="L31" s="3">
        <v>19183</v>
      </c>
    </row>
    <row r="32" spans="1:12" x14ac:dyDescent="0.3">
      <c r="A32" s="5">
        <v>45495</v>
      </c>
      <c r="B32" t="s">
        <v>19</v>
      </c>
      <c r="C32" s="3">
        <v>8967</v>
      </c>
      <c r="D32" s="3">
        <v>993</v>
      </c>
      <c r="E32" s="3">
        <v>280201</v>
      </c>
      <c r="F32" s="3">
        <f>Table4_145[[#This Row],[New_Followers]]-Table4_145[[#This Row],[Unfollows]]</f>
        <v>7974</v>
      </c>
      <c r="G32" s="4">
        <v>2.8458142547671102E-2</v>
      </c>
      <c r="H32">
        <v>52.792102811910027</v>
      </c>
      <c r="I32" s="6">
        <v>47804</v>
      </c>
      <c r="K32" s="17">
        <v>45656</v>
      </c>
      <c r="L32" s="3">
        <v>23870</v>
      </c>
    </row>
    <row r="33" spans="1:12" x14ac:dyDescent="0.3">
      <c r="A33" s="5">
        <v>45495</v>
      </c>
      <c r="B33" t="s">
        <v>14</v>
      </c>
      <c r="C33" s="3">
        <v>9734</v>
      </c>
      <c r="D33" s="3">
        <v>652</v>
      </c>
      <c r="E33" s="3">
        <v>289283</v>
      </c>
      <c r="F33" s="3">
        <f>Table4_145[[#This Row],[New_Followers]]-Table4_145[[#This Row],[Unfollows]]</f>
        <v>9082</v>
      </c>
      <c r="G33" s="4">
        <v>3.1394862470314498E-2</v>
      </c>
      <c r="H33">
        <v>49.647922622483861</v>
      </c>
      <c r="I33" s="6">
        <v>25379</v>
      </c>
      <c r="K33" s="17">
        <v>45663</v>
      </c>
      <c r="L33" s="3">
        <v>27057</v>
      </c>
    </row>
    <row r="34" spans="1:12" x14ac:dyDescent="0.3">
      <c r="A34" s="5">
        <v>45502</v>
      </c>
      <c r="B34" t="s">
        <v>19</v>
      </c>
      <c r="C34" s="3">
        <v>1845</v>
      </c>
      <c r="D34" s="3">
        <v>104</v>
      </c>
      <c r="E34" s="3">
        <v>291024</v>
      </c>
      <c r="F34" s="3">
        <f>Table4_145[[#This Row],[New_Followers]]-Table4_145[[#This Row],[Unfollows]]</f>
        <v>1741</v>
      </c>
      <c r="G34" s="4">
        <v>5.9823244818296801E-3</v>
      </c>
      <c r="H34">
        <v>28.158158777282971</v>
      </c>
      <c r="I34" s="6">
        <v>37766</v>
      </c>
      <c r="K34" s="17">
        <v>45670</v>
      </c>
      <c r="L34" s="3">
        <v>18737</v>
      </c>
    </row>
    <row r="35" spans="1:12" x14ac:dyDescent="0.3">
      <c r="A35" s="5">
        <v>45502</v>
      </c>
      <c r="B35" t="s">
        <v>19</v>
      </c>
      <c r="C35" s="3">
        <v>6777</v>
      </c>
      <c r="D35" s="3">
        <v>981</v>
      </c>
      <c r="E35" s="3">
        <v>296820</v>
      </c>
      <c r="F35" s="3">
        <f>Table4_145[[#This Row],[New_Followers]]-Table4_145[[#This Row],[Unfollows]]</f>
        <v>5796</v>
      </c>
      <c r="G35" s="4">
        <v>1.9526986052152799E-2</v>
      </c>
      <c r="H35">
        <v>23.920557913887201</v>
      </c>
      <c r="I35" s="6">
        <v>53590</v>
      </c>
      <c r="K35" s="17">
        <v>45677</v>
      </c>
      <c r="L35" s="3">
        <v>27809</v>
      </c>
    </row>
    <row r="36" spans="1:12" x14ac:dyDescent="0.3">
      <c r="A36" s="5">
        <v>45502</v>
      </c>
      <c r="B36" t="s">
        <v>14</v>
      </c>
      <c r="C36" s="3">
        <v>4036</v>
      </c>
      <c r="D36" s="3">
        <v>591</v>
      </c>
      <c r="E36" s="3">
        <v>300265</v>
      </c>
      <c r="F36" s="3">
        <f>Table4_145[[#This Row],[New_Followers]]-Table4_145[[#This Row],[Unfollows]]</f>
        <v>3445</v>
      </c>
      <c r="G36" s="4">
        <v>1.1473198674504199E-2</v>
      </c>
      <c r="H36">
        <v>44.219272975538267</v>
      </c>
      <c r="I36" s="6">
        <v>12563</v>
      </c>
      <c r="K36" s="17">
        <v>45684</v>
      </c>
      <c r="L36" s="3">
        <v>22692</v>
      </c>
    </row>
    <row r="37" spans="1:12" x14ac:dyDescent="0.3">
      <c r="A37" s="5">
        <v>45502</v>
      </c>
      <c r="B37" t="s">
        <v>41</v>
      </c>
      <c r="C37" s="3">
        <v>6947</v>
      </c>
      <c r="D37" s="3">
        <v>908</v>
      </c>
      <c r="E37" s="3">
        <v>306304</v>
      </c>
      <c r="F37" s="3">
        <f>Table4_145[[#This Row],[New_Followers]]-Table4_145[[#This Row],[Unfollows]]</f>
        <v>6039</v>
      </c>
      <c r="G37" s="4">
        <v>1.9715707271207701E-2</v>
      </c>
      <c r="H37">
        <v>14.117673944839121</v>
      </c>
      <c r="I37" s="6">
        <v>46060</v>
      </c>
      <c r="K37" s="17">
        <v>45691</v>
      </c>
      <c r="L37" s="3">
        <v>28533</v>
      </c>
    </row>
    <row r="38" spans="1:12" x14ac:dyDescent="0.3">
      <c r="A38" s="5">
        <v>45509</v>
      </c>
      <c r="B38" t="s">
        <v>23</v>
      </c>
      <c r="C38" s="3">
        <v>3494</v>
      </c>
      <c r="D38" s="3">
        <v>281</v>
      </c>
      <c r="E38" s="3">
        <v>309517</v>
      </c>
      <c r="F38" s="3">
        <f>Table4_145[[#This Row],[New_Followers]]-Table4_145[[#This Row],[Unfollows]]</f>
        <v>3213</v>
      </c>
      <c r="G38" s="4">
        <v>1.03806899136396E-2</v>
      </c>
      <c r="H38">
        <v>27.765518533715429</v>
      </c>
      <c r="I38" s="6">
        <v>39197</v>
      </c>
      <c r="K38" s="17">
        <v>45698</v>
      </c>
      <c r="L38" s="3">
        <v>13642</v>
      </c>
    </row>
    <row r="39" spans="1:12" x14ac:dyDescent="0.3">
      <c r="A39" s="5">
        <v>45509</v>
      </c>
      <c r="B39" t="s">
        <v>41</v>
      </c>
      <c r="C39" s="3">
        <v>3719</v>
      </c>
      <c r="D39" s="3">
        <v>222</v>
      </c>
      <c r="E39" s="3">
        <v>313014</v>
      </c>
      <c r="F39" s="3">
        <f>Table4_145[[#This Row],[New_Followers]]-Table4_145[[#This Row],[Unfollows]]</f>
        <v>3497</v>
      </c>
      <c r="G39" s="4">
        <v>1.11720242545062E-2</v>
      </c>
      <c r="H39">
        <v>21.669318305251519</v>
      </c>
      <c r="I39" s="6">
        <v>13586</v>
      </c>
      <c r="K39" s="17">
        <v>45705</v>
      </c>
      <c r="L39" s="3">
        <v>17859</v>
      </c>
    </row>
    <row r="40" spans="1:12" x14ac:dyDescent="0.3">
      <c r="A40" s="5">
        <v>45509</v>
      </c>
      <c r="B40" t="s">
        <v>14</v>
      </c>
      <c r="C40" s="3">
        <v>2884</v>
      </c>
      <c r="D40" s="3">
        <v>341</v>
      </c>
      <c r="E40" s="3">
        <v>315557</v>
      </c>
      <c r="F40" s="3">
        <f>Table4_145[[#This Row],[New_Followers]]-Table4_145[[#This Row],[Unfollows]]</f>
        <v>2543</v>
      </c>
      <c r="G40" s="4">
        <v>8.0587659281841292E-3</v>
      </c>
      <c r="H40">
        <v>46.999749649033298</v>
      </c>
      <c r="I40" s="6">
        <v>26087</v>
      </c>
      <c r="K40" s="17">
        <v>45712</v>
      </c>
      <c r="L40" s="3">
        <v>30446</v>
      </c>
    </row>
    <row r="41" spans="1:12" x14ac:dyDescent="0.3">
      <c r="A41" s="5">
        <v>45509</v>
      </c>
      <c r="B41" t="s">
        <v>19</v>
      </c>
      <c r="C41" s="3">
        <v>5349</v>
      </c>
      <c r="D41" s="3">
        <v>502</v>
      </c>
      <c r="E41" s="3">
        <v>320404</v>
      </c>
      <c r="F41" s="3">
        <f>Table4_145[[#This Row],[New_Followers]]-Table4_145[[#This Row],[Unfollows]]</f>
        <v>4847</v>
      </c>
      <c r="G41" s="4">
        <v>1.51277761825695E-2</v>
      </c>
      <c r="H41">
        <v>5.2152906954969351</v>
      </c>
      <c r="I41" s="6">
        <v>58868</v>
      </c>
      <c r="K41" s="17">
        <v>45719</v>
      </c>
      <c r="L41" s="3">
        <v>20389</v>
      </c>
    </row>
    <row r="42" spans="1:12" x14ac:dyDescent="0.3">
      <c r="A42" s="5">
        <v>45516</v>
      </c>
      <c r="B42" t="s">
        <v>41</v>
      </c>
      <c r="C42" s="3">
        <v>6179</v>
      </c>
      <c r="D42" s="3">
        <v>384</v>
      </c>
      <c r="E42" s="3">
        <v>326199</v>
      </c>
      <c r="F42" s="3">
        <f>Table4_145[[#This Row],[New_Followers]]-Table4_145[[#This Row],[Unfollows]]</f>
        <v>5795</v>
      </c>
      <c r="G42" s="4">
        <v>1.7765229200580001E-2</v>
      </c>
      <c r="H42">
        <v>14.71218489327067</v>
      </c>
      <c r="I42" s="6">
        <v>33225</v>
      </c>
      <c r="K42" s="17">
        <v>45726</v>
      </c>
      <c r="L42" s="3">
        <v>17807</v>
      </c>
    </row>
    <row r="43" spans="1:12" x14ac:dyDescent="0.3">
      <c r="A43" s="5">
        <v>45516</v>
      </c>
      <c r="B43" t="s">
        <v>23</v>
      </c>
      <c r="C43" s="3">
        <v>7610</v>
      </c>
      <c r="D43" s="3">
        <v>757</v>
      </c>
      <c r="E43" s="3">
        <v>333052</v>
      </c>
      <c r="F43" s="3">
        <f>Table4_145[[#This Row],[New_Followers]]-Table4_145[[#This Row],[Unfollows]]</f>
        <v>6853</v>
      </c>
      <c r="G43" s="4">
        <v>2.0576366453286601E-2</v>
      </c>
      <c r="H43">
        <v>44.450416151231643</v>
      </c>
      <c r="I43" s="6">
        <v>39750</v>
      </c>
      <c r="K43" s="17">
        <v>45733</v>
      </c>
      <c r="L43" s="3">
        <v>28020</v>
      </c>
    </row>
    <row r="44" spans="1:12" x14ac:dyDescent="0.3">
      <c r="A44" s="5">
        <v>45516</v>
      </c>
      <c r="B44" t="s">
        <v>14</v>
      </c>
      <c r="C44" s="3">
        <v>7430</v>
      </c>
      <c r="D44" s="3">
        <v>397</v>
      </c>
      <c r="E44" s="3">
        <v>340085</v>
      </c>
      <c r="F44" s="3">
        <f>Table4_145[[#This Row],[New_Followers]]-Table4_145[[#This Row],[Unfollows]]</f>
        <v>7033</v>
      </c>
      <c r="G44" s="4">
        <v>2.0680124086625399E-2</v>
      </c>
      <c r="H44">
        <v>28.065042562888689</v>
      </c>
      <c r="I44" s="6">
        <v>16643</v>
      </c>
      <c r="K44" s="17">
        <v>45740</v>
      </c>
      <c r="L44" s="3">
        <v>25416</v>
      </c>
    </row>
    <row r="45" spans="1:12" x14ac:dyDescent="0.3">
      <c r="A45" s="5">
        <v>45516</v>
      </c>
      <c r="B45" t="s">
        <v>41</v>
      </c>
      <c r="C45" s="3">
        <v>8154</v>
      </c>
      <c r="D45" s="3">
        <v>1149</v>
      </c>
      <c r="E45" s="3">
        <v>347090</v>
      </c>
      <c r="F45" s="3">
        <f>Table4_145[[#This Row],[New_Followers]]-Table4_145[[#This Row],[Unfollows]]</f>
        <v>7005</v>
      </c>
      <c r="G45" s="4">
        <v>2.0182085338096699E-2</v>
      </c>
      <c r="H45">
        <v>26.003918292085629</v>
      </c>
      <c r="I45" s="6">
        <v>37523</v>
      </c>
      <c r="K45" s="17">
        <v>45747</v>
      </c>
      <c r="L45" s="3">
        <v>15627</v>
      </c>
    </row>
    <row r="46" spans="1:12" x14ac:dyDescent="0.3">
      <c r="A46" s="5">
        <v>45523</v>
      </c>
      <c r="B46" t="s">
        <v>23</v>
      </c>
      <c r="C46" s="3">
        <v>7488</v>
      </c>
      <c r="D46" s="3">
        <v>568</v>
      </c>
      <c r="E46" s="3">
        <v>354010</v>
      </c>
      <c r="F46" s="3">
        <f>Table4_145[[#This Row],[New_Followers]]-Table4_145[[#This Row],[Unfollows]]</f>
        <v>6920</v>
      </c>
      <c r="G46" s="4">
        <v>1.9547470410440401E-2</v>
      </c>
      <c r="H46">
        <v>13.47730290104799</v>
      </c>
      <c r="I46" s="6">
        <v>46727</v>
      </c>
      <c r="K46" s="17">
        <v>45754</v>
      </c>
      <c r="L46" s="3">
        <v>20720</v>
      </c>
    </row>
    <row r="47" spans="1:12" x14ac:dyDescent="0.3">
      <c r="A47" s="5">
        <v>45523</v>
      </c>
      <c r="B47" t="s">
        <v>14</v>
      </c>
      <c r="C47" s="3">
        <v>5737</v>
      </c>
      <c r="D47" s="3">
        <v>666</v>
      </c>
      <c r="E47" s="3">
        <v>359081</v>
      </c>
      <c r="F47" s="3">
        <f>Table4_145[[#This Row],[New_Followers]]-Table4_145[[#This Row],[Unfollows]]</f>
        <v>5071</v>
      </c>
      <c r="G47" s="4">
        <v>1.4122161852061201E-2</v>
      </c>
      <c r="H47">
        <v>4.6034181702735593</v>
      </c>
      <c r="I47" s="6">
        <v>21005</v>
      </c>
      <c r="K47" s="17">
        <v>45761</v>
      </c>
      <c r="L47" s="3">
        <v>24995</v>
      </c>
    </row>
    <row r="48" spans="1:12" x14ac:dyDescent="0.3">
      <c r="A48" s="5">
        <v>45523</v>
      </c>
      <c r="B48" t="s">
        <v>23</v>
      </c>
      <c r="C48" s="3">
        <v>7525</v>
      </c>
      <c r="D48" s="3">
        <v>610</v>
      </c>
      <c r="E48" s="3">
        <v>365996</v>
      </c>
      <c r="F48" s="3">
        <f>Table4_145[[#This Row],[New_Followers]]-Table4_145[[#This Row],[Unfollows]]</f>
        <v>6915</v>
      </c>
      <c r="G48" s="4">
        <v>1.8893649110919199E-2</v>
      </c>
      <c r="H48">
        <v>5.7694619613329108</v>
      </c>
      <c r="I48" s="6">
        <v>53543</v>
      </c>
      <c r="K48" s="17">
        <v>45768</v>
      </c>
      <c r="L48" s="3">
        <v>22070</v>
      </c>
    </row>
    <row r="49" spans="1:12" x14ac:dyDescent="0.3">
      <c r="A49" s="5">
        <v>45523</v>
      </c>
      <c r="B49" t="s">
        <v>14</v>
      </c>
      <c r="C49" s="3">
        <v>4850</v>
      </c>
      <c r="D49" s="3">
        <v>494</v>
      </c>
      <c r="E49" s="3">
        <v>370352</v>
      </c>
      <c r="F49" s="3">
        <f>Table4_145[[#This Row],[New_Followers]]-Table4_145[[#This Row],[Unfollows]]</f>
        <v>4356</v>
      </c>
      <c r="G49" s="4">
        <v>1.1761783384455901E-2</v>
      </c>
      <c r="H49">
        <v>20.46539508359615</v>
      </c>
      <c r="I49" s="6">
        <v>10161</v>
      </c>
      <c r="K49" s="17">
        <v>45775</v>
      </c>
      <c r="L49" s="3">
        <v>17449</v>
      </c>
    </row>
    <row r="50" spans="1:12" x14ac:dyDescent="0.3">
      <c r="A50" s="5">
        <v>45530</v>
      </c>
      <c r="B50" t="s">
        <v>19</v>
      </c>
      <c r="C50" s="3">
        <v>1689</v>
      </c>
      <c r="D50" s="3">
        <v>176</v>
      </c>
      <c r="E50" s="3">
        <v>371865</v>
      </c>
      <c r="F50" s="3">
        <f>Table4_145[[#This Row],[New_Followers]]-Table4_145[[#This Row],[Unfollows]]</f>
        <v>1513</v>
      </c>
      <c r="G50" s="4">
        <v>4.0686808384763299E-3</v>
      </c>
      <c r="H50">
        <v>38.012181840183942</v>
      </c>
      <c r="I50" s="6">
        <v>26029</v>
      </c>
      <c r="K50" s="17">
        <v>45782</v>
      </c>
      <c r="L50" s="3">
        <v>16129</v>
      </c>
    </row>
    <row r="51" spans="1:12" x14ac:dyDescent="0.3">
      <c r="A51" s="5">
        <v>45530</v>
      </c>
      <c r="B51" t="s">
        <v>41</v>
      </c>
      <c r="C51" s="3">
        <v>6175</v>
      </c>
      <c r="D51" s="3">
        <v>422</v>
      </c>
      <c r="E51" s="3">
        <v>377618</v>
      </c>
      <c r="F51" s="3">
        <f>Table4_145[[#This Row],[New_Followers]]-Table4_145[[#This Row],[Unfollows]]</f>
        <v>5753</v>
      </c>
      <c r="G51" s="4">
        <v>1.5234972909130401E-2</v>
      </c>
      <c r="H51">
        <v>37.86101298137271</v>
      </c>
      <c r="I51" s="6">
        <v>59745</v>
      </c>
      <c r="K51" s="17">
        <v>45789</v>
      </c>
      <c r="L51" s="3">
        <v>18387</v>
      </c>
    </row>
    <row r="52" spans="1:12" x14ac:dyDescent="0.3">
      <c r="A52" s="5">
        <v>45530</v>
      </c>
      <c r="B52" t="s">
        <v>23</v>
      </c>
      <c r="C52" s="3">
        <v>9648</v>
      </c>
      <c r="D52" s="3">
        <v>1417</v>
      </c>
      <c r="E52" s="3">
        <v>385849</v>
      </c>
      <c r="F52" s="3">
        <f>Table4_145[[#This Row],[New_Followers]]-Table4_145[[#This Row],[Unfollows]]</f>
        <v>8231</v>
      </c>
      <c r="G52" s="4">
        <v>2.13321791685348E-2</v>
      </c>
      <c r="H52">
        <v>3.6633501706626168</v>
      </c>
      <c r="I52" s="6">
        <v>24226</v>
      </c>
      <c r="K52" s="17" t="s">
        <v>359</v>
      </c>
      <c r="L52" s="3">
        <v>1086398</v>
      </c>
    </row>
    <row r="53" spans="1:12" x14ac:dyDescent="0.3">
      <c r="A53" s="5">
        <v>45530</v>
      </c>
      <c r="B53" t="s">
        <v>14</v>
      </c>
      <c r="C53" s="3">
        <v>6078</v>
      </c>
      <c r="D53" s="3">
        <v>775</v>
      </c>
      <c r="E53" s="3">
        <v>391152</v>
      </c>
      <c r="F53" s="3">
        <f>Table4_145[[#This Row],[New_Followers]]-Table4_145[[#This Row],[Unfollows]]</f>
        <v>5303</v>
      </c>
      <c r="G53" s="4">
        <v>1.35573894547388E-2</v>
      </c>
      <c r="H53">
        <v>37.760512537325639</v>
      </c>
      <c r="I53" s="6">
        <v>38731</v>
      </c>
    </row>
    <row r="54" spans="1:12" x14ac:dyDescent="0.3">
      <c r="A54" s="5">
        <v>45537</v>
      </c>
      <c r="B54" t="s">
        <v>23</v>
      </c>
      <c r="C54" s="3">
        <v>6448</v>
      </c>
      <c r="D54" s="3">
        <v>928</v>
      </c>
      <c r="E54" s="3">
        <v>396672</v>
      </c>
      <c r="F54" s="3">
        <f>Table4_145[[#This Row],[New_Followers]]-Table4_145[[#This Row],[Unfollows]]</f>
        <v>5520</v>
      </c>
      <c r="G54" s="4">
        <v>1.3915779283639899E-2</v>
      </c>
      <c r="H54">
        <v>30.118586640851881</v>
      </c>
      <c r="I54" s="6">
        <v>53922</v>
      </c>
    </row>
    <row r="55" spans="1:12" x14ac:dyDescent="0.3">
      <c r="A55" s="5">
        <v>45537</v>
      </c>
      <c r="B55" t="s">
        <v>23</v>
      </c>
      <c r="C55" s="3">
        <v>2179</v>
      </c>
      <c r="D55" s="3">
        <v>303</v>
      </c>
      <c r="E55" s="3">
        <v>398548</v>
      </c>
      <c r="F55" s="3">
        <f>Table4_145[[#This Row],[New_Followers]]-Table4_145[[#This Row],[Unfollows]]</f>
        <v>1876</v>
      </c>
      <c r="G55" s="4">
        <v>4.7070867248110602E-3</v>
      </c>
      <c r="H55">
        <v>33.909842729106657</v>
      </c>
      <c r="I55" s="6">
        <v>54848</v>
      </c>
    </row>
    <row r="56" spans="1:12" x14ac:dyDescent="0.3">
      <c r="A56" s="5">
        <v>45537</v>
      </c>
      <c r="B56" t="s">
        <v>41</v>
      </c>
      <c r="C56" s="3">
        <v>7406</v>
      </c>
      <c r="D56" s="3">
        <v>813</v>
      </c>
      <c r="E56" s="3">
        <v>405141</v>
      </c>
      <c r="F56" s="3">
        <f>Table4_145[[#This Row],[New_Followers]]-Table4_145[[#This Row],[Unfollows]]</f>
        <v>6593</v>
      </c>
      <c r="G56" s="4">
        <v>1.62733468101229E-2</v>
      </c>
      <c r="H56">
        <v>24.457411123534769</v>
      </c>
      <c r="I56" s="6">
        <v>13390</v>
      </c>
    </row>
    <row r="57" spans="1:12" x14ac:dyDescent="0.3">
      <c r="A57" s="5">
        <v>45537</v>
      </c>
      <c r="B57" t="s">
        <v>19</v>
      </c>
      <c r="C57" s="3">
        <v>9591</v>
      </c>
      <c r="D57" s="3">
        <v>1363</v>
      </c>
      <c r="E57" s="3">
        <v>413369</v>
      </c>
      <c r="F57" s="3">
        <f>Table4_145[[#This Row],[New_Followers]]-Table4_145[[#This Row],[Unfollows]]</f>
        <v>8228</v>
      </c>
      <c r="G57" s="4">
        <v>1.9904734026983201E-2</v>
      </c>
      <c r="H57">
        <v>10.494255737609739</v>
      </c>
      <c r="I57" s="6">
        <v>15997</v>
      </c>
    </row>
    <row r="58" spans="1:12" x14ac:dyDescent="0.3">
      <c r="A58" s="5">
        <v>45544</v>
      </c>
      <c r="B58" t="s">
        <v>23</v>
      </c>
      <c r="C58" s="3">
        <v>7907</v>
      </c>
      <c r="D58" s="3">
        <v>465</v>
      </c>
      <c r="E58" s="3">
        <v>420811</v>
      </c>
      <c r="F58" s="3">
        <f>Table4_145[[#This Row],[New_Followers]]-Table4_145[[#This Row],[Unfollows]]</f>
        <v>7442</v>
      </c>
      <c r="G58" s="4">
        <v>1.76848989213685E-2</v>
      </c>
      <c r="H58">
        <v>33.257448118038738</v>
      </c>
      <c r="I58" s="6">
        <v>22693</v>
      </c>
    </row>
    <row r="59" spans="1:12" x14ac:dyDescent="0.3">
      <c r="A59" s="5">
        <v>45544</v>
      </c>
      <c r="B59" t="s">
        <v>14</v>
      </c>
      <c r="C59" s="3">
        <v>9800</v>
      </c>
      <c r="D59" s="3">
        <v>682</v>
      </c>
      <c r="E59" s="3">
        <v>429929</v>
      </c>
      <c r="F59" s="3">
        <f>Table4_145[[#This Row],[New_Followers]]-Table4_145[[#This Row],[Unfollows]]</f>
        <v>9118</v>
      </c>
      <c r="G59" s="4">
        <v>2.1208152974095701E-2</v>
      </c>
      <c r="H59">
        <v>6.2966210699906267</v>
      </c>
      <c r="I59" s="6">
        <v>59815</v>
      </c>
    </row>
    <row r="60" spans="1:12" x14ac:dyDescent="0.3">
      <c r="A60" s="5">
        <v>45544</v>
      </c>
      <c r="B60" t="s">
        <v>14</v>
      </c>
      <c r="C60" s="3">
        <v>2638</v>
      </c>
      <c r="D60" s="3">
        <v>143</v>
      </c>
      <c r="E60" s="3">
        <v>432424</v>
      </c>
      <c r="F60" s="3">
        <f>Table4_145[[#This Row],[New_Followers]]-Table4_145[[#This Row],[Unfollows]]</f>
        <v>2495</v>
      </c>
      <c r="G60" s="4">
        <v>5.76980001110022E-3</v>
      </c>
      <c r="H60">
        <v>6.9547481175882924</v>
      </c>
      <c r="I60" s="6">
        <v>52092</v>
      </c>
    </row>
    <row r="61" spans="1:12" x14ac:dyDescent="0.3">
      <c r="A61" s="5">
        <v>45544</v>
      </c>
      <c r="B61" t="s">
        <v>19</v>
      </c>
      <c r="C61" s="3">
        <v>6671</v>
      </c>
      <c r="D61" s="3">
        <v>550</v>
      </c>
      <c r="E61" s="3">
        <v>438545</v>
      </c>
      <c r="F61" s="3">
        <f>Table4_145[[#This Row],[New_Followers]]-Table4_145[[#This Row],[Unfollows]]</f>
        <v>6121</v>
      </c>
      <c r="G61" s="4">
        <v>1.3957518612685099E-2</v>
      </c>
      <c r="H61">
        <v>17.750287883797562</v>
      </c>
      <c r="I61" s="6">
        <v>10541</v>
      </c>
    </row>
    <row r="62" spans="1:12" x14ac:dyDescent="0.3">
      <c r="A62" s="5">
        <v>45551</v>
      </c>
      <c r="B62" t="s">
        <v>14</v>
      </c>
      <c r="C62" s="3">
        <v>7928</v>
      </c>
      <c r="D62" s="3">
        <v>704</v>
      </c>
      <c r="E62" s="3">
        <v>445769</v>
      </c>
      <c r="F62" s="3">
        <f>Table4_145[[#This Row],[New_Followers]]-Table4_145[[#This Row],[Unfollows]]</f>
        <v>7224</v>
      </c>
      <c r="G62" s="4">
        <v>1.6205702953772001E-2</v>
      </c>
      <c r="H62">
        <v>11.194362999670229</v>
      </c>
      <c r="I62" s="6">
        <v>31817</v>
      </c>
    </row>
    <row r="63" spans="1:12" x14ac:dyDescent="0.3">
      <c r="A63" s="5">
        <v>45551</v>
      </c>
      <c r="B63" t="s">
        <v>19</v>
      </c>
      <c r="C63" s="3">
        <v>2382</v>
      </c>
      <c r="D63" s="3">
        <v>183</v>
      </c>
      <c r="E63" s="3">
        <v>447968</v>
      </c>
      <c r="F63" s="3">
        <f>Table4_145[[#This Row],[New_Followers]]-Table4_145[[#This Row],[Unfollows]]</f>
        <v>2199</v>
      </c>
      <c r="G63" s="4">
        <v>4.9088327737695503E-3</v>
      </c>
      <c r="H63">
        <v>4.7335970426459033</v>
      </c>
      <c r="I63" s="6">
        <v>47861</v>
      </c>
    </row>
    <row r="64" spans="1:12" x14ac:dyDescent="0.3">
      <c r="A64" s="5">
        <v>45551</v>
      </c>
      <c r="B64" t="s">
        <v>14</v>
      </c>
      <c r="C64" s="3">
        <v>2403</v>
      </c>
      <c r="D64" s="3">
        <v>319</v>
      </c>
      <c r="E64" s="3">
        <v>450052</v>
      </c>
      <c r="F64" s="3">
        <f>Table4_145[[#This Row],[New_Followers]]-Table4_145[[#This Row],[Unfollows]]</f>
        <v>2084</v>
      </c>
      <c r="G64" s="4">
        <v>4.63057602232631E-3</v>
      </c>
      <c r="H64">
        <v>29.92120910472568</v>
      </c>
      <c r="I64" s="6">
        <v>23428</v>
      </c>
    </row>
    <row r="65" spans="1:9" x14ac:dyDescent="0.3">
      <c r="A65" s="5">
        <v>45551</v>
      </c>
      <c r="B65" t="s">
        <v>41</v>
      </c>
      <c r="C65" s="3">
        <v>4292</v>
      </c>
      <c r="D65" s="3">
        <v>367</v>
      </c>
      <c r="E65" s="3">
        <v>453977</v>
      </c>
      <c r="F65" s="3">
        <f>Table4_145[[#This Row],[New_Followers]]-Table4_145[[#This Row],[Unfollows]]</f>
        <v>3925</v>
      </c>
      <c r="G65" s="4">
        <v>8.6458124530537899E-3</v>
      </c>
      <c r="H65">
        <v>3.5037017293827661</v>
      </c>
      <c r="I65" s="6">
        <v>53934</v>
      </c>
    </row>
    <row r="66" spans="1:9" x14ac:dyDescent="0.3">
      <c r="A66" s="5">
        <v>45558</v>
      </c>
      <c r="B66" t="s">
        <v>23</v>
      </c>
      <c r="C66" s="3">
        <v>1419</v>
      </c>
      <c r="D66" s="3">
        <v>110</v>
      </c>
      <c r="E66" s="3">
        <v>455286</v>
      </c>
      <c r="F66" s="3">
        <f>Table4_145[[#This Row],[New_Followers]]-Table4_145[[#This Row],[Unfollows]]</f>
        <v>1309</v>
      </c>
      <c r="G66" s="4">
        <v>2.8751158612388699E-3</v>
      </c>
      <c r="H66">
        <v>31.554451487636339</v>
      </c>
      <c r="I66" s="6">
        <v>58831</v>
      </c>
    </row>
    <row r="67" spans="1:9" x14ac:dyDescent="0.3">
      <c r="A67" s="5">
        <v>45558</v>
      </c>
      <c r="B67" t="s">
        <v>41</v>
      </c>
      <c r="C67" s="3">
        <v>5517</v>
      </c>
      <c r="D67" s="3">
        <v>575</v>
      </c>
      <c r="E67" s="3">
        <v>460228</v>
      </c>
      <c r="F67" s="3">
        <f>Table4_145[[#This Row],[New_Followers]]-Table4_145[[#This Row],[Unfollows]]</f>
        <v>4942</v>
      </c>
      <c r="G67" s="4">
        <v>1.07381558705685E-2</v>
      </c>
      <c r="H67">
        <v>29.45844233727631</v>
      </c>
      <c r="I67" s="6">
        <v>20258</v>
      </c>
    </row>
    <row r="68" spans="1:9" x14ac:dyDescent="0.3">
      <c r="A68" s="5">
        <v>45558</v>
      </c>
      <c r="B68" t="s">
        <v>23</v>
      </c>
      <c r="C68" s="3">
        <v>4302</v>
      </c>
      <c r="D68" s="3">
        <v>275</v>
      </c>
      <c r="E68" s="3">
        <v>464255</v>
      </c>
      <c r="F68" s="3">
        <f>Table4_145[[#This Row],[New_Followers]]-Table4_145[[#This Row],[Unfollows]]</f>
        <v>4027</v>
      </c>
      <c r="G68" s="4">
        <v>8.6741122874282404E-3</v>
      </c>
      <c r="H68">
        <v>15.72131694865968</v>
      </c>
      <c r="I68" s="6">
        <v>26044</v>
      </c>
    </row>
    <row r="69" spans="1:9" x14ac:dyDescent="0.3">
      <c r="A69" s="5">
        <v>45558</v>
      </c>
      <c r="B69" t="s">
        <v>23</v>
      </c>
      <c r="C69" s="3">
        <v>8857</v>
      </c>
      <c r="D69" s="3">
        <v>1153</v>
      </c>
      <c r="E69" s="3">
        <v>471959</v>
      </c>
      <c r="F69" s="3">
        <f>Table4_145[[#This Row],[New_Followers]]-Table4_145[[#This Row],[Unfollows]]</f>
        <v>7704</v>
      </c>
      <c r="G69" s="4">
        <v>1.6323451825264498E-2</v>
      </c>
      <c r="H69">
        <v>19.214592793018038</v>
      </c>
      <c r="I69" s="6">
        <v>39411</v>
      </c>
    </row>
    <row r="70" spans="1:9" x14ac:dyDescent="0.3">
      <c r="A70" s="5">
        <v>45565</v>
      </c>
      <c r="B70" t="s">
        <v>23</v>
      </c>
      <c r="C70" s="3">
        <v>8870</v>
      </c>
      <c r="D70" s="3">
        <v>509</v>
      </c>
      <c r="E70" s="3">
        <v>480320</v>
      </c>
      <c r="F70" s="3">
        <f>Table4_145[[#This Row],[New_Followers]]-Table4_145[[#This Row],[Unfollows]]</f>
        <v>8361</v>
      </c>
      <c r="G70" s="4">
        <v>1.7407145236508999E-2</v>
      </c>
      <c r="H70">
        <v>25.077864756828781</v>
      </c>
      <c r="I70" s="6">
        <v>15469</v>
      </c>
    </row>
    <row r="71" spans="1:9" x14ac:dyDescent="0.3">
      <c r="A71" s="5">
        <v>45565</v>
      </c>
      <c r="B71" t="s">
        <v>41</v>
      </c>
      <c r="C71" s="3">
        <v>6693</v>
      </c>
      <c r="D71" s="3">
        <v>995</v>
      </c>
      <c r="E71" s="3">
        <v>486018</v>
      </c>
      <c r="F71" s="3">
        <f>Table4_145[[#This Row],[New_Followers]]-Table4_145[[#This Row],[Unfollows]]</f>
        <v>5698</v>
      </c>
      <c r="G71" s="4">
        <v>1.1723845618886499E-2</v>
      </c>
      <c r="H71">
        <v>23.761877132122681</v>
      </c>
      <c r="I71" s="6">
        <v>38854</v>
      </c>
    </row>
    <row r="72" spans="1:9" x14ac:dyDescent="0.3">
      <c r="A72" s="5">
        <v>45565</v>
      </c>
      <c r="B72" t="s">
        <v>23</v>
      </c>
      <c r="C72" s="3">
        <v>1767</v>
      </c>
      <c r="D72" s="3">
        <v>224</v>
      </c>
      <c r="E72" s="3">
        <v>487561</v>
      </c>
      <c r="F72" s="3">
        <f>Table4_145[[#This Row],[New_Followers]]-Table4_145[[#This Row],[Unfollows]]</f>
        <v>1543</v>
      </c>
      <c r="G72" s="4">
        <v>3.1647322078673201E-3</v>
      </c>
      <c r="H72">
        <v>13.208603641390511</v>
      </c>
      <c r="I72" s="6">
        <v>16256</v>
      </c>
    </row>
    <row r="73" spans="1:9" x14ac:dyDescent="0.3">
      <c r="A73" s="5">
        <v>45565</v>
      </c>
      <c r="B73" t="s">
        <v>41</v>
      </c>
      <c r="C73" s="3">
        <v>3044</v>
      </c>
      <c r="D73" s="3">
        <v>212</v>
      </c>
      <c r="E73" s="3">
        <v>490393</v>
      </c>
      <c r="F73" s="3">
        <f>Table4_145[[#This Row],[New_Followers]]-Table4_145[[#This Row],[Unfollows]]</f>
        <v>2832</v>
      </c>
      <c r="G73" s="4">
        <v>5.7749600830354396E-3</v>
      </c>
      <c r="H73">
        <v>8.5343795690395261</v>
      </c>
      <c r="I73" s="6">
        <v>20720</v>
      </c>
    </row>
    <row r="74" spans="1:9" x14ac:dyDescent="0.3">
      <c r="A74" s="5">
        <v>45572</v>
      </c>
      <c r="B74" t="s">
        <v>19</v>
      </c>
      <c r="C74" s="3">
        <v>2549</v>
      </c>
      <c r="D74" s="3">
        <v>128</v>
      </c>
      <c r="E74" s="3">
        <v>492814</v>
      </c>
      <c r="F74" s="3">
        <f>Table4_145[[#This Row],[New_Followers]]-Table4_145[[#This Row],[Unfollows]]</f>
        <v>2421</v>
      </c>
      <c r="G74" s="4">
        <v>4.9126039438814597E-3</v>
      </c>
      <c r="H74">
        <v>12.734216154573531</v>
      </c>
      <c r="I74" s="6">
        <v>43937</v>
      </c>
    </row>
    <row r="75" spans="1:9" x14ac:dyDescent="0.3">
      <c r="A75" s="5">
        <v>45572</v>
      </c>
      <c r="B75" t="s">
        <v>14</v>
      </c>
      <c r="C75" s="3">
        <v>7140</v>
      </c>
      <c r="D75" s="3">
        <v>939</v>
      </c>
      <c r="E75" s="3">
        <v>499015</v>
      </c>
      <c r="F75" s="3">
        <f>Table4_145[[#This Row],[New_Followers]]-Table4_145[[#This Row],[Unfollows]]</f>
        <v>6201</v>
      </c>
      <c r="G75" s="4">
        <v>1.2426480165926901E-2</v>
      </c>
      <c r="H75">
        <v>25.120888149654821</v>
      </c>
      <c r="I75" s="6">
        <v>43598</v>
      </c>
    </row>
    <row r="76" spans="1:9" x14ac:dyDescent="0.3">
      <c r="A76" s="5">
        <v>45572</v>
      </c>
      <c r="B76" t="s">
        <v>14</v>
      </c>
      <c r="C76" s="3">
        <v>4716</v>
      </c>
      <c r="D76" s="3">
        <v>569</v>
      </c>
      <c r="E76" s="3">
        <v>503162</v>
      </c>
      <c r="F76" s="3">
        <f>Table4_145[[#This Row],[New_Followers]]-Table4_145[[#This Row],[Unfollows]]</f>
        <v>4147</v>
      </c>
      <c r="G76" s="4">
        <v>8.2418783612434997E-3</v>
      </c>
      <c r="H76">
        <v>25.64820077827817</v>
      </c>
      <c r="I76" s="6">
        <v>11651</v>
      </c>
    </row>
    <row r="77" spans="1:9" x14ac:dyDescent="0.3">
      <c r="A77" s="5">
        <v>45572</v>
      </c>
      <c r="B77" t="s">
        <v>23</v>
      </c>
      <c r="C77" s="3">
        <v>5481</v>
      </c>
      <c r="D77" s="3">
        <v>673</v>
      </c>
      <c r="E77" s="3">
        <v>507970</v>
      </c>
      <c r="F77" s="3">
        <f>Table4_145[[#This Row],[New_Followers]]-Table4_145[[#This Row],[Unfollows]]</f>
        <v>4808</v>
      </c>
      <c r="G77" s="4">
        <v>9.4651258932614106E-3</v>
      </c>
      <c r="H77">
        <v>13.08758391243577</v>
      </c>
      <c r="I77" s="6">
        <v>29194</v>
      </c>
    </row>
    <row r="78" spans="1:9" x14ac:dyDescent="0.3">
      <c r="A78" s="5">
        <v>45579</v>
      </c>
      <c r="B78" t="s">
        <v>41</v>
      </c>
      <c r="C78" s="3">
        <v>8898</v>
      </c>
      <c r="D78" s="3">
        <v>1131</v>
      </c>
      <c r="E78" s="3">
        <v>515737</v>
      </c>
      <c r="F78" s="3">
        <f>Table4_145[[#This Row],[New_Followers]]-Table4_145[[#This Row],[Unfollows]]</f>
        <v>7767</v>
      </c>
      <c r="G78" s="4">
        <v>1.50600015123988E-2</v>
      </c>
      <c r="H78">
        <v>2.1877429775253669</v>
      </c>
      <c r="I78" s="6">
        <v>35051</v>
      </c>
    </row>
    <row r="79" spans="1:9" x14ac:dyDescent="0.3">
      <c r="A79" s="5">
        <v>45579</v>
      </c>
      <c r="B79" t="s">
        <v>14</v>
      </c>
      <c r="C79" s="3">
        <v>7548</v>
      </c>
      <c r="D79" s="3">
        <v>433</v>
      </c>
      <c r="E79" s="3">
        <v>522852</v>
      </c>
      <c r="F79" s="3">
        <f>Table4_145[[#This Row],[New_Followers]]-Table4_145[[#This Row],[Unfollows]]</f>
        <v>7115</v>
      </c>
      <c r="G79" s="4">
        <v>1.36080573470122E-2</v>
      </c>
      <c r="H79">
        <v>8.3562843787534522</v>
      </c>
      <c r="I79" s="6">
        <v>37386</v>
      </c>
    </row>
    <row r="80" spans="1:9" x14ac:dyDescent="0.3">
      <c r="A80" s="5">
        <v>45579</v>
      </c>
      <c r="B80" t="s">
        <v>41</v>
      </c>
      <c r="C80" s="3">
        <v>3293</v>
      </c>
      <c r="D80" s="3">
        <v>282</v>
      </c>
      <c r="E80" s="3">
        <v>525863</v>
      </c>
      <c r="F80" s="3">
        <f>Table4_145[[#This Row],[New_Followers]]-Table4_145[[#This Row],[Unfollows]]</f>
        <v>3011</v>
      </c>
      <c r="G80" s="4">
        <v>5.7258259280459E-3</v>
      </c>
      <c r="H80">
        <v>27.040693108281051</v>
      </c>
      <c r="I80" s="6">
        <v>19518</v>
      </c>
    </row>
    <row r="81" spans="1:9" x14ac:dyDescent="0.3">
      <c r="A81" s="5">
        <v>45579</v>
      </c>
      <c r="B81" t="s">
        <v>41</v>
      </c>
      <c r="C81" s="3">
        <v>5837</v>
      </c>
      <c r="D81" s="3">
        <v>359</v>
      </c>
      <c r="E81" s="3">
        <v>531341</v>
      </c>
      <c r="F81" s="3">
        <f>Table4_145[[#This Row],[New_Followers]]-Table4_145[[#This Row],[Unfollows]]</f>
        <v>5478</v>
      </c>
      <c r="G81" s="4">
        <v>1.03097634099383E-2</v>
      </c>
      <c r="H81">
        <v>6.8073045370110723</v>
      </c>
      <c r="I81" s="6">
        <v>56026</v>
      </c>
    </row>
    <row r="82" spans="1:9" x14ac:dyDescent="0.3">
      <c r="A82" s="5">
        <v>45586</v>
      </c>
      <c r="B82" t="s">
        <v>23</v>
      </c>
      <c r="C82" s="3">
        <v>8758</v>
      </c>
      <c r="D82" s="3">
        <v>1193</v>
      </c>
      <c r="E82" s="3">
        <v>538906</v>
      </c>
      <c r="F82" s="3">
        <f>Table4_145[[#This Row],[New_Followers]]-Table4_145[[#This Row],[Unfollows]]</f>
        <v>7565</v>
      </c>
      <c r="G82" s="4">
        <v>1.40376985967868E-2</v>
      </c>
      <c r="H82">
        <v>3.4213758985797149</v>
      </c>
      <c r="I82" s="6">
        <v>26184</v>
      </c>
    </row>
    <row r="83" spans="1:9" x14ac:dyDescent="0.3">
      <c r="A83" s="5">
        <v>45586</v>
      </c>
      <c r="B83" t="s">
        <v>14</v>
      </c>
      <c r="C83" s="3">
        <v>7793</v>
      </c>
      <c r="D83" s="3">
        <v>875</v>
      </c>
      <c r="E83" s="3">
        <v>545824</v>
      </c>
      <c r="F83" s="3">
        <f>Table4_145[[#This Row],[New_Followers]]-Table4_145[[#This Row],[Unfollows]]</f>
        <v>6918</v>
      </c>
      <c r="G83" s="4">
        <v>1.26744151961072E-2</v>
      </c>
      <c r="H83">
        <v>5.5136820660139527</v>
      </c>
      <c r="I83" s="6">
        <v>43787</v>
      </c>
    </row>
    <row r="84" spans="1:9" x14ac:dyDescent="0.3">
      <c r="A84" s="5">
        <v>45586</v>
      </c>
      <c r="B84" t="s">
        <v>23</v>
      </c>
      <c r="C84" s="3">
        <v>8638</v>
      </c>
      <c r="D84" s="3">
        <v>717</v>
      </c>
      <c r="E84" s="3">
        <v>553745</v>
      </c>
      <c r="F84" s="3">
        <f>Table4_145[[#This Row],[New_Followers]]-Table4_145[[#This Row],[Unfollows]]</f>
        <v>7921</v>
      </c>
      <c r="G84" s="4">
        <v>1.4304418098583301E-2</v>
      </c>
      <c r="H84">
        <v>26.921416897669499</v>
      </c>
      <c r="I84" s="6">
        <v>31621</v>
      </c>
    </row>
    <row r="85" spans="1:9" x14ac:dyDescent="0.3">
      <c r="A85" s="5">
        <v>45586</v>
      </c>
      <c r="B85" t="s">
        <v>23</v>
      </c>
      <c r="C85" s="3">
        <v>8993</v>
      </c>
      <c r="D85" s="3">
        <v>506</v>
      </c>
      <c r="E85" s="3">
        <v>562232</v>
      </c>
      <c r="F85" s="3">
        <f>Table4_145[[#This Row],[New_Followers]]-Table4_145[[#This Row],[Unfollows]]</f>
        <v>8487</v>
      </c>
      <c r="G85" s="4">
        <v>1.5095192020375899E-2</v>
      </c>
      <c r="H85">
        <v>3.5131404829323132</v>
      </c>
      <c r="I85" s="6">
        <v>20028</v>
      </c>
    </row>
    <row r="86" spans="1:9" x14ac:dyDescent="0.3">
      <c r="A86" s="5">
        <v>45593</v>
      </c>
      <c r="B86" t="s">
        <v>14</v>
      </c>
      <c r="C86" s="3">
        <v>7007</v>
      </c>
      <c r="D86" s="3">
        <v>568</v>
      </c>
      <c r="E86" s="3">
        <v>568671</v>
      </c>
      <c r="F86" s="3">
        <f>Table4_145[[#This Row],[New_Followers]]-Table4_145[[#This Row],[Unfollows]]</f>
        <v>6439</v>
      </c>
      <c r="G86" s="4">
        <v>1.13228914433829E-2</v>
      </c>
      <c r="H86">
        <v>11.50507059442103</v>
      </c>
      <c r="I86" s="6">
        <v>22448</v>
      </c>
    </row>
    <row r="87" spans="1:9" x14ac:dyDescent="0.3">
      <c r="A87" s="5">
        <v>45593</v>
      </c>
      <c r="B87" t="s">
        <v>14</v>
      </c>
      <c r="C87" s="3">
        <v>6542</v>
      </c>
      <c r="D87" s="3">
        <v>539</v>
      </c>
      <c r="E87" s="3">
        <v>574674</v>
      </c>
      <c r="F87" s="3">
        <f>Table4_145[[#This Row],[New_Followers]]-Table4_145[[#This Row],[Unfollows]]</f>
        <v>6003</v>
      </c>
      <c r="G87" s="4">
        <v>1.04459223838211E-2</v>
      </c>
      <c r="H87">
        <v>6.4069368024305948</v>
      </c>
      <c r="I87" s="6">
        <v>55253</v>
      </c>
    </row>
    <row r="88" spans="1:9" x14ac:dyDescent="0.3">
      <c r="A88" s="5">
        <v>45593</v>
      </c>
      <c r="B88" t="s">
        <v>19</v>
      </c>
      <c r="C88" s="3">
        <v>7356</v>
      </c>
      <c r="D88" s="3">
        <v>904</v>
      </c>
      <c r="E88" s="3">
        <v>581126</v>
      </c>
      <c r="F88" s="3">
        <f>Table4_145[[#This Row],[New_Followers]]-Table4_145[[#This Row],[Unfollows]]</f>
        <v>6452</v>
      </c>
      <c r="G88" s="4">
        <v>1.1102583604932501E-2</v>
      </c>
      <c r="H88">
        <v>17.560907617280929</v>
      </c>
      <c r="I88" s="6">
        <v>44051</v>
      </c>
    </row>
    <row r="89" spans="1:9" x14ac:dyDescent="0.3">
      <c r="A89" s="5">
        <v>45593</v>
      </c>
      <c r="B89" t="s">
        <v>19</v>
      </c>
      <c r="C89" s="3">
        <v>9433</v>
      </c>
      <c r="D89" s="3">
        <v>1073</v>
      </c>
      <c r="E89" s="3">
        <v>589486</v>
      </c>
      <c r="F89" s="3">
        <f>Table4_145[[#This Row],[New_Followers]]-Table4_145[[#This Row],[Unfollows]]</f>
        <v>8360</v>
      </c>
      <c r="G89" s="4">
        <v>1.4181846557848699E-2</v>
      </c>
      <c r="H89">
        <v>7.2934726185185053</v>
      </c>
      <c r="I89" s="6">
        <v>59811</v>
      </c>
    </row>
    <row r="90" spans="1:9" x14ac:dyDescent="0.3">
      <c r="A90" s="5">
        <v>45600</v>
      </c>
      <c r="B90" t="s">
        <v>41</v>
      </c>
      <c r="C90" s="3">
        <v>8380</v>
      </c>
      <c r="D90" s="3">
        <v>1162</v>
      </c>
      <c r="E90" s="3">
        <v>596704</v>
      </c>
      <c r="F90" s="3">
        <f>Table4_145[[#This Row],[New_Followers]]-Table4_145[[#This Row],[Unfollows]]</f>
        <v>7218</v>
      </c>
      <c r="G90" s="4">
        <v>1.2096449831072E-2</v>
      </c>
      <c r="H90">
        <v>18.05853488496809</v>
      </c>
      <c r="I90" s="6">
        <v>40447</v>
      </c>
    </row>
    <row r="91" spans="1:9" x14ac:dyDescent="0.3">
      <c r="A91" s="5">
        <v>45600</v>
      </c>
      <c r="B91" t="s">
        <v>14</v>
      </c>
      <c r="C91" s="3">
        <v>3385</v>
      </c>
      <c r="D91" s="3">
        <v>329</v>
      </c>
      <c r="E91" s="3">
        <v>599760</v>
      </c>
      <c r="F91" s="3">
        <f>Table4_145[[#This Row],[New_Followers]]-Table4_145[[#This Row],[Unfollows]]</f>
        <v>3056</v>
      </c>
      <c r="G91" s="4">
        <v>5.0953714819261002E-3</v>
      </c>
      <c r="H91">
        <v>17.61788048552755</v>
      </c>
      <c r="I91" s="6">
        <v>28394</v>
      </c>
    </row>
    <row r="92" spans="1:9" x14ac:dyDescent="0.3">
      <c r="A92" s="5">
        <v>45600</v>
      </c>
      <c r="B92" t="s">
        <v>19</v>
      </c>
      <c r="C92" s="3">
        <v>5268</v>
      </c>
      <c r="D92" s="3">
        <v>326</v>
      </c>
      <c r="E92" s="3">
        <v>604702</v>
      </c>
      <c r="F92" s="3">
        <f>Table4_145[[#This Row],[New_Followers]]-Table4_145[[#This Row],[Unfollows]]</f>
        <v>4942</v>
      </c>
      <c r="G92" s="4">
        <v>8.17262056351724E-3</v>
      </c>
      <c r="H92">
        <v>23.435841125050029</v>
      </c>
      <c r="I92" s="6">
        <v>44501</v>
      </c>
    </row>
    <row r="93" spans="1:9" x14ac:dyDescent="0.3">
      <c r="A93" s="5">
        <v>45600</v>
      </c>
      <c r="B93" t="s">
        <v>41</v>
      </c>
      <c r="C93" s="3">
        <v>1671</v>
      </c>
      <c r="D93" s="3">
        <v>202</v>
      </c>
      <c r="E93" s="3">
        <v>606171</v>
      </c>
      <c r="F93" s="3">
        <f>Table4_145[[#This Row],[New_Followers]]-Table4_145[[#This Row],[Unfollows]]</f>
        <v>1469</v>
      </c>
      <c r="G93" s="4">
        <v>2.42340857612786E-3</v>
      </c>
      <c r="H93">
        <v>15.150015424690389</v>
      </c>
      <c r="I93" s="6">
        <v>40254</v>
      </c>
    </row>
    <row r="94" spans="1:9" x14ac:dyDescent="0.3">
      <c r="A94" s="5">
        <v>45607</v>
      </c>
      <c r="B94" t="s">
        <v>41</v>
      </c>
      <c r="C94" s="3">
        <v>1163</v>
      </c>
      <c r="D94" s="3">
        <v>146</v>
      </c>
      <c r="E94" s="3">
        <v>607188</v>
      </c>
      <c r="F94" s="3">
        <f>Table4_145[[#This Row],[New_Followers]]-Table4_145[[#This Row],[Unfollows]]</f>
        <v>1017</v>
      </c>
      <c r="G94" s="4">
        <v>1.6749342872388799E-3</v>
      </c>
      <c r="H94">
        <v>21.77776899411715</v>
      </c>
      <c r="I94" s="6">
        <v>28509</v>
      </c>
    </row>
    <row r="95" spans="1:9" x14ac:dyDescent="0.3">
      <c r="A95" s="5">
        <v>45607</v>
      </c>
      <c r="B95" t="s">
        <v>41</v>
      </c>
      <c r="C95" s="3">
        <v>9656</v>
      </c>
      <c r="D95" s="3">
        <v>1024</v>
      </c>
      <c r="E95" s="3">
        <v>615820</v>
      </c>
      <c r="F95" s="3">
        <f>Table4_145[[#This Row],[New_Followers]]-Table4_145[[#This Row],[Unfollows]]</f>
        <v>8632</v>
      </c>
      <c r="G95" s="4">
        <v>1.40170829138385E-2</v>
      </c>
      <c r="H95">
        <v>8.7252768666168681</v>
      </c>
      <c r="I95" s="6">
        <v>58998</v>
      </c>
    </row>
    <row r="96" spans="1:9" x14ac:dyDescent="0.3">
      <c r="A96" s="5">
        <v>45607</v>
      </c>
      <c r="B96" t="s">
        <v>19</v>
      </c>
      <c r="C96" s="3">
        <v>5592</v>
      </c>
      <c r="D96" s="3">
        <v>710</v>
      </c>
      <c r="E96" s="3">
        <v>620702</v>
      </c>
      <c r="F96" s="3">
        <f>Table4_145[[#This Row],[New_Followers]]-Table4_145[[#This Row],[Unfollows]]</f>
        <v>4882</v>
      </c>
      <c r="G96" s="4">
        <v>7.86528801260508E-3</v>
      </c>
      <c r="H96">
        <v>9.07118069540617</v>
      </c>
      <c r="I96" s="6">
        <v>24472</v>
      </c>
    </row>
    <row r="97" spans="1:9" x14ac:dyDescent="0.3">
      <c r="A97" s="5">
        <v>45607</v>
      </c>
      <c r="B97" t="s">
        <v>14</v>
      </c>
      <c r="C97" s="3">
        <v>5795</v>
      </c>
      <c r="D97" s="3">
        <v>575</v>
      </c>
      <c r="E97" s="3">
        <v>625922</v>
      </c>
      <c r="F97" s="3">
        <f>Table4_145[[#This Row],[New_Followers]]-Table4_145[[#This Row],[Unfollows]]</f>
        <v>5220</v>
      </c>
      <c r="G97" s="4">
        <v>8.3396972785746391E-3</v>
      </c>
      <c r="H97">
        <v>3.0908004511744269</v>
      </c>
      <c r="I97" s="6">
        <v>55657</v>
      </c>
    </row>
    <row r="98" spans="1:9" x14ac:dyDescent="0.3">
      <c r="A98" s="5">
        <v>45614</v>
      </c>
      <c r="B98" t="s">
        <v>23</v>
      </c>
      <c r="C98" s="3">
        <v>5798</v>
      </c>
      <c r="D98" s="3">
        <v>592</v>
      </c>
      <c r="E98" s="3">
        <v>631128</v>
      </c>
      <c r="F98" s="3">
        <f>Table4_145[[#This Row],[New_Followers]]-Table4_145[[#This Row],[Unfollows]]</f>
        <v>5206</v>
      </c>
      <c r="G98" s="4">
        <v>8.2487229214992797E-3</v>
      </c>
      <c r="H98">
        <v>1.6774727155188811</v>
      </c>
      <c r="I98" s="6">
        <v>13471</v>
      </c>
    </row>
    <row r="99" spans="1:9" x14ac:dyDescent="0.3">
      <c r="A99" s="5">
        <v>45614</v>
      </c>
      <c r="B99" t="s">
        <v>41</v>
      </c>
      <c r="C99" s="3">
        <v>7036</v>
      </c>
      <c r="D99" s="3">
        <v>652</v>
      </c>
      <c r="E99" s="3">
        <v>637512</v>
      </c>
      <c r="F99" s="3">
        <f>Table4_145[[#This Row],[New_Followers]]-Table4_145[[#This Row],[Unfollows]]</f>
        <v>6384</v>
      </c>
      <c r="G99" s="4">
        <v>1.00139291495689E-2</v>
      </c>
      <c r="H99">
        <v>3.5705994553828009</v>
      </c>
      <c r="I99" s="6">
        <v>51796</v>
      </c>
    </row>
    <row r="100" spans="1:9" x14ac:dyDescent="0.3">
      <c r="A100" s="5">
        <v>45614</v>
      </c>
      <c r="B100" t="s">
        <v>19</v>
      </c>
      <c r="C100" s="3">
        <v>3355</v>
      </c>
      <c r="D100" s="3">
        <v>176</v>
      </c>
      <c r="E100" s="3">
        <v>640691</v>
      </c>
      <c r="F100" s="3">
        <f>Table4_145[[#This Row],[New_Followers]]-Table4_145[[#This Row],[Unfollows]]</f>
        <v>3179</v>
      </c>
      <c r="G100" s="4">
        <v>4.96183027387618E-3</v>
      </c>
      <c r="H100">
        <v>12.426427091999111</v>
      </c>
      <c r="I100" s="6">
        <v>40268</v>
      </c>
    </row>
    <row r="101" spans="1:9" x14ac:dyDescent="0.3">
      <c r="A101" s="5">
        <v>45614</v>
      </c>
      <c r="B101" t="s">
        <v>19</v>
      </c>
      <c r="C101" s="3">
        <v>6887</v>
      </c>
      <c r="D101" s="3">
        <v>418</v>
      </c>
      <c r="E101" s="3">
        <v>647160</v>
      </c>
      <c r="F101" s="3">
        <f>Table4_145[[#This Row],[New_Followers]]-Table4_145[[#This Row],[Unfollows]]</f>
        <v>6469</v>
      </c>
      <c r="G101" s="4">
        <v>9.9959824463811096E-3</v>
      </c>
      <c r="H101">
        <v>20.240280610668151</v>
      </c>
      <c r="I101" s="6">
        <v>18329</v>
      </c>
    </row>
    <row r="102" spans="1:9" x14ac:dyDescent="0.3">
      <c r="A102" s="5">
        <v>45621</v>
      </c>
      <c r="B102" t="s">
        <v>23</v>
      </c>
      <c r="C102" s="3">
        <v>8961</v>
      </c>
      <c r="D102" s="3">
        <v>476</v>
      </c>
      <c r="E102" s="3">
        <v>655645</v>
      </c>
      <c r="F102" s="3">
        <f>Table4_145[[#This Row],[New_Followers]]-Table4_145[[#This Row],[Unfollows]]</f>
        <v>8485</v>
      </c>
      <c r="G102" s="4">
        <v>1.29414545981438E-2</v>
      </c>
      <c r="H102">
        <v>15.458517947974901</v>
      </c>
      <c r="I102" s="6">
        <v>44865</v>
      </c>
    </row>
    <row r="103" spans="1:9" x14ac:dyDescent="0.3">
      <c r="A103" s="5">
        <v>45621</v>
      </c>
      <c r="B103" t="s">
        <v>23</v>
      </c>
      <c r="C103" s="3">
        <v>6827</v>
      </c>
      <c r="D103" s="3">
        <v>775</v>
      </c>
      <c r="E103" s="3">
        <v>661697</v>
      </c>
      <c r="F103" s="3">
        <f>Table4_145[[#This Row],[New_Followers]]-Table4_145[[#This Row],[Unfollows]]</f>
        <v>6052</v>
      </c>
      <c r="G103" s="4">
        <v>9.1461802003031598E-3</v>
      </c>
      <c r="H103">
        <v>15.96622018839439</v>
      </c>
      <c r="I103" s="6">
        <v>56850</v>
      </c>
    </row>
    <row r="104" spans="1:9" x14ac:dyDescent="0.3">
      <c r="A104" s="5">
        <v>45621</v>
      </c>
      <c r="B104" t="s">
        <v>19</v>
      </c>
      <c r="C104" s="3">
        <v>9737</v>
      </c>
      <c r="D104" s="3">
        <v>792</v>
      </c>
      <c r="E104" s="3">
        <v>670642</v>
      </c>
      <c r="F104" s="3">
        <f>Table4_145[[#This Row],[New_Followers]]-Table4_145[[#This Row],[Unfollows]]</f>
        <v>8945</v>
      </c>
      <c r="G104" s="4">
        <v>1.33379657104685E-2</v>
      </c>
      <c r="H104">
        <v>5.301785453341723</v>
      </c>
      <c r="I104" s="6">
        <v>56698</v>
      </c>
    </row>
    <row r="105" spans="1:9" x14ac:dyDescent="0.3">
      <c r="A105" s="5">
        <v>45621</v>
      </c>
      <c r="B105" t="s">
        <v>14</v>
      </c>
      <c r="C105" s="3">
        <v>5719</v>
      </c>
      <c r="D105" s="3">
        <v>576</v>
      </c>
      <c r="E105" s="3">
        <v>675785</v>
      </c>
      <c r="F105" s="3">
        <f>Table4_145[[#This Row],[New_Followers]]-Table4_145[[#This Row],[Unfollows]]</f>
        <v>5143</v>
      </c>
      <c r="G105" s="4">
        <v>7.6104086358827197E-3</v>
      </c>
      <c r="H105">
        <v>10.21656296011305</v>
      </c>
      <c r="I105" s="6">
        <v>38272</v>
      </c>
    </row>
    <row r="106" spans="1:9" x14ac:dyDescent="0.3">
      <c r="A106" s="5">
        <v>45628</v>
      </c>
      <c r="B106" t="s">
        <v>23</v>
      </c>
      <c r="C106" s="3">
        <v>1593</v>
      </c>
      <c r="D106" s="3">
        <v>224</v>
      </c>
      <c r="E106" s="3">
        <v>677154</v>
      </c>
      <c r="F106" s="3">
        <f>Table4_145[[#This Row],[New_Followers]]-Table4_145[[#This Row],[Unfollows]]</f>
        <v>1369</v>
      </c>
      <c r="G106" s="4">
        <v>2.0216966893793699E-3</v>
      </c>
      <c r="H106">
        <v>4.1495730660972248</v>
      </c>
      <c r="I106" s="6">
        <v>52845</v>
      </c>
    </row>
    <row r="107" spans="1:9" x14ac:dyDescent="0.3">
      <c r="A107" s="5">
        <v>45628</v>
      </c>
      <c r="B107" t="s">
        <v>19</v>
      </c>
      <c r="C107" s="3">
        <v>5839</v>
      </c>
      <c r="D107" s="3">
        <v>437</v>
      </c>
      <c r="E107" s="3">
        <v>682556</v>
      </c>
      <c r="F107" s="3">
        <f>Table4_145[[#This Row],[New_Followers]]-Table4_145[[#This Row],[Unfollows]]</f>
        <v>5402</v>
      </c>
      <c r="G107" s="4">
        <v>7.9143689309009099E-3</v>
      </c>
      <c r="H107">
        <v>17.44750613869045</v>
      </c>
      <c r="I107" s="6">
        <v>16397</v>
      </c>
    </row>
    <row r="108" spans="1:9" x14ac:dyDescent="0.3">
      <c r="A108" s="5">
        <v>45628</v>
      </c>
      <c r="B108" t="s">
        <v>23</v>
      </c>
      <c r="C108" s="3">
        <v>8394</v>
      </c>
      <c r="D108" s="3">
        <v>764</v>
      </c>
      <c r="E108" s="3">
        <v>690186</v>
      </c>
      <c r="F108" s="3">
        <f>Table4_145[[#This Row],[New_Followers]]-Table4_145[[#This Row],[Unfollows]]</f>
        <v>7630</v>
      </c>
      <c r="G108" s="4">
        <v>1.10549909734477E-2</v>
      </c>
      <c r="H108">
        <v>6.3556780346167558</v>
      </c>
      <c r="I108" s="6">
        <v>42373</v>
      </c>
    </row>
    <row r="109" spans="1:9" x14ac:dyDescent="0.3">
      <c r="A109" s="5">
        <v>45628</v>
      </c>
      <c r="B109" t="s">
        <v>14</v>
      </c>
      <c r="C109" s="3">
        <v>4493</v>
      </c>
      <c r="D109" s="3">
        <v>564</v>
      </c>
      <c r="E109" s="3">
        <v>694115</v>
      </c>
      <c r="F109" s="3">
        <f>Table4_145[[#This Row],[New_Followers]]-Table4_145[[#This Row],[Unfollows]]</f>
        <v>3929</v>
      </c>
      <c r="G109" s="4">
        <v>5.6604453152575597E-3</v>
      </c>
      <c r="H109">
        <v>16.625487131094989</v>
      </c>
      <c r="I109" s="6">
        <v>45525</v>
      </c>
    </row>
    <row r="110" spans="1:9" x14ac:dyDescent="0.3">
      <c r="A110" s="5">
        <v>45635</v>
      </c>
      <c r="B110" t="s">
        <v>41</v>
      </c>
      <c r="C110" s="3">
        <v>7164</v>
      </c>
      <c r="D110" s="3">
        <v>522</v>
      </c>
      <c r="E110" s="3">
        <v>700757</v>
      </c>
      <c r="F110" s="3">
        <f>Table4_145[[#This Row],[New_Followers]]-Table4_145[[#This Row],[Unfollows]]</f>
        <v>6642</v>
      </c>
      <c r="G110" s="4">
        <v>9.4783213011072308E-3</v>
      </c>
      <c r="H110">
        <v>13.449169969047761</v>
      </c>
      <c r="I110" s="6">
        <v>34570</v>
      </c>
    </row>
    <row r="111" spans="1:9" x14ac:dyDescent="0.3">
      <c r="A111" s="5">
        <v>45635</v>
      </c>
      <c r="B111" t="s">
        <v>23</v>
      </c>
      <c r="C111" s="3">
        <v>3672</v>
      </c>
      <c r="D111" s="3">
        <v>211</v>
      </c>
      <c r="E111" s="3">
        <v>704218</v>
      </c>
      <c r="F111" s="3">
        <f>Table4_145[[#This Row],[New_Followers]]-Table4_145[[#This Row],[Unfollows]]</f>
        <v>3461</v>
      </c>
      <c r="G111" s="4">
        <v>4.9146713091684701E-3</v>
      </c>
      <c r="H111">
        <v>12.35057894004413</v>
      </c>
      <c r="I111" s="6">
        <v>28284</v>
      </c>
    </row>
    <row r="112" spans="1:9" x14ac:dyDescent="0.3">
      <c r="A112" s="5">
        <v>45635</v>
      </c>
      <c r="B112" t="s">
        <v>14</v>
      </c>
      <c r="C112" s="3">
        <v>5200</v>
      </c>
      <c r="D112" s="3">
        <v>410</v>
      </c>
      <c r="E112" s="3">
        <v>709008</v>
      </c>
      <c r="F112" s="3">
        <f>Table4_145[[#This Row],[New_Followers]]-Table4_145[[#This Row],[Unfollows]]</f>
        <v>4790</v>
      </c>
      <c r="G112" s="4">
        <v>6.7559181278631598E-3</v>
      </c>
      <c r="H112">
        <v>12.913394489201821</v>
      </c>
      <c r="I112" s="6">
        <v>28994</v>
      </c>
    </row>
    <row r="113" spans="1:9" x14ac:dyDescent="0.3">
      <c r="A113" s="5">
        <v>45635</v>
      </c>
      <c r="B113" t="s">
        <v>19</v>
      </c>
      <c r="C113" s="3">
        <v>1016</v>
      </c>
      <c r="D113" s="3">
        <v>67</v>
      </c>
      <c r="E113" s="3">
        <v>709957</v>
      </c>
      <c r="F113" s="3">
        <f>Table4_145[[#This Row],[New_Followers]]-Table4_145[[#This Row],[Unfollows]]</f>
        <v>949</v>
      </c>
      <c r="G113" s="4">
        <v>1.3367006734210699E-3</v>
      </c>
      <c r="H113">
        <v>20.774215903216671</v>
      </c>
      <c r="I113" s="6">
        <v>33284</v>
      </c>
    </row>
    <row r="114" spans="1:9" x14ac:dyDescent="0.3">
      <c r="A114" s="5">
        <v>45642</v>
      </c>
      <c r="B114" t="s">
        <v>23</v>
      </c>
      <c r="C114" s="3">
        <v>4191</v>
      </c>
      <c r="D114" s="3">
        <v>599</v>
      </c>
      <c r="E114" s="3">
        <v>713549</v>
      </c>
      <c r="F114" s="3">
        <f>Table4_145[[#This Row],[New_Followers]]-Table4_145[[#This Row],[Unfollows]]</f>
        <v>3592</v>
      </c>
      <c r="G114" s="4">
        <v>5.0339920594100803E-3</v>
      </c>
      <c r="H114">
        <v>11.56416728213479</v>
      </c>
      <c r="I114" s="6">
        <v>27833</v>
      </c>
    </row>
    <row r="115" spans="1:9" x14ac:dyDescent="0.3">
      <c r="A115" s="5">
        <v>45642</v>
      </c>
      <c r="B115" t="s">
        <v>23</v>
      </c>
      <c r="C115" s="3">
        <v>1392</v>
      </c>
      <c r="D115" s="3">
        <v>182</v>
      </c>
      <c r="E115" s="3">
        <v>714759</v>
      </c>
      <c r="F115" s="3">
        <f>Table4_145[[#This Row],[New_Followers]]-Table4_145[[#This Row],[Unfollows]]</f>
        <v>1210</v>
      </c>
      <c r="G115" s="4">
        <v>1.69287829883919E-3</v>
      </c>
      <c r="H115">
        <v>5.9603306848881932</v>
      </c>
      <c r="I115" s="6">
        <v>35122</v>
      </c>
    </row>
    <row r="116" spans="1:9" x14ac:dyDescent="0.3">
      <c r="A116" s="5">
        <v>45642</v>
      </c>
      <c r="B116" t="s">
        <v>19</v>
      </c>
      <c r="C116" s="3">
        <v>9616</v>
      </c>
      <c r="D116" s="3">
        <v>1089</v>
      </c>
      <c r="E116" s="3">
        <v>723286</v>
      </c>
      <c r="F116" s="3">
        <f>Table4_145[[#This Row],[New_Followers]]-Table4_145[[#This Row],[Unfollows]]</f>
        <v>8527</v>
      </c>
      <c r="G116" s="4">
        <v>1.17892507251627E-2</v>
      </c>
      <c r="H116">
        <v>19.25863351426683</v>
      </c>
      <c r="I116" s="6">
        <v>15017</v>
      </c>
    </row>
    <row r="117" spans="1:9" x14ac:dyDescent="0.3">
      <c r="A117" s="5">
        <v>45642</v>
      </c>
      <c r="B117" t="s">
        <v>41</v>
      </c>
      <c r="C117" s="3">
        <v>7272</v>
      </c>
      <c r="D117" s="3">
        <v>997</v>
      </c>
      <c r="E117" s="3">
        <v>729561</v>
      </c>
      <c r="F117" s="3">
        <f>Table4_145[[#This Row],[New_Followers]]-Table4_145[[#This Row],[Unfollows]]</f>
        <v>6275</v>
      </c>
      <c r="G117" s="4">
        <v>8.6010628309353201E-3</v>
      </c>
      <c r="H117">
        <v>13.428486445958599</v>
      </c>
      <c r="I117" s="6">
        <v>26370</v>
      </c>
    </row>
    <row r="118" spans="1:9" x14ac:dyDescent="0.3">
      <c r="A118" s="5">
        <v>45649</v>
      </c>
      <c r="B118" t="s">
        <v>19</v>
      </c>
      <c r="C118" s="3">
        <v>1571</v>
      </c>
      <c r="D118" s="3">
        <v>204</v>
      </c>
      <c r="E118" s="3">
        <v>730928</v>
      </c>
      <c r="F118" s="3">
        <f>Table4_145[[#This Row],[New_Followers]]-Table4_145[[#This Row],[Unfollows]]</f>
        <v>1367</v>
      </c>
      <c r="G118" s="4">
        <v>1.8702252479040301E-3</v>
      </c>
      <c r="H118">
        <v>19.449384891535139</v>
      </c>
      <c r="I118" s="6">
        <v>39252</v>
      </c>
    </row>
    <row r="119" spans="1:9" x14ac:dyDescent="0.3">
      <c r="A119" s="5">
        <v>45649</v>
      </c>
      <c r="B119" t="s">
        <v>23</v>
      </c>
      <c r="C119" s="3">
        <v>4631</v>
      </c>
      <c r="D119" s="3">
        <v>317</v>
      </c>
      <c r="E119" s="3">
        <v>735242</v>
      </c>
      <c r="F119" s="3">
        <f>Table4_145[[#This Row],[New_Followers]]-Table4_145[[#This Row],[Unfollows]]</f>
        <v>4314</v>
      </c>
      <c r="G119" s="4">
        <v>5.8674558852731496E-3</v>
      </c>
      <c r="H119">
        <v>1.381177897889402</v>
      </c>
      <c r="I119" s="6">
        <v>17999</v>
      </c>
    </row>
    <row r="120" spans="1:9" x14ac:dyDescent="0.3">
      <c r="A120" s="5">
        <v>45649</v>
      </c>
      <c r="B120" t="s">
        <v>19</v>
      </c>
      <c r="C120" s="3">
        <v>7172</v>
      </c>
      <c r="D120" s="3">
        <v>998</v>
      </c>
      <c r="E120" s="3">
        <v>741416</v>
      </c>
      <c r="F120" s="3">
        <f>Table4_145[[#This Row],[New_Followers]]-Table4_145[[#This Row],[Unfollows]]</f>
        <v>6174</v>
      </c>
      <c r="G120" s="4">
        <v>8.32730882527488E-3</v>
      </c>
      <c r="H120">
        <v>18.0667803230575</v>
      </c>
      <c r="I120" s="6">
        <v>32436</v>
      </c>
    </row>
    <row r="121" spans="1:9" x14ac:dyDescent="0.3">
      <c r="A121" s="5">
        <v>45649</v>
      </c>
      <c r="B121" t="s">
        <v>14</v>
      </c>
      <c r="C121" s="3">
        <v>8177</v>
      </c>
      <c r="D121" s="3">
        <v>849</v>
      </c>
      <c r="E121" s="3">
        <v>748744</v>
      </c>
      <c r="F121" s="3">
        <f>Table4_145[[#This Row],[New_Followers]]-Table4_145[[#This Row],[Unfollows]]</f>
        <v>7328</v>
      </c>
      <c r="G121" s="4">
        <v>9.78705672432768E-3</v>
      </c>
      <c r="H121">
        <v>10.34986590877523</v>
      </c>
      <c r="I121" s="6">
        <v>52963</v>
      </c>
    </row>
    <row r="122" spans="1:9" x14ac:dyDescent="0.3">
      <c r="A122" s="5">
        <v>45656</v>
      </c>
      <c r="B122" t="s">
        <v>19</v>
      </c>
      <c r="C122" s="3">
        <v>9433</v>
      </c>
      <c r="D122" s="3">
        <v>1233</v>
      </c>
      <c r="E122" s="3">
        <v>756944</v>
      </c>
      <c r="F122" s="3">
        <f>Table4_145[[#This Row],[New_Followers]]-Table4_145[[#This Row],[Unfollows]]</f>
        <v>8200</v>
      </c>
      <c r="G122" s="4">
        <v>1.08330338836162E-2</v>
      </c>
      <c r="H122">
        <v>11.391727789638329</v>
      </c>
      <c r="I122" s="6">
        <v>12096</v>
      </c>
    </row>
    <row r="123" spans="1:9" x14ac:dyDescent="0.3">
      <c r="A123" s="5">
        <v>45656</v>
      </c>
      <c r="B123" t="s">
        <v>23</v>
      </c>
      <c r="C123" s="3">
        <v>4897</v>
      </c>
      <c r="D123" s="3">
        <v>683</v>
      </c>
      <c r="E123" s="3">
        <v>761158</v>
      </c>
      <c r="F123" s="3">
        <f>Table4_145[[#This Row],[New_Followers]]-Table4_145[[#This Row],[Unfollows]]</f>
        <v>4214</v>
      </c>
      <c r="G123" s="4">
        <v>5.5363012672795904E-3</v>
      </c>
      <c r="H123">
        <v>15.06231294947961</v>
      </c>
      <c r="I123" s="6">
        <v>58201</v>
      </c>
    </row>
    <row r="124" spans="1:9" x14ac:dyDescent="0.3">
      <c r="A124" s="5">
        <v>45656</v>
      </c>
      <c r="B124" t="s">
        <v>19</v>
      </c>
      <c r="C124" s="3">
        <v>9123</v>
      </c>
      <c r="D124" s="3">
        <v>746</v>
      </c>
      <c r="E124" s="3">
        <v>769535</v>
      </c>
      <c r="F124" s="3">
        <f>Table4_145[[#This Row],[New_Followers]]-Table4_145[[#This Row],[Unfollows]]</f>
        <v>8377</v>
      </c>
      <c r="G124" s="4">
        <v>1.0885794668208699E-2</v>
      </c>
      <c r="H124">
        <v>6.3086149427901264</v>
      </c>
      <c r="I124" s="6">
        <v>35279</v>
      </c>
    </row>
    <row r="125" spans="1:9" x14ac:dyDescent="0.3">
      <c r="A125" s="5">
        <v>45656</v>
      </c>
      <c r="B125" t="s">
        <v>41</v>
      </c>
      <c r="C125" s="3">
        <v>3279</v>
      </c>
      <c r="D125" s="3">
        <v>200</v>
      </c>
      <c r="E125" s="3">
        <v>772614</v>
      </c>
      <c r="F125" s="3">
        <f>Table4_145[[#This Row],[New_Followers]]-Table4_145[[#This Row],[Unfollows]]</f>
        <v>3079</v>
      </c>
      <c r="G125" s="4">
        <v>3.9851724146857297E-3</v>
      </c>
      <c r="H125">
        <v>5.0212654702089274</v>
      </c>
      <c r="I125" s="6">
        <v>53363</v>
      </c>
    </row>
    <row r="126" spans="1:9" x14ac:dyDescent="0.3">
      <c r="A126" s="5">
        <v>45663</v>
      </c>
      <c r="B126" t="s">
        <v>19</v>
      </c>
      <c r="C126" s="3">
        <v>9980</v>
      </c>
      <c r="D126" s="3">
        <v>726</v>
      </c>
      <c r="E126" s="3">
        <v>781868</v>
      </c>
      <c r="F126" s="3">
        <f>Table4_145[[#This Row],[New_Followers]]-Table4_145[[#This Row],[Unfollows]]</f>
        <v>9254</v>
      </c>
      <c r="G126" s="4">
        <v>1.18357574424327E-2</v>
      </c>
      <c r="H126">
        <v>4.0220344099003924</v>
      </c>
      <c r="I126" s="6">
        <v>58709</v>
      </c>
    </row>
    <row r="127" spans="1:9" x14ac:dyDescent="0.3">
      <c r="A127" s="5">
        <v>45663</v>
      </c>
      <c r="B127" t="s">
        <v>41</v>
      </c>
      <c r="C127" s="3">
        <v>8451</v>
      </c>
      <c r="D127" s="3">
        <v>783</v>
      </c>
      <c r="E127" s="3">
        <v>789536</v>
      </c>
      <c r="F127" s="3">
        <f>Table4_145[[#This Row],[New_Followers]]-Table4_145[[#This Row],[Unfollows]]</f>
        <v>7668</v>
      </c>
      <c r="G127" s="4">
        <v>9.7120333968305408E-3</v>
      </c>
      <c r="H127">
        <v>12.407287318121019</v>
      </c>
      <c r="I127" s="6">
        <v>36201</v>
      </c>
    </row>
    <row r="128" spans="1:9" x14ac:dyDescent="0.3">
      <c r="A128" s="5">
        <v>45663</v>
      </c>
      <c r="B128" t="s">
        <v>14</v>
      </c>
      <c r="C128" s="3">
        <v>9906</v>
      </c>
      <c r="D128" s="3">
        <v>1305</v>
      </c>
      <c r="E128" s="3">
        <v>798137</v>
      </c>
      <c r="F128" s="3">
        <f>Table4_145[[#This Row],[New_Followers]]-Table4_145[[#This Row],[Unfollows]]</f>
        <v>8601</v>
      </c>
      <c r="G128" s="4">
        <v>1.0776345414383701E-2</v>
      </c>
      <c r="H128">
        <v>9.1811305577864442</v>
      </c>
      <c r="I128" s="6">
        <v>29715</v>
      </c>
    </row>
    <row r="129" spans="1:9" x14ac:dyDescent="0.3">
      <c r="A129" s="5">
        <v>45663</v>
      </c>
      <c r="B129" t="s">
        <v>41</v>
      </c>
      <c r="C129" s="3">
        <v>1775</v>
      </c>
      <c r="D129" s="3">
        <v>241</v>
      </c>
      <c r="E129" s="3">
        <v>799671</v>
      </c>
      <c r="F129" s="3">
        <f>Table4_145[[#This Row],[New_Followers]]-Table4_145[[#This Row],[Unfollows]]</f>
        <v>1534</v>
      </c>
      <c r="G129" s="4">
        <v>1.91828889630861E-3</v>
      </c>
      <c r="H129">
        <v>8.1379717408784362</v>
      </c>
      <c r="I129" s="6">
        <v>39309</v>
      </c>
    </row>
    <row r="130" spans="1:9" x14ac:dyDescent="0.3">
      <c r="A130" s="5">
        <v>45670</v>
      </c>
      <c r="B130" t="s">
        <v>19</v>
      </c>
      <c r="C130" s="3">
        <v>7869</v>
      </c>
      <c r="D130" s="3">
        <v>398</v>
      </c>
      <c r="E130" s="3">
        <v>807142</v>
      </c>
      <c r="F130" s="3">
        <f>Table4_145[[#This Row],[New_Followers]]-Table4_145[[#This Row],[Unfollows]]</f>
        <v>7471</v>
      </c>
      <c r="G130" s="4">
        <v>9.2561160241940096E-3</v>
      </c>
      <c r="H130">
        <v>15.211945357818079</v>
      </c>
      <c r="I130" s="6">
        <v>25078</v>
      </c>
    </row>
    <row r="131" spans="1:9" x14ac:dyDescent="0.3">
      <c r="A131" s="5">
        <v>45670</v>
      </c>
      <c r="B131" t="s">
        <v>23</v>
      </c>
      <c r="C131" s="3">
        <v>3247</v>
      </c>
      <c r="D131" s="3">
        <v>328</v>
      </c>
      <c r="E131" s="3">
        <v>810061</v>
      </c>
      <c r="F131" s="3">
        <f>Table4_145[[#This Row],[New_Followers]]-Table4_145[[#This Row],[Unfollows]]</f>
        <v>2919</v>
      </c>
      <c r="G131" s="4">
        <v>3.6034323341081701E-3</v>
      </c>
      <c r="H131">
        <v>13.941172331466399</v>
      </c>
      <c r="I131" s="6">
        <v>15105</v>
      </c>
    </row>
    <row r="132" spans="1:9" x14ac:dyDescent="0.3">
      <c r="A132" s="5">
        <v>45670</v>
      </c>
      <c r="B132" t="s">
        <v>41</v>
      </c>
      <c r="C132" s="3">
        <v>8088</v>
      </c>
      <c r="D132" s="3">
        <v>742</v>
      </c>
      <c r="E132" s="3">
        <v>817407</v>
      </c>
      <c r="F132" s="3">
        <f>Table4_145[[#This Row],[New_Followers]]-Table4_145[[#This Row],[Unfollows]]</f>
        <v>7346</v>
      </c>
      <c r="G132" s="4">
        <v>8.9869550909155403E-3</v>
      </c>
      <c r="H132">
        <v>14.664542877660701</v>
      </c>
      <c r="I132" s="6">
        <v>39312</v>
      </c>
    </row>
    <row r="133" spans="1:9" x14ac:dyDescent="0.3">
      <c r="A133" s="5">
        <v>45670</v>
      </c>
      <c r="B133" t="s">
        <v>14</v>
      </c>
      <c r="C133" s="3">
        <v>1078</v>
      </c>
      <c r="D133" s="3">
        <v>77</v>
      </c>
      <c r="E133" s="3">
        <v>818408</v>
      </c>
      <c r="F133" s="3">
        <f>Table4_145[[#This Row],[New_Followers]]-Table4_145[[#This Row],[Unfollows]]</f>
        <v>1001</v>
      </c>
      <c r="G133" s="4">
        <v>1.22310632349635E-3</v>
      </c>
      <c r="H133">
        <v>18.236747441373989</v>
      </c>
      <c r="I133" s="6">
        <v>12839</v>
      </c>
    </row>
    <row r="134" spans="1:9" x14ac:dyDescent="0.3">
      <c r="A134" s="5">
        <v>45677</v>
      </c>
      <c r="B134" t="s">
        <v>41</v>
      </c>
      <c r="C134" s="3">
        <v>9080</v>
      </c>
      <c r="D134" s="3">
        <v>562</v>
      </c>
      <c r="E134" s="3">
        <v>826926</v>
      </c>
      <c r="F134" s="3">
        <f>Table4_145[[#This Row],[New_Followers]]-Table4_145[[#This Row],[Unfollows]]</f>
        <v>8518</v>
      </c>
      <c r="G134" s="4">
        <v>1.03008007971693E-2</v>
      </c>
      <c r="H134">
        <v>7.1083748727213809</v>
      </c>
      <c r="I134" s="6">
        <v>13384</v>
      </c>
    </row>
    <row r="135" spans="1:9" x14ac:dyDescent="0.3">
      <c r="A135" s="5">
        <v>45677</v>
      </c>
      <c r="B135" t="s">
        <v>41</v>
      </c>
      <c r="C135" s="3">
        <v>8099</v>
      </c>
      <c r="D135" s="3">
        <v>678</v>
      </c>
      <c r="E135" s="3">
        <v>834347</v>
      </c>
      <c r="F135" s="3">
        <f>Table4_145[[#This Row],[New_Followers]]-Table4_145[[#This Row],[Unfollows]]</f>
        <v>7421</v>
      </c>
      <c r="G135" s="4">
        <v>8.8943808751035195E-3</v>
      </c>
      <c r="H135">
        <v>7.6464588474579518</v>
      </c>
      <c r="I135" s="6">
        <v>53619</v>
      </c>
    </row>
    <row r="136" spans="1:9" x14ac:dyDescent="0.3">
      <c r="A136" s="5">
        <v>45677</v>
      </c>
      <c r="B136" t="s">
        <v>41</v>
      </c>
      <c r="C136" s="3">
        <v>4926</v>
      </c>
      <c r="D136" s="3">
        <v>710</v>
      </c>
      <c r="E136" s="3">
        <v>838563</v>
      </c>
      <c r="F136" s="3">
        <f>Table4_145[[#This Row],[New_Followers]]-Table4_145[[#This Row],[Unfollows]]</f>
        <v>4216</v>
      </c>
      <c r="G136" s="4">
        <v>5.0276484891415398E-3</v>
      </c>
      <c r="H136">
        <v>12.96217457722318</v>
      </c>
      <c r="I136" s="6">
        <v>52821</v>
      </c>
    </row>
    <row r="137" spans="1:9" x14ac:dyDescent="0.3">
      <c r="A137" s="5">
        <v>45677</v>
      </c>
      <c r="B137" t="s">
        <v>14</v>
      </c>
      <c r="C137" s="3">
        <v>8340</v>
      </c>
      <c r="D137" s="3">
        <v>686</v>
      </c>
      <c r="E137" s="3">
        <v>846217</v>
      </c>
      <c r="F137" s="3">
        <f>Table4_145[[#This Row],[New_Followers]]-Table4_145[[#This Row],[Unfollows]]</f>
        <v>7654</v>
      </c>
      <c r="G137" s="4">
        <v>9.04496128061715E-3</v>
      </c>
      <c r="H137">
        <v>7.201344336027284</v>
      </c>
      <c r="I137" s="6">
        <v>23493</v>
      </c>
    </row>
    <row r="138" spans="1:9" x14ac:dyDescent="0.3">
      <c r="A138" s="5">
        <v>45684</v>
      </c>
      <c r="B138" t="s">
        <v>19</v>
      </c>
      <c r="C138" s="3">
        <v>8083</v>
      </c>
      <c r="D138" s="3">
        <v>823</v>
      </c>
      <c r="E138" s="3">
        <v>853477</v>
      </c>
      <c r="F138" s="3">
        <f>Table4_145[[#This Row],[New_Followers]]-Table4_145[[#This Row],[Unfollows]]</f>
        <v>7260</v>
      </c>
      <c r="G138" s="4">
        <v>8.5063803711172108E-3</v>
      </c>
      <c r="H138">
        <v>4.6300017457998282</v>
      </c>
      <c r="I138" s="6">
        <v>27069</v>
      </c>
    </row>
    <row r="139" spans="1:9" x14ac:dyDescent="0.3">
      <c r="A139" s="5">
        <v>45684</v>
      </c>
      <c r="B139" t="s">
        <v>41</v>
      </c>
      <c r="C139" s="3">
        <v>7230</v>
      </c>
      <c r="D139" s="3">
        <v>869</v>
      </c>
      <c r="E139" s="3">
        <v>859838</v>
      </c>
      <c r="F139" s="3">
        <f>Table4_145[[#This Row],[New_Followers]]-Table4_145[[#This Row],[Unfollows]]</f>
        <v>6361</v>
      </c>
      <c r="G139" s="4">
        <v>7.397905186791E-3</v>
      </c>
      <c r="H139">
        <v>7.0117859410726204</v>
      </c>
      <c r="I139" s="6">
        <v>56907</v>
      </c>
    </row>
    <row r="140" spans="1:9" x14ac:dyDescent="0.3">
      <c r="A140" s="5">
        <v>45684</v>
      </c>
      <c r="B140" t="s">
        <v>41</v>
      </c>
      <c r="C140" s="3">
        <v>5940</v>
      </c>
      <c r="D140" s="3">
        <v>512</v>
      </c>
      <c r="E140" s="3">
        <v>865266</v>
      </c>
      <c r="F140" s="3">
        <f>Table4_145[[#This Row],[New_Followers]]-Table4_145[[#This Row],[Unfollows]]</f>
        <v>5428</v>
      </c>
      <c r="G140" s="4">
        <v>6.2732154042802997E-3</v>
      </c>
      <c r="H140">
        <v>15.7972230504839</v>
      </c>
      <c r="I140" s="6">
        <v>17531</v>
      </c>
    </row>
    <row r="141" spans="1:9" x14ac:dyDescent="0.3">
      <c r="A141" s="5">
        <v>45684</v>
      </c>
      <c r="B141" t="s">
        <v>23</v>
      </c>
      <c r="C141" s="3">
        <v>4271</v>
      </c>
      <c r="D141" s="3">
        <v>628</v>
      </c>
      <c r="E141" s="3">
        <v>868909</v>
      </c>
      <c r="F141" s="3">
        <f>Table4_145[[#This Row],[New_Followers]]-Table4_145[[#This Row],[Unfollows]]</f>
        <v>3643</v>
      </c>
      <c r="G141" s="4">
        <v>4.1926139561219902E-3</v>
      </c>
      <c r="H141">
        <v>11.124410036033691</v>
      </c>
      <c r="I141" s="6">
        <v>47051</v>
      </c>
    </row>
    <row r="142" spans="1:9" x14ac:dyDescent="0.3">
      <c r="A142" s="5">
        <v>45691</v>
      </c>
      <c r="B142" t="s">
        <v>14</v>
      </c>
      <c r="C142" s="3">
        <v>4456</v>
      </c>
      <c r="D142" s="3">
        <v>651</v>
      </c>
      <c r="E142" s="3">
        <v>872714</v>
      </c>
      <c r="F142" s="3">
        <f>Table4_145[[#This Row],[New_Followers]]-Table4_145[[#This Row],[Unfollows]]</f>
        <v>3805</v>
      </c>
      <c r="G142" s="4">
        <v>4.3599621410908996E-3</v>
      </c>
      <c r="H142">
        <v>9.5052903929580594</v>
      </c>
      <c r="I142" s="6">
        <v>17736</v>
      </c>
    </row>
    <row r="143" spans="1:9" x14ac:dyDescent="0.3">
      <c r="A143" s="5">
        <v>45691</v>
      </c>
      <c r="B143" t="s">
        <v>41</v>
      </c>
      <c r="C143" s="3">
        <v>8788</v>
      </c>
      <c r="D143" s="3">
        <v>660</v>
      </c>
      <c r="E143" s="3">
        <v>880842</v>
      </c>
      <c r="F143" s="3">
        <f>Table4_145[[#This Row],[New_Followers]]-Table4_145[[#This Row],[Unfollows]]</f>
        <v>8128</v>
      </c>
      <c r="G143" s="4">
        <v>9.2275345635198999E-3</v>
      </c>
      <c r="H143">
        <v>3.7175793161543158</v>
      </c>
      <c r="I143" s="6">
        <v>17710</v>
      </c>
    </row>
    <row r="144" spans="1:9" x14ac:dyDescent="0.3">
      <c r="A144" s="5">
        <v>45691</v>
      </c>
      <c r="B144" t="s">
        <v>14</v>
      </c>
      <c r="C144" s="3">
        <v>9599</v>
      </c>
      <c r="D144" s="3">
        <v>957</v>
      </c>
      <c r="E144" s="3">
        <v>889484</v>
      </c>
      <c r="F144" s="3">
        <f>Table4_145[[#This Row],[New_Followers]]-Table4_145[[#This Row],[Unfollows]]</f>
        <v>8642</v>
      </c>
      <c r="G144" s="4">
        <v>9.7157453085159502E-3</v>
      </c>
      <c r="H144">
        <v>8.768004820772493</v>
      </c>
      <c r="I144" s="6">
        <v>11619</v>
      </c>
    </row>
    <row r="145" spans="1:9" x14ac:dyDescent="0.3">
      <c r="A145" s="5">
        <v>45691</v>
      </c>
      <c r="B145" t="s">
        <v>41</v>
      </c>
      <c r="C145" s="3">
        <v>8650</v>
      </c>
      <c r="D145" s="3">
        <v>692</v>
      </c>
      <c r="E145" s="3">
        <v>897442</v>
      </c>
      <c r="F145" s="3">
        <f>Table4_145[[#This Row],[New_Followers]]-Table4_145[[#This Row],[Unfollows]]</f>
        <v>7958</v>
      </c>
      <c r="G145" s="4">
        <v>8.8674254157928897E-3</v>
      </c>
      <c r="H145">
        <v>7.6673478620345374</v>
      </c>
      <c r="I145" s="6">
        <v>23975</v>
      </c>
    </row>
    <row r="146" spans="1:9" x14ac:dyDescent="0.3">
      <c r="A146" s="5">
        <v>45698</v>
      </c>
      <c r="B146" t="s">
        <v>19</v>
      </c>
      <c r="C146" s="3">
        <v>3711</v>
      </c>
      <c r="D146" s="3">
        <v>291</v>
      </c>
      <c r="E146" s="3">
        <v>900862</v>
      </c>
      <c r="F146" s="3">
        <f>Table4_145[[#This Row],[New_Followers]]-Table4_145[[#This Row],[Unfollows]]</f>
        <v>3420</v>
      </c>
      <c r="G146" s="4">
        <v>3.7963639269943698E-3</v>
      </c>
      <c r="H146">
        <v>14.24879726306582</v>
      </c>
      <c r="I146" s="6">
        <v>55603</v>
      </c>
    </row>
    <row r="147" spans="1:9" x14ac:dyDescent="0.3">
      <c r="A147" s="5">
        <v>45698</v>
      </c>
      <c r="B147" t="s">
        <v>19</v>
      </c>
      <c r="C147" s="3">
        <v>2668</v>
      </c>
      <c r="D147" s="3">
        <v>143</v>
      </c>
      <c r="E147" s="3">
        <v>903387</v>
      </c>
      <c r="F147" s="3">
        <f>Table4_145[[#This Row],[New_Followers]]-Table4_145[[#This Row],[Unfollows]]</f>
        <v>2525</v>
      </c>
      <c r="G147" s="4">
        <v>2.79503690002181E-3</v>
      </c>
      <c r="H147">
        <v>15.903372530266649</v>
      </c>
      <c r="I147" s="6">
        <v>33252</v>
      </c>
    </row>
    <row r="148" spans="1:9" x14ac:dyDescent="0.3">
      <c r="A148" s="5">
        <v>45698</v>
      </c>
      <c r="B148" t="s">
        <v>41</v>
      </c>
      <c r="C148" s="3">
        <v>1147</v>
      </c>
      <c r="D148" s="3">
        <v>127</v>
      </c>
      <c r="E148" s="3">
        <v>904407</v>
      </c>
      <c r="F148" s="3">
        <f>Table4_145[[#This Row],[New_Followers]]-Table4_145[[#This Row],[Unfollows]]</f>
        <v>1020</v>
      </c>
      <c r="G148" s="4">
        <v>1.12781081968627E-3</v>
      </c>
      <c r="H148">
        <v>1.3997016829812241</v>
      </c>
      <c r="I148" s="6">
        <v>25261</v>
      </c>
    </row>
    <row r="149" spans="1:9" x14ac:dyDescent="0.3">
      <c r="A149" s="5">
        <v>45698</v>
      </c>
      <c r="B149" t="s">
        <v>19</v>
      </c>
      <c r="C149" s="3">
        <v>7420</v>
      </c>
      <c r="D149" s="3">
        <v>743</v>
      </c>
      <c r="E149" s="3">
        <v>911084</v>
      </c>
      <c r="F149" s="3">
        <f>Table4_145[[#This Row],[New_Followers]]-Table4_145[[#This Row],[Unfollows]]</f>
        <v>6677</v>
      </c>
      <c r="G149" s="4">
        <v>7.3286327056561202E-3</v>
      </c>
      <c r="H149">
        <v>10.593534734448189</v>
      </c>
      <c r="I149" s="6">
        <v>11431</v>
      </c>
    </row>
    <row r="150" spans="1:9" x14ac:dyDescent="0.3">
      <c r="A150" s="5">
        <v>45705</v>
      </c>
      <c r="B150" t="s">
        <v>41</v>
      </c>
      <c r="C150" s="3">
        <v>1365</v>
      </c>
      <c r="D150" s="3">
        <v>75</v>
      </c>
      <c r="E150" s="3">
        <v>912374</v>
      </c>
      <c r="F150" s="3">
        <f>Table4_145[[#This Row],[New_Followers]]-Table4_145[[#This Row],[Unfollows]]</f>
        <v>1290</v>
      </c>
      <c r="G150" s="4">
        <v>1.4138938637006299E-3</v>
      </c>
      <c r="H150">
        <v>9.2688963078737441</v>
      </c>
      <c r="I150" s="6">
        <v>19067</v>
      </c>
    </row>
    <row r="151" spans="1:9" x14ac:dyDescent="0.3">
      <c r="A151" s="5">
        <v>45705</v>
      </c>
      <c r="B151" t="s">
        <v>19</v>
      </c>
      <c r="C151" s="3">
        <v>5531</v>
      </c>
      <c r="D151" s="3">
        <v>430</v>
      </c>
      <c r="E151" s="3">
        <v>917475</v>
      </c>
      <c r="F151" s="3">
        <f>Table4_145[[#This Row],[New_Followers]]-Table4_145[[#This Row],[Unfollows]]</f>
        <v>5101</v>
      </c>
      <c r="G151" s="4">
        <v>5.5598245183792498E-3</v>
      </c>
      <c r="H151">
        <v>2.7289026948963189</v>
      </c>
      <c r="I151" s="6">
        <v>47481</v>
      </c>
    </row>
    <row r="152" spans="1:9" x14ac:dyDescent="0.3">
      <c r="A152" s="5">
        <v>45705</v>
      </c>
      <c r="B152" t="s">
        <v>23</v>
      </c>
      <c r="C152" s="3">
        <v>6330</v>
      </c>
      <c r="D152" s="3">
        <v>891</v>
      </c>
      <c r="E152" s="3">
        <v>922914</v>
      </c>
      <c r="F152" s="3">
        <f>Table4_145[[#This Row],[New_Followers]]-Table4_145[[#This Row],[Unfollows]]</f>
        <v>5439</v>
      </c>
      <c r="G152" s="4">
        <v>5.8932901657142503E-3</v>
      </c>
      <c r="H152">
        <v>14.789893749580139</v>
      </c>
      <c r="I152" s="6">
        <v>37037</v>
      </c>
    </row>
    <row r="153" spans="1:9" x14ac:dyDescent="0.3">
      <c r="A153" s="5">
        <v>45705</v>
      </c>
      <c r="B153" t="s">
        <v>23</v>
      </c>
      <c r="C153" s="3">
        <v>6510</v>
      </c>
      <c r="D153" s="3">
        <v>481</v>
      </c>
      <c r="E153" s="3">
        <v>928943</v>
      </c>
      <c r="F153" s="3">
        <f>Table4_145[[#This Row],[New_Followers]]-Table4_145[[#This Row],[Unfollows]]</f>
        <v>6029</v>
      </c>
      <c r="G153" s="4">
        <v>6.4901721634158397E-3</v>
      </c>
      <c r="H153">
        <v>2.3800168578696428</v>
      </c>
      <c r="I153" s="6">
        <v>19557</v>
      </c>
    </row>
    <row r="154" spans="1:9" x14ac:dyDescent="0.3">
      <c r="A154" s="5">
        <v>45712</v>
      </c>
      <c r="B154" t="s">
        <v>23</v>
      </c>
      <c r="C154" s="3">
        <v>9754</v>
      </c>
      <c r="D154" s="3">
        <v>629</v>
      </c>
      <c r="E154" s="3">
        <v>938068</v>
      </c>
      <c r="F154" s="3">
        <f>Table4_145[[#This Row],[New_Followers]]-Table4_145[[#This Row],[Unfollows]]</f>
        <v>9125</v>
      </c>
      <c r="G154" s="4">
        <v>9.7274398018054094E-3</v>
      </c>
      <c r="H154">
        <v>3.4123325814333292</v>
      </c>
      <c r="I154" s="6">
        <v>19435</v>
      </c>
    </row>
    <row r="155" spans="1:9" x14ac:dyDescent="0.3">
      <c r="A155" s="5">
        <v>45712</v>
      </c>
      <c r="B155" t="s">
        <v>14</v>
      </c>
      <c r="C155" s="3">
        <v>9964</v>
      </c>
      <c r="D155" s="3">
        <v>985</v>
      </c>
      <c r="E155" s="3">
        <v>947047</v>
      </c>
      <c r="F155" s="3">
        <f>Table4_145[[#This Row],[New_Followers]]-Table4_145[[#This Row],[Unfollows]]</f>
        <v>8979</v>
      </c>
      <c r="G155" s="4">
        <v>9.4810500429228992E-3</v>
      </c>
      <c r="H155">
        <v>1.9837452629066989</v>
      </c>
      <c r="I155" s="6">
        <v>47766</v>
      </c>
    </row>
    <row r="156" spans="1:9" x14ac:dyDescent="0.3">
      <c r="A156" s="5">
        <v>45712</v>
      </c>
      <c r="B156" t="s">
        <v>14</v>
      </c>
      <c r="C156" s="3">
        <v>7493</v>
      </c>
      <c r="D156" s="3">
        <v>1113</v>
      </c>
      <c r="E156" s="3">
        <v>953427</v>
      </c>
      <c r="F156" s="3">
        <f>Table4_145[[#This Row],[New_Followers]]-Table4_145[[#This Row],[Unfollows]]</f>
        <v>6380</v>
      </c>
      <c r="G156" s="4">
        <v>6.6916502259743004E-3</v>
      </c>
      <c r="H156">
        <v>15.684892498324469</v>
      </c>
      <c r="I156" s="6">
        <v>10162</v>
      </c>
    </row>
    <row r="157" spans="1:9" x14ac:dyDescent="0.3">
      <c r="A157" s="5">
        <v>45712</v>
      </c>
      <c r="B157" t="s">
        <v>23</v>
      </c>
      <c r="C157" s="3">
        <v>6439</v>
      </c>
      <c r="D157" s="3">
        <v>477</v>
      </c>
      <c r="E157" s="3">
        <v>959389</v>
      </c>
      <c r="F157" s="3">
        <f>Table4_145[[#This Row],[New_Followers]]-Table4_145[[#This Row],[Unfollows]]</f>
        <v>5962</v>
      </c>
      <c r="G157" s="4">
        <v>6.2143718554204799E-3</v>
      </c>
      <c r="H157">
        <v>7.4744446725989153</v>
      </c>
      <c r="I157" s="6">
        <v>44742</v>
      </c>
    </row>
    <row r="158" spans="1:9" x14ac:dyDescent="0.3">
      <c r="A158" s="5">
        <v>45719</v>
      </c>
      <c r="B158" t="s">
        <v>14</v>
      </c>
      <c r="C158" s="3">
        <v>7511</v>
      </c>
      <c r="D158" s="3">
        <v>880</v>
      </c>
      <c r="E158" s="3">
        <v>966020</v>
      </c>
      <c r="F158" s="3">
        <f>Table4_145[[#This Row],[New_Followers]]-Table4_145[[#This Row],[Unfollows]]</f>
        <v>6631</v>
      </c>
      <c r="G158" s="4">
        <v>6.8642471170369196E-3</v>
      </c>
      <c r="H158">
        <v>4.6083932009689246</v>
      </c>
      <c r="I158" s="6">
        <v>29675</v>
      </c>
    </row>
    <row r="159" spans="1:9" x14ac:dyDescent="0.3">
      <c r="A159" s="5">
        <v>45719</v>
      </c>
      <c r="B159" t="s">
        <v>19</v>
      </c>
      <c r="C159" s="3">
        <v>8504</v>
      </c>
      <c r="D159" s="3">
        <v>1072</v>
      </c>
      <c r="E159" s="3">
        <v>973452</v>
      </c>
      <c r="F159" s="3">
        <f>Table4_145[[#This Row],[New_Followers]]-Table4_145[[#This Row],[Unfollows]]</f>
        <v>7432</v>
      </c>
      <c r="G159" s="4">
        <v>7.6346856342172E-3</v>
      </c>
      <c r="H159">
        <v>6.5651927367759271</v>
      </c>
      <c r="I159" s="6">
        <v>18461</v>
      </c>
    </row>
    <row r="160" spans="1:9" x14ac:dyDescent="0.3">
      <c r="A160" s="5">
        <v>45719</v>
      </c>
      <c r="B160" t="s">
        <v>41</v>
      </c>
      <c r="C160" s="3">
        <v>2246</v>
      </c>
      <c r="D160" s="3">
        <v>165</v>
      </c>
      <c r="E160" s="3">
        <v>975533</v>
      </c>
      <c r="F160" s="3">
        <f>Table4_145[[#This Row],[New_Followers]]-Table4_145[[#This Row],[Unfollows]]</f>
        <v>2081</v>
      </c>
      <c r="G160" s="4">
        <v>2.1331928289458199E-3</v>
      </c>
      <c r="H160">
        <v>2.9062061457685191</v>
      </c>
      <c r="I160" s="6">
        <v>27015</v>
      </c>
    </row>
    <row r="161" spans="1:9" x14ac:dyDescent="0.3">
      <c r="A161" s="5">
        <v>45719</v>
      </c>
      <c r="B161" t="s">
        <v>41</v>
      </c>
      <c r="C161" s="3">
        <v>4839</v>
      </c>
      <c r="D161" s="3">
        <v>594</v>
      </c>
      <c r="E161" s="3">
        <v>979778</v>
      </c>
      <c r="F161" s="3">
        <f>Table4_145[[#This Row],[New_Followers]]-Table4_145[[#This Row],[Unfollows]]</f>
        <v>4245</v>
      </c>
      <c r="G161" s="4">
        <v>4.3326141227910796E-3</v>
      </c>
      <c r="H161">
        <v>2.5803804535313102</v>
      </c>
      <c r="I161" s="6">
        <v>42591</v>
      </c>
    </row>
    <row r="162" spans="1:9" x14ac:dyDescent="0.3">
      <c r="A162" s="5">
        <v>45726</v>
      </c>
      <c r="B162" t="s">
        <v>41</v>
      </c>
      <c r="C162" s="3">
        <v>9551</v>
      </c>
      <c r="D162" s="3">
        <v>828</v>
      </c>
      <c r="E162" s="3">
        <v>988501</v>
      </c>
      <c r="F162" s="3">
        <f>Table4_145[[#This Row],[New_Followers]]-Table4_145[[#This Row],[Unfollows]]</f>
        <v>8723</v>
      </c>
      <c r="G162" s="4">
        <v>8.8244726105487E-3</v>
      </c>
      <c r="H162">
        <v>1.525036393488727</v>
      </c>
      <c r="I162" s="6">
        <v>38047</v>
      </c>
    </row>
    <row r="163" spans="1:9" x14ac:dyDescent="0.3">
      <c r="A163" s="5">
        <v>45726</v>
      </c>
      <c r="B163" t="s">
        <v>23</v>
      </c>
      <c r="C163" s="3">
        <v>3376</v>
      </c>
      <c r="D163" s="3">
        <v>382</v>
      </c>
      <c r="E163" s="3">
        <v>991495</v>
      </c>
      <c r="F163" s="3">
        <f>Table4_145[[#This Row],[New_Followers]]-Table4_145[[#This Row],[Unfollows]]</f>
        <v>2994</v>
      </c>
      <c r="G163" s="4">
        <v>3.0196823988018098E-3</v>
      </c>
      <c r="H163">
        <v>3.8694093263203548</v>
      </c>
      <c r="I163" s="6">
        <v>44782</v>
      </c>
    </row>
    <row r="164" spans="1:9" x14ac:dyDescent="0.3">
      <c r="A164" s="5">
        <v>45726</v>
      </c>
      <c r="B164" t="s">
        <v>14</v>
      </c>
      <c r="C164" s="3">
        <v>4009</v>
      </c>
      <c r="D164" s="3">
        <v>454</v>
      </c>
      <c r="E164" s="3">
        <v>995050</v>
      </c>
      <c r="F164" s="3">
        <f>Table4_145[[#This Row],[New_Followers]]-Table4_145[[#This Row],[Unfollows]]</f>
        <v>3555</v>
      </c>
      <c r="G164" s="4">
        <v>3.5726847897090599E-3</v>
      </c>
      <c r="H164">
        <v>2.1106477061454201</v>
      </c>
      <c r="I164" s="6">
        <v>19833</v>
      </c>
    </row>
    <row r="165" spans="1:9" x14ac:dyDescent="0.3">
      <c r="A165" s="5">
        <v>45726</v>
      </c>
      <c r="B165" t="s">
        <v>19</v>
      </c>
      <c r="C165" s="3">
        <v>2827</v>
      </c>
      <c r="D165" s="3">
        <v>292</v>
      </c>
      <c r="E165" s="3">
        <v>997585</v>
      </c>
      <c r="F165" s="3">
        <f>Table4_145[[#This Row],[New_Followers]]-Table4_145[[#This Row],[Unfollows]]</f>
        <v>2535</v>
      </c>
      <c r="G165" s="4">
        <v>2.5411368454818402E-3</v>
      </c>
      <c r="H165">
        <v>2.4004972007397871</v>
      </c>
      <c r="I165" s="6">
        <v>17896</v>
      </c>
    </row>
    <row r="166" spans="1:9" x14ac:dyDescent="0.3">
      <c r="A166" s="5">
        <v>45733</v>
      </c>
      <c r="B166" t="s">
        <v>19</v>
      </c>
      <c r="C166" s="3">
        <v>7979</v>
      </c>
      <c r="D166" s="3">
        <v>470</v>
      </c>
      <c r="E166" s="3">
        <v>1005094</v>
      </c>
      <c r="F166" s="3">
        <f>Table4_145[[#This Row],[New_Followers]]-Table4_145[[#This Row],[Unfollows]]</f>
        <v>7509</v>
      </c>
      <c r="G166" s="4">
        <v>7.4709430162751E-3</v>
      </c>
      <c r="H166">
        <v>10.43086517280971</v>
      </c>
      <c r="I166" s="6">
        <v>42972</v>
      </c>
    </row>
    <row r="167" spans="1:9" x14ac:dyDescent="0.3">
      <c r="A167" s="5">
        <v>45733</v>
      </c>
      <c r="B167" t="s">
        <v>23</v>
      </c>
      <c r="C167" s="3">
        <v>9569</v>
      </c>
      <c r="D167" s="3">
        <v>1277</v>
      </c>
      <c r="E167" s="3">
        <v>1013386</v>
      </c>
      <c r="F167" s="3">
        <f>Table4_145[[#This Row],[New_Followers]]-Table4_145[[#This Row],[Unfollows]]</f>
        <v>8292</v>
      </c>
      <c r="G167" s="4">
        <v>8.1824694637581408E-3</v>
      </c>
      <c r="H167">
        <v>12.45517502708741</v>
      </c>
      <c r="I167" s="6">
        <v>59733</v>
      </c>
    </row>
    <row r="168" spans="1:9" x14ac:dyDescent="0.3">
      <c r="A168" s="5">
        <v>45733</v>
      </c>
      <c r="B168" t="s">
        <v>19</v>
      </c>
      <c r="C168" s="3">
        <v>5285</v>
      </c>
      <c r="D168" s="3">
        <v>433</v>
      </c>
      <c r="E168" s="3">
        <v>1018238</v>
      </c>
      <c r="F168" s="3">
        <f>Table4_145[[#This Row],[New_Followers]]-Table4_145[[#This Row],[Unfollows]]</f>
        <v>4852</v>
      </c>
      <c r="G168" s="4">
        <v>4.7650942117658203E-3</v>
      </c>
      <c r="H168">
        <v>8.7022876773406619</v>
      </c>
      <c r="I168" s="6">
        <v>51800</v>
      </c>
    </row>
    <row r="169" spans="1:9" x14ac:dyDescent="0.3">
      <c r="A169" s="5">
        <v>45733</v>
      </c>
      <c r="B169" t="s">
        <v>19</v>
      </c>
      <c r="C169" s="3">
        <v>7910</v>
      </c>
      <c r="D169" s="3">
        <v>543</v>
      </c>
      <c r="E169" s="3">
        <v>1025605</v>
      </c>
      <c r="F169" s="3">
        <f>Table4_145[[#This Row],[New_Followers]]-Table4_145[[#This Row],[Unfollows]]</f>
        <v>7367</v>
      </c>
      <c r="G169" s="4">
        <v>7.1830773055903598E-3</v>
      </c>
      <c r="H169">
        <v>6.0590578244060822</v>
      </c>
      <c r="I169" s="6">
        <v>40508</v>
      </c>
    </row>
    <row r="170" spans="1:9" x14ac:dyDescent="0.3">
      <c r="A170" s="5">
        <v>45740</v>
      </c>
      <c r="B170" t="s">
        <v>19</v>
      </c>
      <c r="C170" s="3">
        <v>9561</v>
      </c>
      <c r="D170" s="3">
        <v>517</v>
      </c>
      <c r="E170" s="3">
        <v>1034649</v>
      </c>
      <c r="F170" s="3">
        <f>Table4_145[[#This Row],[New_Followers]]-Table4_145[[#This Row],[Unfollows]]</f>
        <v>9044</v>
      </c>
      <c r="G170" s="4">
        <v>8.7411286339618595E-3</v>
      </c>
      <c r="H170">
        <v>6.4086467971263694</v>
      </c>
      <c r="I170" s="6">
        <v>15347</v>
      </c>
    </row>
    <row r="171" spans="1:9" x14ac:dyDescent="0.3">
      <c r="A171" s="5">
        <v>45740</v>
      </c>
      <c r="B171" t="s">
        <v>19</v>
      </c>
      <c r="C171" s="3">
        <v>3196</v>
      </c>
      <c r="D171" s="3">
        <v>348</v>
      </c>
      <c r="E171" s="3">
        <v>1037497</v>
      </c>
      <c r="F171" s="3">
        <f>Table4_145[[#This Row],[New_Followers]]-Table4_145[[#This Row],[Unfollows]]</f>
        <v>2848</v>
      </c>
      <c r="G171" s="4">
        <v>2.7450681785103999E-3</v>
      </c>
      <c r="H171">
        <v>14.03040201562029</v>
      </c>
      <c r="I171" s="6">
        <v>40314</v>
      </c>
    </row>
    <row r="172" spans="1:9" x14ac:dyDescent="0.3">
      <c r="A172" s="5">
        <v>45740</v>
      </c>
      <c r="B172" t="s">
        <v>14</v>
      </c>
      <c r="C172" s="3">
        <v>4747</v>
      </c>
      <c r="D172" s="3">
        <v>558</v>
      </c>
      <c r="E172" s="3">
        <v>1041686</v>
      </c>
      <c r="F172" s="3">
        <f>Table4_145[[#This Row],[New_Followers]]-Table4_145[[#This Row],[Unfollows]]</f>
        <v>4189</v>
      </c>
      <c r="G172" s="4">
        <v>4.0213653634588497E-3</v>
      </c>
      <c r="H172">
        <v>5.7680529449373434</v>
      </c>
      <c r="I172" s="6">
        <v>12643</v>
      </c>
    </row>
    <row r="173" spans="1:9" x14ac:dyDescent="0.3">
      <c r="A173" s="5">
        <v>45740</v>
      </c>
      <c r="B173" t="s">
        <v>19</v>
      </c>
      <c r="C173" s="3">
        <v>9843</v>
      </c>
      <c r="D173" s="3">
        <v>508</v>
      </c>
      <c r="E173" s="3">
        <v>1051021</v>
      </c>
      <c r="F173" s="3">
        <f>Table4_145[[#This Row],[New_Followers]]-Table4_145[[#This Row],[Unfollows]]</f>
        <v>9335</v>
      </c>
      <c r="G173" s="4">
        <v>8.8818396587699005E-3</v>
      </c>
      <c r="H173">
        <v>4.2080986012648651</v>
      </c>
      <c r="I173" s="6">
        <v>50785</v>
      </c>
    </row>
    <row r="174" spans="1:9" x14ac:dyDescent="0.3">
      <c r="A174" s="5">
        <v>45747</v>
      </c>
      <c r="B174" t="s">
        <v>41</v>
      </c>
      <c r="C174" s="3">
        <v>6978</v>
      </c>
      <c r="D174" s="3">
        <v>706</v>
      </c>
      <c r="E174" s="3">
        <v>1057293</v>
      </c>
      <c r="F174" s="3">
        <f>Table4_145[[#This Row],[New_Followers]]-Table4_145[[#This Row],[Unfollows]]</f>
        <v>6272</v>
      </c>
      <c r="G174" s="4">
        <v>5.9321304501212101E-3</v>
      </c>
      <c r="H174">
        <v>5.057443868445171</v>
      </c>
      <c r="I174" s="6">
        <v>28681</v>
      </c>
    </row>
    <row r="175" spans="1:9" x14ac:dyDescent="0.3">
      <c r="A175" s="5">
        <v>45747</v>
      </c>
      <c r="B175" t="s">
        <v>23</v>
      </c>
      <c r="C175" s="3">
        <v>6607</v>
      </c>
      <c r="D175" s="3">
        <v>479</v>
      </c>
      <c r="E175" s="3">
        <v>1063421</v>
      </c>
      <c r="F175" s="3">
        <f>Table4_145[[#This Row],[New_Followers]]-Table4_145[[#This Row],[Unfollows]]</f>
        <v>6128</v>
      </c>
      <c r="G175" s="4">
        <v>5.7625343114345098E-3</v>
      </c>
      <c r="H175">
        <v>5.5892257158735816</v>
      </c>
      <c r="I175" s="6">
        <v>48328</v>
      </c>
    </row>
    <row r="176" spans="1:9" x14ac:dyDescent="0.3">
      <c r="A176" s="5">
        <v>45747</v>
      </c>
      <c r="B176" t="s">
        <v>14</v>
      </c>
      <c r="C176" s="3">
        <v>1769</v>
      </c>
      <c r="D176" s="3">
        <v>202</v>
      </c>
      <c r="E176" s="3">
        <v>1064988</v>
      </c>
      <c r="F176" s="3">
        <f>Table4_145[[#This Row],[New_Followers]]-Table4_145[[#This Row],[Unfollows]]</f>
        <v>1567</v>
      </c>
      <c r="G176" s="4">
        <v>1.47137808125538E-3</v>
      </c>
      <c r="H176">
        <v>6.5457075572682513</v>
      </c>
      <c r="I176" s="6">
        <v>25892</v>
      </c>
    </row>
    <row r="177" spans="1:9" x14ac:dyDescent="0.3">
      <c r="A177" s="5">
        <v>45747</v>
      </c>
      <c r="B177" t="s">
        <v>19</v>
      </c>
      <c r="C177" s="3">
        <v>1780</v>
      </c>
      <c r="D177" s="3">
        <v>120</v>
      </c>
      <c r="E177" s="3">
        <v>1066648</v>
      </c>
      <c r="F177" s="3">
        <f>Table4_145[[#This Row],[New_Followers]]-Table4_145[[#This Row],[Unfollows]]</f>
        <v>1660</v>
      </c>
      <c r="G177" s="4">
        <v>1.55627723485161E-3</v>
      </c>
      <c r="H177">
        <v>13.86474263299608</v>
      </c>
      <c r="I177" s="6">
        <v>57299</v>
      </c>
    </row>
    <row r="178" spans="1:9" x14ac:dyDescent="0.3">
      <c r="A178" s="5">
        <v>45754</v>
      </c>
      <c r="B178" t="s">
        <v>14</v>
      </c>
      <c r="C178" s="3">
        <v>7303</v>
      </c>
      <c r="D178" s="3">
        <v>869</v>
      </c>
      <c r="E178" s="3">
        <v>1073082</v>
      </c>
      <c r="F178" s="3">
        <f>Table4_145[[#This Row],[New_Followers]]-Table4_145[[#This Row],[Unfollows]]</f>
        <v>6434</v>
      </c>
      <c r="G178" s="4">
        <v>5.9958139266151197E-3</v>
      </c>
      <c r="H178">
        <v>8.1237966902808925</v>
      </c>
      <c r="I178" s="6">
        <v>27073</v>
      </c>
    </row>
    <row r="179" spans="1:9" x14ac:dyDescent="0.3">
      <c r="A179" s="5">
        <v>45754</v>
      </c>
      <c r="B179" t="s">
        <v>19</v>
      </c>
      <c r="C179" s="3">
        <v>4983</v>
      </c>
      <c r="D179" s="3">
        <v>441</v>
      </c>
      <c r="E179" s="3">
        <v>1077624</v>
      </c>
      <c r="F179" s="3">
        <f>Table4_145[[#This Row],[New_Followers]]-Table4_145[[#This Row],[Unfollows]]</f>
        <v>4542</v>
      </c>
      <c r="G179" s="4">
        <v>4.2148281775461604E-3</v>
      </c>
      <c r="H179">
        <v>6.8954477628560609</v>
      </c>
      <c r="I179" s="6">
        <v>46768</v>
      </c>
    </row>
    <row r="180" spans="1:9" x14ac:dyDescent="0.3">
      <c r="A180" s="5">
        <v>45754</v>
      </c>
      <c r="B180" t="s">
        <v>41</v>
      </c>
      <c r="C180" s="3">
        <v>9714</v>
      </c>
      <c r="D180" s="3">
        <v>1395</v>
      </c>
      <c r="E180" s="3">
        <v>1085943</v>
      </c>
      <c r="F180" s="3">
        <f>Table4_145[[#This Row],[New_Followers]]-Table4_145[[#This Row],[Unfollows]]</f>
        <v>8319</v>
      </c>
      <c r="G180" s="4">
        <v>7.6606230713766798E-3</v>
      </c>
      <c r="H180">
        <v>5.2243073531483697</v>
      </c>
      <c r="I180" s="6">
        <v>40682</v>
      </c>
    </row>
    <row r="181" spans="1:9" x14ac:dyDescent="0.3">
      <c r="A181" s="5">
        <v>45754</v>
      </c>
      <c r="B181" t="s">
        <v>23</v>
      </c>
      <c r="C181" s="3">
        <v>1521</v>
      </c>
      <c r="D181" s="3">
        <v>96</v>
      </c>
      <c r="E181" s="3">
        <v>1087368</v>
      </c>
      <c r="F181" s="3">
        <f>Table4_145[[#This Row],[New_Followers]]-Table4_145[[#This Row],[Unfollows]]</f>
        <v>1425</v>
      </c>
      <c r="G181" s="4">
        <v>1.31050389564526E-3</v>
      </c>
      <c r="H181">
        <v>12.709772588488899</v>
      </c>
      <c r="I181" s="6">
        <v>42262</v>
      </c>
    </row>
    <row r="182" spans="1:9" x14ac:dyDescent="0.3">
      <c r="A182" s="5">
        <v>45761</v>
      </c>
      <c r="B182" t="s">
        <v>19</v>
      </c>
      <c r="C182" s="3">
        <v>8569</v>
      </c>
      <c r="D182" s="3">
        <v>720</v>
      </c>
      <c r="E182" s="3">
        <v>1095217</v>
      </c>
      <c r="F182" s="3">
        <f>Table4_145[[#This Row],[New_Followers]]-Table4_145[[#This Row],[Unfollows]]</f>
        <v>7849</v>
      </c>
      <c r="G182" s="4">
        <v>7.1666162961312703E-3</v>
      </c>
      <c r="H182">
        <v>9.589697749395782</v>
      </c>
      <c r="I182" s="6">
        <v>41358</v>
      </c>
    </row>
    <row r="183" spans="1:9" x14ac:dyDescent="0.3">
      <c r="A183" s="5">
        <v>45761</v>
      </c>
      <c r="B183" t="s">
        <v>19</v>
      </c>
      <c r="C183" s="3">
        <v>6784</v>
      </c>
      <c r="D183" s="3">
        <v>416</v>
      </c>
      <c r="E183" s="3">
        <v>1101585</v>
      </c>
      <c r="F183" s="3">
        <f>Table4_145[[#This Row],[New_Followers]]-Table4_145[[#This Row],[Unfollows]]</f>
        <v>6368</v>
      </c>
      <c r="G183" s="4">
        <v>5.7807613574985097E-3</v>
      </c>
      <c r="H183">
        <v>9.3041390360253633</v>
      </c>
      <c r="I183" s="6">
        <v>24289</v>
      </c>
    </row>
    <row r="184" spans="1:9" x14ac:dyDescent="0.3">
      <c r="A184" s="5">
        <v>45761</v>
      </c>
      <c r="B184" t="s">
        <v>19</v>
      </c>
      <c r="C184" s="3">
        <v>5583</v>
      </c>
      <c r="D184" s="3">
        <v>795</v>
      </c>
      <c r="E184" s="3">
        <v>1106373</v>
      </c>
      <c r="F184" s="3">
        <f>Table4_145[[#This Row],[New_Followers]]-Table4_145[[#This Row],[Unfollows]]</f>
        <v>4788</v>
      </c>
      <c r="G184" s="4">
        <v>4.3276544167292598E-3</v>
      </c>
      <c r="H184">
        <v>12.21550055903389</v>
      </c>
      <c r="I184" s="6">
        <v>59823</v>
      </c>
    </row>
    <row r="185" spans="1:9" x14ac:dyDescent="0.3">
      <c r="A185" s="5">
        <v>45761</v>
      </c>
      <c r="B185" t="s">
        <v>19</v>
      </c>
      <c r="C185" s="3">
        <v>6946</v>
      </c>
      <c r="D185" s="3">
        <v>956</v>
      </c>
      <c r="E185" s="3">
        <v>1112363</v>
      </c>
      <c r="F185" s="3">
        <f>Table4_145[[#This Row],[New_Followers]]-Table4_145[[#This Row],[Unfollows]]</f>
        <v>5990</v>
      </c>
      <c r="G185" s="4">
        <v>5.3849327962185002E-3</v>
      </c>
      <c r="H185">
        <v>1.64146056637986</v>
      </c>
      <c r="I185" s="6">
        <v>17927</v>
      </c>
    </row>
    <row r="186" spans="1:9" x14ac:dyDescent="0.3">
      <c r="A186" s="5">
        <v>45768</v>
      </c>
      <c r="B186" t="s">
        <v>23</v>
      </c>
      <c r="C186" s="3">
        <v>5941</v>
      </c>
      <c r="D186" s="3">
        <v>450</v>
      </c>
      <c r="E186" s="3">
        <v>1117854</v>
      </c>
      <c r="F186" s="3">
        <f>Table4_145[[#This Row],[New_Followers]]-Table4_145[[#This Row],[Unfollows]]</f>
        <v>5491</v>
      </c>
      <c r="G186" s="4">
        <v>4.9120904876665504E-3</v>
      </c>
      <c r="H186">
        <v>12.414411899944</v>
      </c>
      <c r="I186" s="6">
        <v>58330</v>
      </c>
    </row>
    <row r="187" spans="1:9" x14ac:dyDescent="0.3">
      <c r="A187" s="5">
        <v>45768</v>
      </c>
      <c r="B187" t="s">
        <v>23</v>
      </c>
      <c r="C187" s="3">
        <v>7267</v>
      </c>
      <c r="D187" s="3">
        <v>842</v>
      </c>
      <c r="E187" s="3">
        <v>1124279</v>
      </c>
      <c r="F187" s="3">
        <f>Table4_145[[#This Row],[New_Followers]]-Table4_145[[#This Row],[Unfollows]]</f>
        <v>6425</v>
      </c>
      <c r="G187" s="4">
        <v>5.7147736460433796E-3</v>
      </c>
      <c r="H187">
        <v>2.2102165031989389</v>
      </c>
      <c r="I187" s="6">
        <v>11171</v>
      </c>
    </row>
    <row r="188" spans="1:9" x14ac:dyDescent="0.3">
      <c r="A188" s="5">
        <v>45768</v>
      </c>
      <c r="B188" t="s">
        <v>41</v>
      </c>
      <c r="C188" s="3">
        <v>8128</v>
      </c>
      <c r="D188" s="3">
        <v>1070</v>
      </c>
      <c r="E188" s="3">
        <v>1131337</v>
      </c>
      <c r="F188" s="3">
        <f>Table4_145[[#This Row],[New_Followers]]-Table4_145[[#This Row],[Unfollows]]</f>
        <v>7058</v>
      </c>
      <c r="G188" s="4">
        <v>6.2386362330587603E-3</v>
      </c>
      <c r="H188">
        <v>8.1114645768679008</v>
      </c>
      <c r="I188" s="6">
        <v>21918</v>
      </c>
    </row>
    <row r="189" spans="1:9" x14ac:dyDescent="0.3">
      <c r="A189" s="5">
        <v>45768</v>
      </c>
      <c r="B189" t="s">
        <v>23</v>
      </c>
      <c r="C189" s="3">
        <v>3461</v>
      </c>
      <c r="D189" s="3">
        <v>365</v>
      </c>
      <c r="E189" s="3">
        <v>1134433</v>
      </c>
      <c r="F189" s="3">
        <f>Table4_145[[#This Row],[New_Followers]]-Table4_145[[#This Row],[Unfollows]]</f>
        <v>3096</v>
      </c>
      <c r="G189" s="4">
        <v>2.7291166600407401E-3</v>
      </c>
      <c r="H189">
        <v>10.23489267325616</v>
      </c>
      <c r="I189" s="6">
        <v>51903</v>
      </c>
    </row>
    <row r="190" spans="1:9" x14ac:dyDescent="0.3">
      <c r="A190" s="5">
        <v>45775</v>
      </c>
      <c r="B190" t="s">
        <v>19</v>
      </c>
      <c r="C190" s="3">
        <v>1685</v>
      </c>
      <c r="D190" s="3">
        <v>173</v>
      </c>
      <c r="E190" s="3">
        <v>1135945</v>
      </c>
      <c r="F190" s="3">
        <f>Table4_145[[#This Row],[New_Followers]]-Table4_145[[#This Row],[Unfollows]]</f>
        <v>1512</v>
      </c>
      <c r="G190" s="4">
        <v>1.33105035895224E-3</v>
      </c>
      <c r="H190">
        <v>8.7776256772995165</v>
      </c>
      <c r="I190" s="6">
        <v>49110</v>
      </c>
    </row>
    <row r="191" spans="1:9" x14ac:dyDescent="0.3">
      <c r="A191" s="5">
        <v>45775</v>
      </c>
      <c r="B191" t="s">
        <v>41</v>
      </c>
      <c r="C191" s="3">
        <v>3160</v>
      </c>
      <c r="D191" s="3">
        <v>234</v>
      </c>
      <c r="E191" s="3">
        <v>1138871</v>
      </c>
      <c r="F191" s="3">
        <f>Table4_145[[#This Row],[New_Followers]]-Table4_145[[#This Row],[Unfollows]]</f>
        <v>2926</v>
      </c>
      <c r="G191" s="4">
        <v>2.5692110871204901E-3</v>
      </c>
      <c r="H191">
        <v>5.6959041015180816</v>
      </c>
      <c r="I191" s="6">
        <v>21929</v>
      </c>
    </row>
    <row r="192" spans="1:9" x14ac:dyDescent="0.3">
      <c r="A192" s="5">
        <v>45775</v>
      </c>
      <c r="B192" t="s">
        <v>41</v>
      </c>
      <c r="C192" s="3">
        <v>8031</v>
      </c>
      <c r="D192" s="3">
        <v>476</v>
      </c>
      <c r="E192" s="3">
        <v>1146426</v>
      </c>
      <c r="F192" s="3">
        <f>Table4_145[[#This Row],[New_Followers]]-Table4_145[[#This Row],[Unfollows]]</f>
        <v>7555</v>
      </c>
      <c r="G192" s="4">
        <v>6.5900459340594202E-3</v>
      </c>
      <c r="H192">
        <v>11.940413075069831</v>
      </c>
      <c r="I192" s="6">
        <v>12539</v>
      </c>
    </row>
    <row r="193" spans="1:9" x14ac:dyDescent="0.3">
      <c r="A193" s="5">
        <v>45775</v>
      </c>
      <c r="B193" t="s">
        <v>41</v>
      </c>
      <c r="C193" s="3">
        <v>6341</v>
      </c>
      <c r="D193" s="3">
        <v>885</v>
      </c>
      <c r="E193" s="3">
        <v>1151882</v>
      </c>
      <c r="F193" s="3">
        <f>Table4_145[[#This Row],[New_Followers]]-Table4_145[[#This Row],[Unfollows]]</f>
        <v>5456</v>
      </c>
      <c r="G193" s="4">
        <v>4.7365962832998498E-3</v>
      </c>
      <c r="H193">
        <v>6.3457020771224837</v>
      </c>
      <c r="I193" s="6">
        <v>46727</v>
      </c>
    </row>
    <row r="194" spans="1:9" x14ac:dyDescent="0.3">
      <c r="A194" s="5">
        <v>45782</v>
      </c>
      <c r="B194" t="s">
        <v>19</v>
      </c>
      <c r="C194" s="3">
        <v>1038</v>
      </c>
      <c r="D194" s="3">
        <v>145</v>
      </c>
      <c r="E194" s="3">
        <v>1152775</v>
      </c>
      <c r="F194" s="3">
        <f>Table4_145[[#This Row],[New_Followers]]-Table4_145[[#This Row],[Unfollows]]</f>
        <v>893</v>
      </c>
      <c r="G194" s="4">
        <v>7.7465246904209403E-4</v>
      </c>
      <c r="H194">
        <v>11.093752033137431</v>
      </c>
      <c r="I194" s="6">
        <v>55951</v>
      </c>
    </row>
    <row r="195" spans="1:9" x14ac:dyDescent="0.3">
      <c r="A195" s="5">
        <v>45782</v>
      </c>
      <c r="B195" t="s">
        <v>14</v>
      </c>
      <c r="C195" s="3">
        <v>5875</v>
      </c>
      <c r="D195" s="3">
        <v>665</v>
      </c>
      <c r="E195" s="3">
        <v>1157985</v>
      </c>
      <c r="F195" s="3">
        <f>Table4_145[[#This Row],[New_Followers]]-Table4_145[[#This Row],[Unfollows]]</f>
        <v>5210</v>
      </c>
      <c r="G195" s="4">
        <v>4.4991947218659999E-3</v>
      </c>
      <c r="H195">
        <v>6.9871371390821126</v>
      </c>
      <c r="I195" s="6">
        <v>32669</v>
      </c>
    </row>
    <row r="196" spans="1:9" x14ac:dyDescent="0.3">
      <c r="A196" s="5">
        <v>45782</v>
      </c>
      <c r="B196" t="s">
        <v>19</v>
      </c>
      <c r="C196" s="3">
        <v>2256</v>
      </c>
      <c r="D196" s="3">
        <v>189</v>
      </c>
      <c r="E196" s="3">
        <v>1160052</v>
      </c>
      <c r="F196" s="3">
        <f>Table4_145[[#This Row],[New_Followers]]-Table4_145[[#This Row],[Unfollows]]</f>
        <v>2067</v>
      </c>
      <c r="G196" s="4">
        <v>1.7818166771834401E-3</v>
      </c>
      <c r="H196">
        <v>2.8935771844710412</v>
      </c>
      <c r="I196" s="6">
        <v>15432</v>
      </c>
    </row>
    <row r="197" spans="1:9" x14ac:dyDescent="0.3">
      <c r="A197" s="5">
        <v>45782</v>
      </c>
      <c r="B197" t="s">
        <v>23</v>
      </c>
      <c r="C197" s="3">
        <v>8697</v>
      </c>
      <c r="D197" s="3">
        <v>738</v>
      </c>
      <c r="E197" s="3">
        <v>1168011</v>
      </c>
      <c r="F197" s="3">
        <f>Table4_145[[#This Row],[New_Followers]]-Table4_145[[#This Row],[Unfollows]]</f>
        <v>7959</v>
      </c>
      <c r="G197" s="4">
        <v>6.8141481544266302E-3</v>
      </c>
      <c r="H197">
        <v>3.8777032065622672</v>
      </c>
      <c r="I197" s="6">
        <v>30644</v>
      </c>
    </row>
    <row r="198" spans="1:9" x14ac:dyDescent="0.3">
      <c r="A198" s="5">
        <v>45789</v>
      </c>
      <c r="B198" t="s">
        <v>23</v>
      </c>
      <c r="C198" s="3">
        <v>3196</v>
      </c>
      <c r="D198" s="3">
        <v>391</v>
      </c>
      <c r="E198" s="3">
        <v>1170816</v>
      </c>
      <c r="F198" s="3">
        <f>Table4_145[[#This Row],[New_Followers]]-Table4_145[[#This Row],[Unfollows]]</f>
        <v>2805</v>
      </c>
      <c r="G198" s="4">
        <v>2.39576500491965E-3</v>
      </c>
      <c r="H198">
        <v>7.2439221876024931</v>
      </c>
      <c r="I198" s="6">
        <v>28745</v>
      </c>
    </row>
    <row r="199" spans="1:9" x14ac:dyDescent="0.3">
      <c r="A199" s="5">
        <v>45789</v>
      </c>
      <c r="B199" t="s">
        <v>19</v>
      </c>
      <c r="C199" s="3">
        <v>8165</v>
      </c>
      <c r="D199" s="3">
        <v>1140</v>
      </c>
      <c r="E199" s="3">
        <v>1177841</v>
      </c>
      <c r="F199" s="3">
        <f>Table4_145[[#This Row],[New_Followers]]-Table4_145[[#This Row],[Unfollows]]</f>
        <v>7025</v>
      </c>
      <c r="G199" s="4">
        <v>5.9643024822535499E-3</v>
      </c>
      <c r="H199">
        <v>9.095964565675672</v>
      </c>
      <c r="I199" s="6">
        <v>38228</v>
      </c>
    </row>
    <row r="200" spans="1:9" x14ac:dyDescent="0.3">
      <c r="A200" s="5">
        <v>45789</v>
      </c>
      <c r="B200" t="s">
        <v>19</v>
      </c>
      <c r="C200" s="3">
        <v>1301</v>
      </c>
      <c r="D200" s="3">
        <v>180</v>
      </c>
      <c r="E200" s="3">
        <v>1178962</v>
      </c>
      <c r="F200" s="3">
        <f>Table4_145[[#This Row],[New_Followers]]-Table4_145[[#This Row],[Unfollows]]</f>
        <v>1121</v>
      </c>
      <c r="G200" s="4">
        <v>9.5083641372665096E-4</v>
      </c>
      <c r="H200">
        <v>5.2275645864752214</v>
      </c>
      <c r="I200" s="6">
        <v>44521</v>
      </c>
    </row>
    <row r="201" spans="1:9" x14ac:dyDescent="0.3">
      <c r="A201" s="5">
        <v>45789</v>
      </c>
      <c r="B201" t="s">
        <v>41</v>
      </c>
      <c r="C201" s="3">
        <v>8527</v>
      </c>
      <c r="D201" s="3">
        <v>1091</v>
      </c>
      <c r="E201" s="3">
        <v>1186398</v>
      </c>
      <c r="F201" s="3">
        <f>Table4_145[[#This Row],[New_Followers]]-Table4_145[[#This Row],[Unfollows]]</f>
        <v>7436</v>
      </c>
      <c r="G201" s="4">
        <v>6.2677111728104704E-3</v>
      </c>
      <c r="H201">
        <v>1.676081719625286</v>
      </c>
      <c r="I201" s="6">
        <v>41703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70D3-F1D2-45BF-A452-17CAAA852728}">
  <dimension ref="A1:Z201"/>
  <sheetViews>
    <sheetView topLeftCell="L1" workbookViewId="0">
      <selection activeCell="M8" sqref="M8"/>
    </sheetView>
  </sheetViews>
  <sheetFormatPr defaultRowHeight="14.4" x14ac:dyDescent="0.3"/>
  <cols>
    <col min="1" max="1" width="15.33203125" bestFit="1" customWidth="1"/>
    <col min="2" max="2" width="9" bestFit="1" customWidth="1"/>
    <col min="3" max="3" width="13.5546875" bestFit="1" customWidth="1"/>
    <col min="4" max="4" width="9.109375" bestFit="1" customWidth="1"/>
    <col min="5" max="5" width="15.77734375" bestFit="1" customWidth="1"/>
    <col min="6" max="6" width="14" bestFit="1" customWidth="1"/>
    <col min="7" max="7" width="18.77734375" bestFit="1" customWidth="1"/>
    <col min="8" max="8" width="15.77734375" bestFit="1" customWidth="1"/>
    <col min="9" max="9" width="9.33203125" bestFit="1" customWidth="1"/>
    <col min="13" max="13" width="9.33203125" bestFit="1" customWidth="1"/>
    <col min="14" max="14" width="15.77734375" bestFit="1" customWidth="1"/>
    <col min="26" max="26" width="51.44140625" bestFit="1" customWidth="1"/>
  </cols>
  <sheetData>
    <row r="1" spans="1:26" x14ac:dyDescent="0.3">
      <c r="A1" s="26" t="s">
        <v>338</v>
      </c>
      <c r="B1" s="24" t="s">
        <v>1</v>
      </c>
      <c r="C1" s="24" t="s">
        <v>339</v>
      </c>
      <c r="D1" s="24" t="s">
        <v>340</v>
      </c>
      <c r="E1" s="24" t="s">
        <v>393</v>
      </c>
      <c r="F1" s="24" t="s">
        <v>341</v>
      </c>
      <c r="G1" s="24" t="s">
        <v>342</v>
      </c>
      <c r="H1" s="24" t="s">
        <v>343</v>
      </c>
      <c r="I1" s="25" t="s">
        <v>344</v>
      </c>
      <c r="M1" s="25" t="s">
        <v>344</v>
      </c>
      <c r="N1" s="24" t="s">
        <v>393</v>
      </c>
    </row>
    <row r="2" spans="1:26" x14ac:dyDescent="0.3">
      <c r="A2" s="38">
        <v>45446</v>
      </c>
      <c r="B2" s="36" t="s">
        <v>23</v>
      </c>
      <c r="C2" s="39">
        <v>4138</v>
      </c>
      <c r="D2" s="39">
        <v>361</v>
      </c>
      <c r="E2" s="39">
        <f>C2-D2</f>
        <v>3777</v>
      </c>
      <c r="F2" s="39">
        <v>103777</v>
      </c>
      <c r="G2" s="30">
        <v>3.6395347716738802E-2</v>
      </c>
      <c r="H2" s="36">
        <v>56.637790647253247</v>
      </c>
      <c r="I2" s="40">
        <v>23944</v>
      </c>
      <c r="M2" s="40">
        <v>10161</v>
      </c>
      <c r="N2" s="39">
        <v>4356</v>
      </c>
    </row>
    <row r="3" spans="1:26" ht="15.6" x14ac:dyDescent="0.3">
      <c r="A3" s="38">
        <v>45446</v>
      </c>
      <c r="B3" s="36" t="s">
        <v>41</v>
      </c>
      <c r="C3" s="39">
        <v>8693</v>
      </c>
      <c r="D3" s="39">
        <v>1261</v>
      </c>
      <c r="E3" s="39">
        <f t="shared" ref="E3:E66" si="0">C3-D3</f>
        <v>7432</v>
      </c>
      <c r="F3" s="39">
        <v>111209</v>
      </c>
      <c r="G3" s="30">
        <v>6.6829123542159405E-2</v>
      </c>
      <c r="H3" s="36">
        <v>69.475492091467416</v>
      </c>
      <c r="I3" s="40">
        <v>29873</v>
      </c>
      <c r="M3" s="40">
        <v>10162</v>
      </c>
      <c r="N3" s="39">
        <v>6380</v>
      </c>
      <c r="Z3" s="13" t="s">
        <v>356</v>
      </c>
    </row>
    <row r="4" spans="1:26" x14ac:dyDescent="0.3">
      <c r="A4" s="38">
        <v>45446</v>
      </c>
      <c r="B4" s="36" t="s">
        <v>14</v>
      </c>
      <c r="C4" s="39">
        <v>9264</v>
      </c>
      <c r="D4" s="39">
        <v>1141</v>
      </c>
      <c r="E4" s="39">
        <f t="shared" si="0"/>
        <v>8123</v>
      </c>
      <c r="F4" s="39">
        <v>119332</v>
      </c>
      <c r="G4" s="30">
        <v>6.8070592967519203E-2</v>
      </c>
      <c r="H4" s="36">
        <v>92.312204605638044</v>
      </c>
      <c r="I4" s="40">
        <v>50372</v>
      </c>
      <c r="M4" s="40">
        <v>10541</v>
      </c>
      <c r="N4" s="39">
        <v>6121</v>
      </c>
    </row>
    <row r="5" spans="1:26" x14ac:dyDescent="0.3">
      <c r="A5" s="38">
        <v>45446</v>
      </c>
      <c r="B5" s="36" t="s">
        <v>14</v>
      </c>
      <c r="C5" s="39">
        <v>8842</v>
      </c>
      <c r="D5" s="39">
        <v>971</v>
      </c>
      <c r="E5" s="39">
        <f t="shared" si="0"/>
        <v>7871</v>
      </c>
      <c r="F5" s="39">
        <v>127203</v>
      </c>
      <c r="G5" s="30">
        <v>6.1877471443283601E-2</v>
      </c>
      <c r="H5" s="36">
        <v>16.351815601833291</v>
      </c>
      <c r="I5" s="40">
        <v>33928</v>
      </c>
      <c r="M5" s="40">
        <v>11013</v>
      </c>
      <c r="N5" s="39">
        <v>3202</v>
      </c>
      <c r="Z5" s="14" t="s">
        <v>365</v>
      </c>
    </row>
    <row r="6" spans="1:26" x14ac:dyDescent="0.3">
      <c r="A6" s="38">
        <v>45453</v>
      </c>
      <c r="B6" s="36" t="s">
        <v>23</v>
      </c>
      <c r="C6" s="39">
        <v>7721</v>
      </c>
      <c r="D6" s="39">
        <v>506</v>
      </c>
      <c r="E6" s="39">
        <f t="shared" si="0"/>
        <v>7215</v>
      </c>
      <c r="F6" s="39">
        <v>134418</v>
      </c>
      <c r="G6" s="30">
        <v>5.3675846984778799E-2</v>
      </c>
      <c r="H6" s="36">
        <v>35.577824398518047</v>
      </c>
      <c r="I6" s="40">
        <v>25379</v>
      </c>
      <c r="M6" s="40">
        <v>11171</v>
      </c>
      <c r="N6" s="39">
        <v>6425</v>
      </c>
    </row>
    <row r="7" spans="1:26" x14ac:dyDescent="0.3">
      <c r="A7" s="38">
        <v>45453</v>
      </c>
      <c r="B7" s="36" t="s">
        <v>14</v>
      </c>
      <c r="C7" s="39">
        <v>8002</v>
      </c>
      <c r="D7" s="39">
        <v>524</v>
      </c>
      <c r="E7" s="39">
        <f t="shared" si="0"/>
        <v>7478</v>
      </c>
      <c r="F7" s="39">
        <v>141896</v>
      </c>
      <c r="G7" s="30">
        <v>5.2700569431132702E-2</v>
      </c>
      <c r="H7" s="36">
        <v>52.064892597395271</v>
      </c>
      <c r="I7" s="40">
        <v>46751</v>
      </c>
      <c r="M7" s="40">
        <v>11431</v>
      </c>
      <c r="N7" s="39">
        <v>6677</v>
      </c>
      <c r="Z7" s="15" t="s">
        <v>400</v>
      </c>
    </row>
    <row r="8" spans="1:26" x14ac:dyDescent="0.3">
      <c r="A8" s="38">
        <v>45453</v>
      </c>
      <c r="B8" s="36" t="s">
        <v>41</v>
      </c>
      <c r="C8" s="39">
        <v>5225</v>
      </c>
      <c r="D8" s="39">
        <v>291</v>
      </c>
      <c r="E8" s="39">
        <f t="shared" si="0"/>
        <v>4934</v>
      </c>
      <c r="F8" s="39">
        <v>146830</v>
      </c>
      <c r="G8" s="30">
        <v>3.3603487025812201E-2</v>
      </c>
      <c r="H8" s="36">
        <v>19.551862698358651</v>
      </c>
      <c r="I8" s="40">
        <v>44546</v>
      </c>
      <c r="M8" s="40">
        <v>11619</v>
      </c>
      <c r="N8" s="39">
        <v>8642</v>
      </c>
      <c r="Z8" s="15" t="s">
        <v>399</v>
      </c>
    </row>
    <row r="9" spans="1:26" x14ac:dyDescent="0.3">
      <c r="A9" s="38">
        <v>45453</v>
      </c>
      <c r="B9" s="36" t="s">
        <v>41</v>
      </c>
      <c r="C9" s="39">
        <v>3978</v>
      </c>
      <c r="D9" s="39">
        <v>543</v>
      </c>
      <c r="E9" s="39">
        <f t="shared" si="0"/>
        <v>3435</v>
      </c>
      <c r="F9" s="39">
        <v>150265</v>
      </c>
      <c r="G9" s="30">
        <v>2.2859614680730701E-2</v>
      </c>
      <c r="H9" s="36">
        <v>49.159817655475329</v>
      </c>
      <c r="I9" s="40">
        <v>34286</v>
      </c>
      <c r="M9" s="40">
        <v>11651</v>
      </c>
      <c r="N9" s="39">
        <v>4147</v>
      </c>
      <c r="Z9" s="15" t="s">
        <v>367</v>
      </c>
    </row>
    <row r="10" spans="1:26" x14ac:dyDescent="0.3">
      <c r="A10" s="38">
        <v>45460</v>
      </c>
      <c r="B10" s="36" t="s">
        <v>23</v>
      </c>
      <c r="C10" s="39">
        <v>8373</v>
      </c>
      <c r="D10" s="39">
        <v>921</v>
      </c>
      <c r="E10" s="39">
        <f t="shared" si="0"/>
        <v>7452</v>
      </c>
      <c r="F10" s="39">
        <v>157717</v>
      </c>
      <c r="G10" s="30">
        <v>4.7249186834646899E-2</v>
      </c>
      <c r="H10" s="36">
        <v>12.2263294381709</v>
      </c>
      <c r="I10" s="40">
        <v>15110</v>
      </c>
      <c r="M10" s="40">
        <v>11828</v>
      </c>
      <c r="N10" s="39">
        <v>1918</v>
      </c>
      <c r="Z10" s="15" t="s">
        <v>369</v>
      </c>
    </row>
    <row r="11" spans="1:26" x14ac:dyDescent="0.3">
      <c r="A11" s="38">
        <v>45460</v>
      </c>
      <c r="B11" s="36" t="s">
        <v>41</v>
      </c>
      <c r="C11" s="39">
        <v>6907</v>
      </c>
      <c r="D11" s="39">
        <v>834</v>
      </c>
      <c r="E11" s="39">
        <f t="shared" si="0"/>
        <v>6073</v>
      </c>
      <c r="F11" s="39">
        <v>163790</v>
      </c>
      <c r="G11" s="30">
        <v>3.70779656877709E-2</v>
      </c>
      <c r="H11" s="36">
        <v>54.158984064961238</v>
      </c>
      <c r="I11" s="40">
        <v>22087</v>
      </c>
      <c r="M11" s="40">
        <v>12023</v>
      </c>
      <c r="N11" s="39">
        <v>7092</v>
      </c>
      <c r="Z11" s="15" t="s">
        <v>370</v>
      </c>
    </row>
    <row r="12" spans="1:26" x14ac:dyDescent="0.3">
      <c r="A12" s="38">
        <v>45460</v>
      </c>
      <c r="B12" s="36" t="s">
        <v>19</v>
      </c>
      <c r="C12" s="39">
        <v>7097</v>
      </c>
      <c r="D12" s="39">
        <v>369</v>
      </c>
      <c r="E12" s="39">
        <f t="shared" si="0"/>
        <v>6728</v>
      </c>
      <c r="F12" s="39">
        <v>170518</v>
      </c>
      <c r="G12" s="30">
        <v>3.9456245088495101E-2</v>
      </c>
      <c r="H12" s="36">
        <v>9.2506362964613711</v>
      </c>
      <c r="I12" s="40">
        <v>33762</v>
      </c>
      <c r="M12" s="40">
        <v>12096</v>
      </c>
      <c r="N12" s="39">
        <v>8200</v>
      </c>
      <c r="Z12" s="15" t="s">
        <v>371</v>
      </c>
    </row>
    <row r="13" spans="1:26" x14ac:dyDescent="0.3">
      <c r="A13" s="38">
        <v>45460</v>
      </c>
      <c r="B13" s="36" t="s">
        <v>23</v>
      </c>
      <c r="C13" s="39">
        <v>6656</v>
      </c>
      <c r="D13" s="39">
        <v>978</v>
      </c>
      <c r="E13" s="39">
        <f t="shared" si="0"/>
        <v>5678</v>
      </c>
      <c r="F13" s="39">
        <v>176196</v>
      </c>
      <c r="G13" s="30">
        <v>3.2225476174260498E-2</v>
      </c>
      <c r="H13" s="36">
        <v>60.425889350496043</v>
      </c>
      <c r="I13" s="40">
        <v>27081</v>
      </c>
      <c r="M13" s="40">
        <v>12539</v>
      </c>
      <c r="N13" s="39">
        <v>7555</v>
      </c>
    </row>
    <row r="14" spans="1:26" x14ac:dyDescent="0.3">
      <c r="A14" s="38">
        <v>45467</v>
      </c>
      <c r="B14" s="36" t="s">
        <v>41</v>
      </c>
      <c r="C14" s="39">
        <v>9984</v>
      </c>
      <c r="D14" s="39">
        <v>1330</v>
      </c>
      <c r="E14" s="39">
        <f t="shared" si="0"/>
        <v>8654</v>
      </c>
      <c r="F14" s="39">
        <v>184850</v>
      </c>
      <c r="G14" s="30">
        <v>4.6816337571003501E-2</v>
      </c>
      <c r="H14" s="36">
        <v>57.524479307546663</v>
      </c>
      <c r="I14" s="40">
        <v>44947</v>
      </c>
      <c r="M14" s="40">
        <v>12563</v>
      </c>
      <c r="N14" s="39">
        <v>3445</v>
      </c>
    </row>
    <row r="15" spans="1:26" x14ac:dyDescent="0.3">
      <c r="A15" s="38">
        <v>45467</v>
      </c>
      <c r="B15" s="36" t="s">
        <v>23</v>
      </c>
      <c r="C15" s="39">
        <v>5259</v>
      </c>
      <c r="D15" s="39">
        <v>374</v>
      </c>
      <c r="E15" s="39">
        <f t="shared" si="0"/>
        <v>4885</v>
      </c>
      <c r="F15" s="39">
        <v>189735</v>
      </c>
      <c r="G15" s="30">
        <v>2.5746435818378301E-2</v>
      </c>
      <c r="H15" s="36">
        <v>14.827522597306769</v>
      </c>
      <c r="I15" s="40">
        <v>19596</v>
      </c>
      <c r="M15" s="40">
        <v>12643</v>
      </c>
      <c r="N15" s="39">
        <v>4189</v>
      </c>
    </row>
    <row r="16" spans="1:26" x14ac:dyDescent="0.3">
      <c r="A16" s="38">
        <v>45467</v>
      </c>
      <c r="B16" s="36" t="s">
        <v>14</v>
      </c>
      <c r="C16" s="39">
        <v>9286</v>
      </c>
      <c r="D16" s="39">
        <v>633</v>
      </c>
      <c r="E16" s="39">
        <f t="shared" si="0"/>
        <v>8653</v>
      </c>
      <c r="F16" s="39">
        <v>198388</v>
      </c>
      <c r="G16" s="30">
        <v>4.3616549388067798E-2</v>
      </c>
      <c r="H16" s="36">
        <v>5.4343004617214756</v>
      </c>
      <c r="I16" s="40">
        <v>48019</v>
      </c>
      <c r="M16" s="40">
        <v>12839</v>
      </c>
      <c r="N16" s="39">
        <v>1001</v>
      </c>
    </row>
    <row r="17" spans="1:14" x14ac:dyDescent="0.3">
      <c r="A17" s="38">
        <v>45467</v>
      </c>
      <c r="B17" s="36" t="s">
        <v>41</v>
      </c>
      <c r="C17" s="39">
        <v>6901</v>
      </c>
      <c r="D17" s="39">
        <v>471</v>
      </c>
      <c r="E17" s="39">
        <f t="shared" si="0"/>
        <v>6430</v>
      </c>
      <c r="F17" s="39">
        <v>204818</v>
      </c>
      <c r="G17" s="30">
        <v>3.1393725160874499E-2</v>
      </c>
      <c r="H17" s="36">
        <v>60.827661631301943</v>
      </c>
      <c r="I17" s="40">
        <v>52003</v>
      </c>
      <c r="M17" s="40">
        <v>13384</v>
      </c>
      <c r="N17" s="39">
        <v>8518</v>
      </c>
    </row>
    <row r="18" spans="1:14" x14ac:dyDescent="0.3">
      <c r="A18" s="38">
        <v>45474</v>
      </c>
      <c r="B18" s="36" t="s">
        <v>19</v>
      </c>
      <c r="C18" s="39">
        <v>5917</v>
      </c>
      <c r="D18" s="39">
        <v>475</v>
      </c>
      <c r="E18" s="39">
        <f t="shared" si="0"/>
        <v>5442</v>
      </c>
      <c r="F18" s="39">
        <v>210260</v>
      </c>
      <c r="G18" s="30">
        <v>2.5882241034909201E-2</v>
      </c>
      <c r="H18" s="36">
        <v>17.894035955483691</v>
      </c>
      <c r="I18" s="40">
        <v>28313</v>
      </c>
      <c r="M18" s="40">
        <v>13390</v>
      </c>
      <c r="N18" s="39">
        <v>6593</v>
      </c>
    </row>
    <row r="19" spans="1:14" x14ac:dyDescent="0.3">
      <c r="A19" s="38">
        <v>45474</v>
      </c>
      <c r="B19" s="36" t="s">
        <v>41</v>
      </c>
      <c r="C19" s="39">
        <v>9429</v>
      </c>
      <c r="D19" s="39">
        <v>966</v>
      </c>
      <c r="E19" s="39">
        <f t="shared" si="0"/>
        <v>8463</v>
      </c>
      <c r="F19" s="39">
        <v>218723</v>
      </c>
      <c r="G19" s="30">
        <v>3.8692775794040901E-2</v>
      </c>
      <c r="H19" s="36">
        <v>7.6914636320825887</v>
      </c>
      <c r="I19" s="40">
        <v>57639</v>
      </c>
      <c r="M19" s="40">
        <v>13471</v>
      </c>
      <c r="N19" s="39">
        <v>5206</v>
      </c>
    </row>
    <row r="20" spans="1:14" x14ac:dyDescent="0.3">
      <c r="A20" s="38">
        <v>45474</v>
      </c>
      <c r="B20" s="36" t="s">
        <v>23</v>
      </c>
      <c r="C20" s="39">
        <v>3530</v>
      </c>
      <c r="D20" s="39">
        <v>328</v>
      </c>
      <c r="E20" s="39">
        <f t="shared" si="0"/>
        <v>3202</v>
      </c>
      <c r="F20" s="39">
        <v>221925</v>
      </c>
      <c r="G20" s="30">
        <v>1.44282978483722E-2</v>
      </c>
      <c r="H20" s="36">
        <v>12.8372197814577</v>
      </c>
      <c r="I20" s="40">
        <v>11013</v>
      </c>
      <c r="M20" s="40">
        <v>13586</v>
      </c>
      <c r="N20" s="39">
        <v>3497</v>
      </c>
    </row>
    <row r="21" spans="1:14" x14ac:dyDescent="0.3">
      <c r="A21" s="38">
        <v>45474</v>
      </c>
      <c r="B21" s="36" t="s">
        <v>23</v>
      </c>
      <c r="C21" s="39">
        <v>2960</v>
      </c>
      <c r="D21" s="39">
        <v>234</v>
      </c>
      <c r="E21" s="39">
        <f t="shared" si="0"/>
        <v>2726</v>
      </c>
      <c r="F21" s="39">
        <v>224651</v>
      </c>
      <c r="G21" s="30">
        <v>1.21343773230478E-2</v>
      </c>
      <c r="H21" s="36">
        <v>17.41278694508371</v>
      </c>
      <c r="I21" s="40">
        <v>59378</v>
      </c>
      <c r="M21" s="40">
        <v>15017</v>
      </c>
      <c r="N21" s="39">
        <v>8527</v>
      </c>
    </row>
    <row r="22" spans="1:14" x14ac:dyDescent="0.3">
      <c r="A22" s="38">
        <v>45481</v>
      </c>
      <c r="B22" s="36" t="s">
        <v>41</v>
      </c>
      <c r="C22" s="39">
        <v>8045</v>
      </c>
      <c r="D22" s="39">
        <v>894</v>
      </c>
      <c r="E22" s="39">
        <f t="shared" si="0"/>
        <v>7151</v>
      </c>
      <c r="F22" s="39">
        <v>231802</v>
      </c>
      <c r="G22" s="30">
        <v>3.0849604403758401E-2</v>
      </c>
      <c r="H22" s="36">
        <v>47.634187798207087</v>
      </c>
      <c r="I22" s="40">
        <v>33705</v>
      </c>
      <c r="M22" s="40">
        <v>15105</v>
      </c>
      <c r="N22" s="39">
        <v>2919</v>
      </c>
    </row>
    <row r="23" spans="1:14" x14ac:dyDescent="0.3">
      <c r="A23" s="38">
        <v>45481</v>
      </c>
      <c r="B23" s="36" t="s">
        <v>19</v>
      </c>
      <c r="C23" s="39">
        <v>2048</v>
      </c>
      <c r="D23" s="39">
        <v>130</v>
      </c>
      <c r="E23" s="39">
        <f t="shared" si="0"/>
        <v>1918</v>
      </c>
      <c r="F23" s="39">
        <v>233720</v>
      </c>
      <c r="G23" s="30">
        <v>8.2064008214958097E-3</v>
      </c>
      <c r="H23" s="36">
        <v>39.284614068115687</v>
      </c>
      <c r="I23" s="40">
        <v>11828</v>
      </c>
      <c r="M23" s="40">
        <v>15110</v>
      </c>
      <c r="N23" s="39">
        <v>7452</v>
      </c>
    </row>
    <row r="24" spans="1:14" x14ac:dyDescent="0.3">
      <c r="A24" s="38">
        <v>45481</v>
      </c>
      <c r="B24" s="36" t="s">
        <v>19</v>
      </c>
      <c r="C24" s="39">
        <v>6772</v>
      </c>
      <c r="D24" s="39">
        <v>536</v>
      </c>
      <c r="E24" s="39">
        <f t="shared" si="0"/>
        <v>6236</v>
      </c>
      <c r="F24" s="39">
        <v>239956</v>
      </c>
      <c r="G24" s="30">
        <v>2.5988097817933299E-2</v>
      </c>
      <c r="H24" s="36">
        <v>9.8205504342462788</v>
      </c>
      <c r="I24" s="40">
        <v>17909</v>
      </c>
      <c r="M24" s="40">
        <v>15347</v>
      </c>
      <c r="N24" s="39">
        <v>9044</v>
      </c>
    </row>
    <row r="25" spans="1:14" x14ac:dyDescent="0.3">
      <c r="A25" s="38">
        <v>45481</v>
      </c>
      <c r="B25" s="36" t="s">
        <v>19</v>
      </c>
      <c r="C25" s="39">
        <v>3529</v>
      </c>
      <c r="D25" s="39">
        <v>305</v>
      </c>
      <c r="E25" s="39">
        <f t="shared" si="0"/>
        <v>3224</v>
      </c>
      <c r="F25" s="39">
        <v>243180</v>
      </c>
      <c r="G25" s="30">
        <v>1.3257669216218401E-2</v>
      </c>
      <c r="H25" s="36">
        <v>41.606628834608109</v>
      </c>
      <c r="I25" s="40">
        <v>48356</v>
      </c>
      <c r="M25" s="40">
        <v>15432</v>
      </c>
      <c r="N25" s="39">
        <v>2067</v>
      </c>
    </row>
    <row r="26" spans="1:14" x14ac:dyDescent="0.3">
      <c r="A26" s="38">
        <v>45488</v>
      </c>
      <c r="B26" s="36" t="s">
        <v>23</v>
      </c>
      <c r="C26" s="39">
        <v>3964</v>
      </c>
      <c r="D26" s="39">
        <v>378</v>
      </c>
      <c r="E26" s="39">
        <f t="shared" si="0"/>
        <v>3586</v>
      </c>
      <c r="F26" s="39">
        <v>246766</v>
      </c>
      <c r="G26" s="30">
        <v>1.45319857678935E-2</v>
      </c>
      <c r="H26" s="36">
        <v>13.6355899921383</v>
      </c>
      <c r="I26" s="40">
        <v>23109</v>
      </c>
      <c r="M26" s="40">
        <v>15469</v>
      </c>
      <c r="N26" s="39">
        <v>8361</v>
      </c>
    </row>
    <row r="27" spans="1:14" x14ac:dyDescent="0.3">
      <c r="A27" s="38">
        <v>45488</v>
      </c>
      <c r="B27" s="36" t="s">
        <v>41</v>
      </c>
      <c r="C27" s="39">
        <v>8137</v>
      </c>
      <c r="D27" s="39">
        <v>1045</v>
      </c>
      <c r="E27" s="39">
        <f t="shared" si="0"/>
        <v>7092</v>
      </c>
      <c r="F27" s="39">
        <v>253858</v>
      </c>
      <c r="G27" s="30">
        <v>2.79368780972039E-2</v>
      </c>
      <c r="H27" s="36">
        <v>20.47246886054408</v>
      </c>
      <c r="I27" s="40">
        <v>12023</v>
      </c>
      <c r="M27" s="40">
        <v>15997</v>
      </c>
      <c r="N27" s="39">
        <v>8228</v>
      </c>
    </row>
    <row r="28" spans="1:14" x14ac:dyDescent="0.3">
      <c r="A28" s="38">
        <v>45488</v>
      </c>
      <c r="B28" s="36" t="s">
        <v>14</v>
      </c>
      <c r="C28" s="39">
        <v>1963</v>
      </c>
      <c r="D28" s="39">
        <v>137</v>
      </c>
      <c r="E28" s="39">
        <f t="shared" si="0"/>
        <v>1826</v>
      </c>
      <c r="F28" s="39">
        <v>255684</v>
      </c>
      <c r="G28" s="30">
        <v>7.1416279469970799E-3</v>
      </c>
      <c r="H28" s="36">
        <v>11.2083665774941</v>
      </c>
      <c r="I28" s="40">
        <v>24537</v>
      </c>
      <c r="M28" s="40">
        <v>16256</v>
      </c>
      <c r="N28" s="39">
        <v>1543</v>
      </c>
    </row>
    <row r="29" spans="1:14" x14ac:dyDescent="0.3">
      <c r="A29" s="38">
        <v>45488</v>
      </c>
      <c r="B29" s="36" t="s">
        <v>23</v>
      </c>
      <c r="C29" s="39">
        <v>1536</v>
      </c>
      <c r="D29" s="39">
        <v>155</v>
      </c>
      <c r="E29" s="39">
        <f t="shared" si="0"/>
        <v>1381</v>
      </c>
      <c r="F29" s="39">
        <v>257065</v>
      </c>
      <c r="G29" s="30">
        <v>5.3721821329235798E-3</v>
      </c>
      <c r="H29" s="36">
        <v>12.15762550327738</v>
      </c>
      <c r="I29" s="40">
        <v>36661</v>
      </c>
      <c r="M29" s="40">
        <v>16397</v>
      </c>
      <c r="N29" s="39">
        <v>5402</v>
      </c>
    </row>
    <row r="30" spans="1:14" x14ac:dyDescent="0.3">
      <c r="A30" s="38">
        <v>45495</v>
      </c>
      <c r="B30" s="36" t="s">
        <v>19</v>
      </c>
      <c r="C30" s="39">
        <v>8340</v>
      </c>
      <c r="D30" s="39">
        <v>911</v>
      </c>
      <c r="E30" s="39">
        <f t="shared" si="0"/>
        <v>7429</v>
      </c>
      <c r="F30" s="39">
        <v>264494</v>
      </c>
      <c r="G30" s="30">
        <v>2.8087593669421599E-2</v>
      </c>
      <c r="H30" s="36">
        <v>37.302925586213682</v>
      </c>
      <c r="I30" s="40">
        <v>48659</v>
      </c>
      <c r="M30" s="40">
        <v>16643</v>
      </c>
      <c r="N30" s="39">
        <v>7033</v>
      </c>
    </row>
    <row r="31" spans="1:14" x14ac:dyDescent="0.3">
      <c r="A31" s="38">
        <v>45495</v>
      </c>
      <c r="B31" s="36" t="s">
        <v>41</v>
      </c>
      <c r="C31" s="39">
        <v>8179</v>
      </c>
      <c r="D31" s="39">
        <v>446</v>
      </c>
      <c r="E31" s="39">
        <f t="shared" si="0"/>
        <v>7733</v>
      </c>
      <c r="F31" s="39">
        <v>272227</v>
      </c>
      <c r="G31" s="30">
        <v>2.84064402134983E-2</v>
      </c>
      <c r="H31" s="36">
        <v>41.82171496581897</v>
      </c>
      <c r="I31" s="40">
        <v>43848</v>
      </c>
      <c r="M31" s="40">
        <v>17531</v>
      </c>
      <c r="N31" s="39">
        <v>5428</v>
      </c>
    </row>
    <row r="32" spans="1:14" x14ac:dyDescent="0.3">
      <c r="A32" s="38">
        <v>45495</v>
      </c>
      <c r="B32" s="36" t="s">
        <v>19</v>
      </c>
      <c r="C32" s="39">
        <v>8967</v>
      </c>
      <c r="D32" s="39">
        <v>993</v>
      </c>
      <c r="E32" s="39">
        <f t="shared" si="0"/>
        <v>7974</v>
      </c>
      <c r="F32" s="39">
        <v>280201</v>
      </c>
      <c r="G32" s="30">
        <v>2.8458142547671102E-2</v>
      </c>
      <c r="H32" s="36">
        <v>52.792102811910027</v>
      </c>
      <c r="I32" s="40">
        <v>47804</v>
      </c>
      <c r="M32" s="40">
        <v>17710</v>
      </c>
      <c r="N32" s="39">
        <v>8128</v>
      </c>
    </row>
    <row r="33" spans="1:14" x14ac:dyDescent="0.3">
      <c r="A33" s="38">
        <v>45495</v>
      </c>
      <c r="B33" s="36" t="s">
        <v>14</v>
      </c>
      <c r="C33" s="39">
        <v>9734</v>
      </c>
      <c r="D33" s="39">
        <v>652</v>
      </c>
      <c r="E33" s="39">
        <f t="shared" si="0"/>
        <v>9082</v>
      </c>
      <c r="F33" s="39">
        <v>289283</v>
      </c>
      <c r="G33" s="30">
        <v>3.1394862470314498E-2</v>
      </c>
      <c r="H33" s="36">
        <v>49.647922622483861</v>
      </c>
      <c r="I33" s="40">
        <v>25379</v>
      </c>
      <c r="M33" s="40">
        <v>17736</v>
      </c>
      <c r="N33" s="39">
        <v>3805</v>
      </c>
    </row>
    <row r="34" spans="1:14" x14ac:dyDescent="0.3">
      <c r="A34" s="38">
        <v>45502</v>
      </c>
      <c r="B34" s="36" t="s">
        <v>19</v>
      </c>
      <c r="C34" s="39">
        <v>1845</v>
      </c>
      <c r="D34" s="39">
        <v>104</v>
      </c>
      <c r="E34" s="39">
        <f t="shared" si="0"/>
        <v>1741</v>
      </c>
      <c r="F34" s="39">
        <v>291024</v>
      </c>
      <c r="G34" s="30">
        <v>5.9823244818296801E-3</v>
      </c>
      <c r="H34" s="36">
        <v>28.158158777282971</v>
      </c>
      <c r="I34" s="40">
        <v>37766</v>
      </c>
      <c r="M34" s="40">
        <v>17896</v>
      </c>
      <c r="N34" s="39">
        <v>2535</v>
      </c>
    </row>
    <row r="35" spans="1:14" x14ac:dyDescent="0.3">
      <c r="A35" s="38">
        <v>45502</v>
      </c>
      <c r="B35" s="36" t="s">
        <v>19</v>
      </c>
      <c r="C35" s="39">
        <v>6777</v>
      </c>
      <c r="D35" s="39">
        <v>981</v>
      </c>
      <c r="E35" s="39">
        <f t="shared" si="0"/>
        <v>5796</v>
      </c>
      <c r="F35" s="39">
        <v>296820</v>
      </c>
      <c r="G35" s="30">
        <v>1.9526986052152799E-2</v>
      </c>
      <c r="H35" s="36">
        <v>23.920557913887201</v>
      </c>
      <c r="I35" s="40">
        <v>53590</v>
      </c>
      <c r="M35" s="40">
        <v>17909</v>
      </c>
      <c r="N35" s="39">
        <v>6236</v>
      </c>
    </row>
    <row r="36" spans="1:14" x14ac:dyDescent="0.3">
      <c r="A36" s="38">
        <v>45502</v>
      </c>
      <c r="B36" s="36" t="s">
        <v>14</v>
      </c>
      <c r="C36" s="39">
        <v>4036</v>
      </c>
      <c r="D36" s="39">
        <v>591</v>
      </c>
      <c r="E36" s="39">
        <f t="shared" si="0"/>
        <v>3445</v>
      </c>
      <c r="F36" s="39">
        <v>300265</v>
      </c>
      <c r="G36" s="30">
        <v>1.1473198674504199E-2</v>
      </c>
      <c r="H36" s="36">
        <v>44.219272975538267</v>
      </c>
      <c r="I36" s="40">
        <v>12563</v>
      </c>
      <c r="M36" s="40">
        <v>17927</v>
      </c>
      <c r="N36" s="39">
        <v>5990</v>
      </c>
    </row>
    <row r="37" spans="1:14" x14ac:dyDescent="0.3">
      <c r="A37" s="38">
        <v>45502</v>
      </c>
      <c r="B37" s="36" t="s">
        <v>41</v>
      </c>
      <c r="C37" s="39">
        <v>6947</v>
      </c>
      <c r="D37" s="39">
        <v>908</v>
      </c>
      <c r="E37" s="39">
        <f t="shared" si="0"/>
        <v>6039</v>
      </c>
      <c r="F37" s="39">
        <v>306304</v>
      </c>
      <c r="G37" s="30">
        <v>1.9715707271207701E-2</v>
      </c>
      <c r="H37" s="36">
        <v>14.117673944839121</v>
      </c>
      <c r="I37" s="40">
        <v>46060</v>
      </c>
      <c r="M37" s="40">
        <v>17999</v>
      </c>
      <c r="N37" s="39">
        <v>4314</v>
      </c>
    </row>
    <row r="38" spans="1:14" x14ac:dyDescent="0.3">
      <c r="A38" s="38">
        <v>45509</v>
      </c>
      <c r="B38" s="36" t="s">
        <v>23</v>
      </c>
      <c r="C38" s="39">
        <v>3494</v>
      </c>
      <c r="D38" s="39">
        <v>281</v>
      </c>
      <c r="E38" s="39">
        <f t="shared" si="0"/>
        <v>3213</v>
      </c>
      <c r="F38" s="39">
        <v>309517</v>
      </c>
      <c r="G38" s="30">
        <v>1.03806899136396E-2</v>
      </c>
      <c r="H38" s="36">
        <v>27.765518533715429</v>
      </c>
      <c r="I38" s="40">
        <v>39197</v>
      </c>
      <c r="M38" s="40">
        <v>18329</v>
      </c>
      <c r="N38" s="39">
        <v>6469</v>
      </c>
    </row>
    <row r="39" spans="1:14" x14ac:dyDescent="0.3">
      <c r="A39" s="38">
        <v>45509</v>
      </c>
      <c r="B39" s="36" t="s">
        <v>41</v>
      </c>
      <c r="C39" s="39">
        <v>3719</v>
      </c>
      <c r="D39" s="39">
        <v>222</v>
      </c>
      <c r="E39" s="39">
        <f t="shared" si="0"/>
        <v>3497</v>
      </c>
      <c r="F39" s="39">
        <v>313014</v>
      </c>
      <c r="G39" s="30">
        <v>1.11720242545062E-2</v>
      </c>
      <c r="H39" s="36">
        <v>21.669318305251519</v>
      </c>
      <c r="I39" s="40">
        <v>13586</v>
      </c>
      <c r="M39" s="40">
        <v>18461</v>
      </c>
      <c r="N39" s="39">
        <v>7432</v>
      </c>
    </row>
    <row r="40" spans="1:14" x14ac:dyDescent="0.3">
      <c r="A40" s="38">
        <v>45509</v>
      </c>
      <c r="B40" s="36" t="s">
        <v>14</v>
      </c>
      <c r="C40" s="39">
        <v>2884</v>
      </c>
      <c r="D40" s="39">
        <v>341</v>
      </c>
      <c r="E40" s="39">
        <f t="shared" si="0"/>
        <v>2543</v>
      </c>
      <c r="F40" s="39">
        <v>315557</v>
      </c>
      <c r="G40" s="30">
        <v>8.0587659281841292E-3</v>
      </c>
      <c r="H40" s="36">
        <v>46.999749649033298</v>
      </c>
      <c r="I40" s="40">
        <v>26087</v>
      </c>
      <c r="M40" s="40">
        <v>19067</v>
      </c>
      <c r="N40" s="39">
        <v>1290</v>
      </c>
    </row>
    <row r="41" spans="1:14" x14ac:dyDescent="0.3">
      <c r="A41" s="38">
        <v>45509</v>
      </c>
      <c r="B41" s="36" t="s">
        <v>19</v>
      </c>
      <c r="C41" s="39">
        <v>5349</v>
      </c>
      <c r="D41" s="39">
        <v>502</v>
      </c>
      <c r="E41" s="39">
        <f t="shared" si="0"/>
        <v>4847</v>
      </c>
      <c r="F41" s="39">
        <v>320404</v>
      </c>
      <c r="G41" s="30">
        <v>1.51277761825695E-2</v>
      </c>
      <c r="H41" s="36">
        <v>5.2152906954969351</v>
      </c>
      <c r="I41" s="40">
        <v>58868</v>
      </c>
      <c r="M41" s="40">
        <v>19435</v>
      </c>
      <c r="N41" s="39">
        <v>9125</v>
      </c>
    </row>
    <row r="42" spans="1:14" x14ac:dyDescent="0.3">
      <c r="A42" s="38">
        <v>45516</v>
      </c>
      <c r="B42" s="36" t="s">
        <v>41</v>
      </c>
      <c r="C42" s="39">
        <v>6179</v>
      </c>
      <c r="D42" s="39">
        <v>384</v>
      </c>
      <c r="E42" s="39">
        <f t="shared" si="0"/>
        <v>5795</v>
      </c>
      <c r="F42" s="39">
        <v>326199</v>
      </c>
      <c r="G42" s="30">
        <v>1.7765229200580001E-2</v>
      </c>
      <c r="H42" s="36">
        <v>14.71218489327067</v>
      </c>
      <c r="I42" s="40">
        <v>33225</v>
      </c>
      <c r="M42" s="40">
        <v>19518</v>
      </c>
      <c r="N42" s="39">
        <v>3011</v>
      </c>
    </row>
    <row r="43" spans="1:14" x14ac:dyDescent="0.3">
      <c r="A43" s="38">
        <v>45516</v>
      </c>
      <c r="B43" s="36" t="s">
        <v>23</v>
      </c>
      <c r="C43" s="39">
        <v>7610</v>
      </c>
      <c r="D43" s="39">
        <v>757</v>
      </c>
      <c r="E43" s="39">
        <f t="shared" si="0"/>
        <v>6853</v>
      </c>
      <c r="F43" s="39">
        <v>333052</v>
      </c>
      <c r="G43" s="30">
        <v>2.0576366453286601E-2</v>
      </c>
      <c r="H43" s="36">
        <v>44.450416151231643</v>
      </c>
      <c r="I43" s="40">
        <v>39750</v>
      </c>
      <c r="M43" s="40">
        <v>19557</v>
      </c>
      <c r="N43" s="39">
        <v>6029</v>
      </c>
    </row>
    <row r="44" spans="1:14" x14ac:dyDescent="0.3">
      <c r="A44" s="38">
        <v>45516</v>
      </c>
      <c r="B44" s="36" t="s">
        <v>14</v>
      </c>
      <c r="C44" s="39">
        <v>7430</v>
      </c>
      <c r="D44" s="39">
        <v>397</v>
      </c>
      <c r="E44" s="39">
        <f t="shared" si="0"/>
        <v>7033</v>
      </c>
      <c r="F44" s="39">
        <v>340085</v>
      </c>
      <c r="G44" s="30">
        <v>2.0680124086625399E-2</v>
      </c>
      <c r="H44" s="36">
        <v>28.065042562888689</v>
      </c>
      <c r="I44" s="40">
        <v>16643</v>
      </c>
      <c r="M44" s="40">
        <v>19596</v>
      </c>
      <c r="N44" s="39">
        <v>4885</v>
      </c>
    </row>
    <row r="45" spans="1:14" x14ac:dyDescent="0.3">
      <c r="A45" s="38">
        <v>45516</v>
      </c>
      <c r="B45" s="36" t="s">
        <v>41</v>
      </c>
      <c r="C45" s="39">
        <v>8154</v>
      </c>
      <c r="D45" s="39">
        <v>1149</v>
      </c>
      <c r="E45" s="39">
        <f t="shared" si="0"/>
        <v>7005</v>
      </c>
      <c r="F45" s="39">
        <v>347090</v>
      </c>
      <c r="G45" s="30">
        <v>2.0182085338096699E-2</v>
      </c>
      <c r="H45" s="36">
        <v>26.003918292085629</v>
      </c>
      <c r="I45" s="40">
        <v>37523</v>
      </c>
      <c r="M45" s="40">
        <v>19833</v>
      </c>
      <c r="N45" s="39">
        <v>3555</v>
      </c>
    </row>
    <row r="46" spans="1:14" x14ac:dyDescent="0.3">
      <c r="A46" s="38">
        <v>45523</v>
      </c>
      <c r="B46" s="36" t="s">
        <v>23</v>
      </c>
      <c r="C46" s="39">
        <v>7488</v>
      </c>
      <c r="D46" s="39">
        <v>568</v>
      </c>
      <c r="E46" s="39">
        <f t="shared" si="0"/>
        <v>6920</v>
      </c>
      <c r="F46" s="39">
        <v>354010</v>
      </c>
      <c r="G46" s="30">
        <v>1.9547470410440401E-2</v>
      </c>
      <c r="H46" s="36">
        <v>13.47730290104799</v>
      </c>
      <c r="I46" s="40">
        <v>46727</v>
      </c>
      <c r="M46" s="40">
        <v>20028</v>
      </c>
      <c r="N46" s="39">
        <v>8487</v>
      </c>
    </row>
    <row r="47" spans="1:14" x14ac:dyDescent="0.3">
      <c r="A47" s="38">
        <v>45523</v>
      </c>
      <c r="B47" s="36" t="s">
        <v>14</v>
      </c>
      <c r="C47" s="39">
        <v>5737</v>
      </c>
      <c r="D47" s="39">
        <v>666</v>
      </c>
      <c r="E47" s="39">
        <f t="shared" si="0"/>
        <v>5071</v>
      </c>
      <c r="F47" s="39">
        <v>359081</v>
      </c>
      <c r="G47" s="30">
        <v>1.4122161852061201E-2</v>
      </c>
      <c r="H47" s="36">
        <v>4.6034181702735593</v>
      </c>
      <c r="I47" s="40">
        <v>21005</v>
      </c>
      <c r="M47" s="40">
        <v>20258</v>
      </c>
      <c r="N47" s="39">
        <v>4942</v>
      </c>
    </row>
    <row r="48" spans="1:14" x14ac:dyDescent="0.3">
      <c r="A48" s="38">
        <v>45523</v>
      </c>
      <c r="B48" s="36" t="s">
        <v>23</v>
      </c>
      <c r="C48" s="39">
        <v>7525</v>
      </c>
      <c r="D48" s="39">
        <v>610</v>
      </c>
      <c r="E48" s="39">
        <f t="shared" si="0"/>
        <v>6915</v>
      </c>
      <c r="F48" s="39">
        <v>365996</v>
      </c>
      <c r="G48" s="30">
        <v>1.8893649110919199E-2</v>
      </c>
      <c r="H48" s="36">
        <v>5.7694619613329108</v>
      </c>
      <c r="I48" s="40">
        <v>53543</v>
      </c>
      <c r="M48" s="40">
        <v>20720</v>
      </c>
      <c r="N48" s="39">
        <v>2832</v>
      </c>
    </row>
    <row r="49" spans="1:14" x14ac:dyDescent="0.3">
      <c r="A49" s="38">
        <v>45523</v>
      </c>
      <c r="B49" s="36" t="s">
        <v>14</v>
      </c>
      <c r="C49" s="39">
        <v>4850</v>
      </c>
      <c r="D49" s="39">
        <v>494</v>
      </c>
      <c r="E49" s="39">
        <f t="shared" si="0"/>
        <v>4356</v>
      </c>
      <c r="F49" s="39">
        <v>370352</v>
      </c>
      <c r="G49" s="30">
        <v>1.1761783384455901E-2</v>
      </c>
      <c r="H49" s="36">
        <v>20.46539508359615</v>
      </c>
      <c r="I49" s="40">
        <v>10161</v>
      </c>
      <c r="M49" s="40">
        <v>21005</v>
      </c>
      <c r="N49" s="39">
        <v>5071</v>
      </c>
    </row>
    <row r="50" spans="1:14" x14ac:dyDescent="0.3">
      <c r="A50" s="38">
        <v>45530</v>
      </c>
      <c r="B50" s="36" t="s">
        <v>19</v>
      </c>
      <c r="C50" s="39">
        <v>1689</v>
      </c>
      <c r="D50" s="39">
        <v>176</v>
      </c>
      <c r="E50" s="39">
        <f t="shared" si="0"/>
        <v>1513</v>
      </c>
      <c r="F50" s="39">
        <v>371865</v>
      </c>
      <c r="G50" s="30">
        <v>4.0686808384763299E-3</v>
      </c>
      <c r="H50" s="36">
        <v>38.012181840183942</v>
      </c>
      <c r="I50" s="40">
        <v>26029</v>
      </c>
      <c r="M50" s="40">
        <v>21918</v>
      </c>
      <c r="N50" s="39">
        <v>7058</v>
      </c>
    </row>
    <row r="51" spans="1:14" x14ac:dyDescent="0.3">
      <c r="A51" s="38">
        <v>45530</v>
      </c>
      <c r="B51" s="36" t="s">
        <v>41</v>
      </c>
      <c r="C51" s="39">
        <v>6175</v>
      </c>
      <c r="D51" s="39">
        <v>422</v>
      </c>
      <c r="E51" s="39">
        <f t="shared" si="0"/>
        <v>5753</v>
      </c>
      <c r="F51" s="39">
        <v>377618</v>
      </c>
      <c r="G51" s="30">
        <v>1.5234972909130401E-2</v>
      </c>
      <c r="H51" s="36">
        <v>37.86101298137271</v>
      </c>
      <c r="I51" s="40">
        <v>59745</v>
      </c>
      <c r="M51" s="40">
        <v>21929</v>
      </c>
      <c r="N51" s="39">
        <v>2926</v>
      </c>
    </row>
    <row r="52" spans="1:14" x14ac:dyDescent="0.3">
      <c r="A52" s="38">
        <v>45530</v>
      </c>
      <c r="B52" s="36" t="s">
        <v>23</v>
      </c>
      <c r="C52" s="39">
        <v>9648</v>
      </c>
      <c r="D52" s="39">
        <v>1417</v>
      </c>
      <c r="E52" s="39">
        <f t="shared" si="0"/>
        <v>8231</v>
      </c>
      <c r="F52" s="39">
        <v>385849</v>
      </c>
      <c r="G52" s="30">
        <v>2.13321791685348E-2</v>
      </c>
      <c r="H52" s="36">
        <v>3.6633501706626168</v>
      </c>
      <c r="I52" s="40">
        <v>24226</v>
      </c>
      <c r="M52" s="40">
        <v>22087</v>
      </c>
      <c r="N52" s="39">
        <v>6073</v>
      </c>
    </row>
    <row r="53" spans="1:14" x14ac:dyDescent="0.3">
      <c r="A53" s="38">
        <v>45530</v>
      </c>
      <c r="B53" s="36" t="s">
        <v>14</v>
      </c>
      <c r="C53" s="39">
        <v>6078</v>
      </c>
      <c r="D53" s="39">
        <v>775</v>
      </c>
      <c r="E53" s="39">
        <f t="shared" si="0"/>
        <v>5303</v>
      </c>
      <c r="F53" s="39">
        <v>391152</v>
      </c>
      <c r="G53" s="30">
        <v>1.35573894547388E-2</v>
      </c>
      <c r="H53" s="36">
        <v>37.760512537325639</v>
      </c>
      <c r="I53" s="40">
        <v>38731</v>
      </c>
      <c r="M53" s="40">
        <v>22448</v>
      </c>
      <c r="N53" s="39">
        <v>6439</v>
      </c>
    </row>
    <row r="54" spans="1:14" x14ac:dyDescent="0.3">
      <c r="A54" s="38">
        <v>45537</v>
      </c>
      <c r="B54" s="36" t="s">
        <v>23</v>
      </c>
      <c r="C54" s="39">
        <v>6448</v>
      </c>
      <c r="D54" s="39">
        <v>928</v>
      </c>
      <c r="E54" s="39">
        <f t="shared" si="0"/>
        <v>5520</v>
      </c>
      <c r="F54" s="39">
        <v>396672</v>
      </c>
      <c r="G54" s="30">
        <v>1.3915779283639899E-2</v>
      </c>
      <c r="H54" s="36">
        <v>30.118586640851881</v>
      </c>
      <c r="I54" s="40">
        <v>53922</v>
      </c>
      <c r="M54" s="40">
        <v>22693</v>
      </c>
      <c r="N54" s="39">
        <v>7442</v>
      </c>
    </row>
    <row r="55" spans="1:14" x14ac:dyDescent="0.3">
      <c r="A55" s="38">
        <v>45537</v>
      </c>
      <c r="B55" s="36" t="s">
        <v>23</v>
      </c>
      <c r="C55" s="39">
        <v>2179</v>
      </c>
      <c r="D55" s="39">
        <v>303</v>
      </c>
      <c r="E55" s="39">
        <f t="shared" si="0"/>
        <v>1876</v>
      </c>
      <c r="F55" s="39">
        <v>398548</v>
      </c>
      <c r="G55" s="30">
        <v>4.7070867248110602E-3</v>
      </c>
      <c r="H55" s="36">
        <v>33.909842729106657</v>
      </c>
      <c r="I55" s="40">
        <v>54848</v>
      </c>
      <c r="M55" s="40">
        <v>23109</v>
      </c>
      <c r="N55" s="39">
        <v>3586</v>
      </c>
    </row>
    <row r="56" spans="1:14" x14ac:dyDescent="0.3">
      <c r="A56" s="38">
        <v>45537</v>
      </c>
      <c r="B56" s="36" t="s">
        <v>41</v>
      </c>
      <c r="C56" s="39">
        <v>7406</v>
      </c>
      <c r="D56" s="39">
        <v>813</v>
      </c>
      <c r="E56" s="39">
        <f t="shared" si="0"/>
        <v>6593</v>
      </c>
      <c r="F56" s="39">
        <v>405141</v>
      </c>
      <c r="G56" s="30">
        <v>1.62733468101229E-2</v>
      </c>
      <c r="H56" s="36">
        <v>24.457411123534769</v>
      </c>
      <c r="I56" s="40">
        <v>13390</v>
      </c>
      <c r="M56" s="40">
        <v>23428</v>
      </c>
      <c r="N56" s="39">
        <v>2084</v>
      </c>
    </row>
    <row r="57" spans="1:14" x14ac:dyDescent="0.3">
      <c r="A57" s="38">
        <v>45537</v>
      </c>
      <c r="B57" s="36" t="s">
        <v>19</v>
      </c>
      <c r="C57" s="39">
        <v>9591</v>
      </c>
      <c r="D57" s="39">
        <v>1363</v>
      </c>
      <c r="E57" s="39">
        <f t="shared" si="0"/>
        <v>8228</v>
      </c>
      <c r="F57" s="39">
        <v>413369</v>
      </c>
      <c r="G57" s="30">
        <v>1.9904734026983201E-2</v>
      </c>
      <c r="H57" s="36">
        <v>10.494255737609739</v>
      </c>
      <c r="I57" s="40">
        <v>15997</v>
      </c>
      <c r="M57" s="40">
        <v>23493</v>
      </c>
      <c r="N57" s="39">
        <v>7654</v>
      </c>
    </row>
    <row r="58" spans="1:14" x14ac:dyDescent="0.3">
      <c r="A58" s="38">
        <v>45544</v>
      </c>
      <c r="B58" s="36" t="s">
        <v>23</v>
      </c>
      <c r="C58" s="39">
        <v>7907</v>
      </c>
      <c r="D58" s="39">
        <v>465</v>
      </c>
      <c r="E58" s="39">
        <f t="shared" si="0"/>
        <v>7442</v>
      </c>
      <c r="F58" s="39">
        <v>420811</v>
      </c>
      <c r="G58" s="30">
        <v>1.76848989213685E-2</v>
      </c>
      <c r="H58" s="36">
        <v>33.257448118038738</v>
      </c>
      <c r="I58" s="40">
        <v>22693</v>
      </c>
      <c r="M58" s="40">
        <v>23944</v>
      </c>
      <c r="N58" s="39">
        <v>3777</v>
      </c>
    </row>
    <row r="59" spans="1:14" x14ac:dyDescent="0.3">
      <c r="A59" s="38">
        <v>45544</v>
      </c>
      <c r="B59" s="36" t="s">
        <v>14</v>
      </c>
      <c r="C59" s="39">
        <v>9800</v>
      </c>
      <c r="D59" s="39">
        <v>682</v>
      </c>
      <c r="E59" s="39">
        <f t="shared" si="0"/>
        <v>9118</v>
      </c>
      <c r="F59" s="39">
        <v>429929</v>
      </c>
      <c r="G59" s="30">
        <v>2.1208152974095701E-2</v>
      </c>
      <c r="H59" s="36">
        <v>6.2966210699906267</v>
      </c>
      <c r="I59" s="40">
        <v>59815</v>
      </c>
      <c r="M59" s="40">
        <v>23975</v>
      </c>
      <c r="N59" s="39">
        <v>7958</v>
      </c>
    </row>
    <row r="60" spans="1:14" x14ac:dyDescent="0.3">
      <c r="A60" s="38">
        <v>45544</v>
      </c>
      <c r="B60" s="36" t="s">
        <v>14</v>
      </c>
      <c r="C60" s="39">
        <v>2638</v>
      </c>
      <c r="D60" s="39">
        <v>143</v>
      </c>
      <c r="E60" s="39">
        <f t="shared" si="0"/>
        <v>2495</v>
      </c>
      <c r="F60" s="39">
        <v>432424</v>
      </c>
      <c r="G60" s="30">
        <v>5.76980001110022E-3</v>
      </c>
      <c r="H60" s="36">
        <v>6.9547481175882924</v>
      </c>
      <c r="I60" s="40">
        <v>52092</v>
      </c>
      <c r="M60" s="40">
        <v>24226</v>
      </c>
      <c r="N60" s="39">
        <v>8231</v>
      </c>
    </row>
    <row r="61" spans="1:14" x14ac:dyDescent="0.3">
      <c r="A61" s="38">
        <v>45544</v>
      </c>
      <c r="B61" s="36" t="s">
        <v>19</v>
      </c>
      <c r="C61" s="39">
        <v>6671</v>
      </c>
      <c r="D61" s="39">
        <v>550</v>
      </c>
      <c r="E61" s="39">
        <f t="shared" si="0"/>
        <v>6121</v>
      </c>
      <c r="F61" s="39">
        <v>438545</v>
      </c>
      <c r="G61" s="30">
        <v>1.3957518612685099E-2</v>
      </c>
      <c r="H61" s="36">
        <v>17.750287883797562</v>
      </c>
      <c r="I61" s="40">
        <v>10541</v>
      </c>
      <c r="M61" s="40">
        <v>24289</v>
      </c>
      <c r="N61" s="39">
        <v>6368</v>
      </c>
    </row>
    <row r="62" spans="1:14" x14ac:dyDescent="0.3">
      <c r="A62" s="38">
        <v>45551</v>
      </c>
      <c r="B62" s="36" t="s">
        <v>14</v>
      </c>
      <c r="C62" s="39">
        <v>7928</v>
      </c>
      <c r="D62" s="39">
        <v>704</v>
      </c>
      <c r="E62" s="39">
        <f t="shared" si="0"/>
        <v>7224</v>
      </c>
      <c r="F62" s="39">
        <v>445769</v>
      </c>
      <c r="G62" s="30">
        <v>1.6205702953772001E-2</v>
      </c>
      <c r="H62" s="36">
        <v>11.194362999670229</v>
      </c>
      <c r="I62" s="40">
        <v>31817</v>
      </c>
      <c r="M62" s="40">
        <v>24472</v>
      </c>
      <c r="N62" s="39">
        <v>4882</v>
      </c>
    </row>
    <row r="63" spans="1:14" x14ac:dyDescent="0.3">
      <c r="A63" s="38">
        <v>45551</v>
      </c>
      <c r="B63" s="36" t="s">
        <v>19</v>
      </c>
      <c r="C63" s="39">
        <v>2382</v>
      </c>
      <c r="D63" s="39">
        <v>183</v>
      </c>
      <c r="E63" s="39">
        <f t="shared" si="0"/>
        <v>2199</v>
      </c>
      <c r="F63" s="39">
        <v>447968</v>
      </c>
      <c r="G63" s="30">
        <v>4.9088327737695503E-3</v>
      </c>
      <c r="H63" s="36">
        <v>4.7335970426459033</v>
      </c>
      <c r="I63" s="40">
        <v>47861</v>
      </c>
      <c r="M63" s="40">
        <v>24537</v>
      </c>
      <c r="N63" s="39">
        <v>1826</v>
      </c>
    </row>
    <row r="64" spans="1:14" x14ac:dyDescent="0.3">
      <c r="A64" s="38">
        <v>45551</v>
      </c>
      <c r="B64" s="36" t="s">
        <v>14</v>
      </c>
      <c r="C64" s="39">
        <v>2403</v>
      </c>
      <c r="D64" s="39">
        <v>319</v>
      </c>
      <c r="E64" s="39">
        <f t="shared" si="0"/>
        <v>2084</v>
      </c>
      <c r="F64" s="39">
        <v>450052</v>
      </c>
      <c r="G64" s="30">
        <v>4.63057602232631E-3</v>
      </c>
      <c r="H64" s="36">
        <v>29.92120910472568</v>
      </c>
      <c r="I64" s="40">
        <v>23428</v>
      </c>
      <c r="M64" s="40">
        <v>25078</v>
      </c>
      <c r="N64" s="39">
        <v>7471</v>
      </c>
    </row>
    <row r="65" spans="1:14" x14ac:dyDescent="0.3">
      <c r="A65" s="38">
        <v>45551</v>
      </c>
      <c r="B65" s="36" t="s">
        <v>41</v>
      </c>
      <c r="C65" s="39">
        <v>4292</v>
      </c>
      <c r="D65" s="39">
        <v>367</v>
      </c>
      <c r="E65" s="39">
        <f t="shared" si="0"/>
        <v>3925</v>
      </c>
      <c r="F65" s="39">
        <v>453977</v>
      </c>
      <c r="G65" s="30">
        <v>8.6458124530537899E-3</v>
      </c>
      <c r="H65" s="36">
        <v>3.5037017293827661</v>
      </c>
      <c r="I65" s="40">
        <v>53934</v>
      </c>
      <c r="M65" s="40">
        <v>25261</v>
      </c>
      <c r="N65" s="39">
        <v>1020</v>
      </c>
    </row>
    <row r="66" spans="1:14" x14ac:dyDescent="0.3">
      <c r="A66" s="38">
        <v>45558</v>
      </c>
      <c r="B66" s="36" t="s">
        <v>23</v>
      </c>
      <c r="C66" s="39">
        <v>1419</v>
      </c>
      <c r="D66" s="39">
        <v>110</v>
      </c>
      <c r="E66" s="39">
        <f t="shared" si="0"/>
        <v>1309</v>
      </c>
      <c r="F66" s="39">
        <v>455286</v>
      </c>
      <c r="G66" s="30">
        <v>2.8751158612388699E-3</v>
      </c>
      <c r="H66" s="36">
        <v>31.554451487636339</v>
      </c>
      <c r="I66" s="40">
        <v>58831</v>
      </c>
      <c r="M66" s="40">
        <v>25379</v>
      </c>
      <c r="N66" s="39">
        <v>7215</v>
      </c>
    </row>
    <row r="67" spans="1:14" x14ac:dyDescent="0.3">
      <c r="A67" s="38">
        <v>45558</v>
      </c>
      <c r="B67" s="36" t="s">
        <v>41</v>
      </c>
      <c r="C67" s="39">
        <v>5517</v>
      </c>
      <c r="D67" s="39">
        <v>575</v>
      </c>
      <c r="E67" s="39">
        <f t="shared" ref="E67:E130" si="1">C67-D67</f>
        <v>4942</v>
      </c>
      <c r="F67" s="39">
        <v>460228</v>
      </c>
      <c r="G67" s="30">
        <v>1.07381558705685E-2</v>
      </c>
      <c r="H67" s="36">
        <v>29.45844233727631</v>
      </c>
      <c r="I67" s="40">
        <v>20258</v>
      </c>
      <c r="M67" s="40">
        <v>25379</v>
      </c>
      <c r="N67" s="39">
        <v>9082</v>
      </c>
    </row>
    <row r="68" spans="1:14" x14ac:dyDescent="0.3">
      <c r="A68" s="38">
        <v>45558</v>
      </c>
      <c r="B68" s="36" t="s">
        <v>23</v>
      </c>
      <c r="C68" s="39">
        <v>4302</v>
      </c>
      <c r="D68" s="39">
        <v>275</v>
      </c>
      <c r="E68" s="39">
        <f t="shared" si="1"/>
        <v>4027</v>
      </c>
      <c r="F68" s="39">
        <v>464255</v>
      </c>
      <c r="G68" s="30">
        <v>8.6741122874282404E-3</v>
      </c>
      <c r="H68" s="36">
        <v>15.72131694865968</v>
      </c>
      <c r="I68" s="40">
        <v>26044</v>
      </c>
      <c r="M68" s="40">
        <v>25892</v>
      </c>
      <c r="N68" s="39">
        <v>1567</v>
      </c>
    </row>
    <row r="69" spans="1:14" x14ac:dyDescent="0.3">
      <c r="A69" s="38">
        <v>45558</v>
      </c>
      <c r="B69" s="36" t="s">
        <v>23</v>
      </c>
      <c r="C69" s="39">
        <v>8857</v>
      </c>
      <c r="D69" s="39">
        <v>1153</v>
      </c>
      <c r="E69" s="39">
        <f t="shared" si="1"/>
        <v>7704</v>
      </c>
      <c r="F69" s="39">
        <v>471959</v>
      </c>
      <c r="G69" s="30">
        <v>1.6323451825264498E-2</v>
      </c>
      <c r="H69" s="36">
        <v>19.214592793018038</v>
      </c>
      <c r="I69" s="40">
        <v>39411</v>
      </c>
      <c r="M69" s="40">
        <v>26029</v>
      </c>
      <c r="N69" s="39">
        <v>1513</v>
      </c>
    </row>
    <row r="70" spans="1:14" x14ac:dyDescent="0.3">
      <c r="A70" s="38">
        <v>45565</v>
      </c>
      <c r="B70" s="36" t="s">
        <v>23</v>
      </c>
      <c r="C70" s="39">
        <v>8870</v>
      </c>
      <c r="D70" s="39">
        <v>509</v>
      </c>
      <c r="E70" s="39">
        <f t="shared" si="1"/>
        <v>8361</v>
      </c>
      <c r="F70" s="39">
        <v>480320</v>
      </c>
      <c r="G70" s="30">
        <v>1.7407145236508999E-2</v>
      </c>
      <c r="H70" s="36">
        <v>25.077864756828781</v>
      </c>
      <c r="I70" s="40">
        <v>15469</v>
      </c>
      <c r="M70" s="40">
        <v>26044</v>
      </c>
      <c r="N70" s="39">
        <v>4027</v>
      </c>
    </row>
    <row r="71" spans="1:14" x14ac:dyDescent="0.3">
      <c r="A71" s="38">
        <v>45565</v>
      </c>
      <c r="B71" s="36" t="s">
        <v>41</v>
      </c>
      <c r="C71" s="39">
        <v>6693</v>
      </c>
      <c r="D71" s="39">
        <v>995</v>
      </c>
      <c r="E71" s="39">
        <f t="shared" si="1"/>
        <v>5698</v>
      </c>
      <c r="F71" s="39">
        <v>486018</v>
      </c>
      <c r="G71" s="30">
        <v>1.1723845618886499E-2</v>
      </c>
      <c r="H71" s="36">
        <v>23.761877132122681</v>
      </c>
      <c r="I71" s="40">
        <v>38854</v>
      </c>
      <c r="M71" s="40">
        <v>26087</v>
      </c>
      <c r="N71" s="39">
        <v>2543</v>
      </c>
    </row>
    <row r="72" spans="1:14" x14ac:dyDescent="0.3">
      <c r="A72" s="38">
        <v>45565</v>
      </c>
      <c r="B72" s="36" t="s">
        <v>23</v>
      </c>
      <c r="C72" s="39">
        <v>1767</v>
      </c>
      <c r="D72" s="39">
        <v>224</v>
      </c>
      <c r="E72" s="39">
        <f t="shared" si="1"/>
        <v>1543</v>
      </c>
      <c r="F72" s="39">
        <v>487561</v>
      </c>
      <c r="G72" s="30">
        <v>3.1647322078673201E-3</v>
      </c>
      <c r="H72" s="36">
        <v>13.208603641390511</v>
      </c>
      <c r="I72" s="40">
        <v>16256</v>
      </c>
      <c r="M72" s="40">
        <v>26184</v>
      </c>
      <c r="N72" s="39">
        <v>7565</v>
      </c>
    </row>
    <row r="73" spans="1:14" x14ac:dyDescent="0.3">
      <c r="A73" s="38">
        <v>45565</v>
      </c>
      <c r="B73" s="36" t="s">
        <v>41</v>
      </c>
      <c r="C73" s="39">
        <v>3044</v>
      </c>
      <c r="D73" s="39">
        <v>212</v>
      </c>
      <c r="E73" s="39">
        <f t="shared" si="1"/>
        <v>2832</v>
      </c>
      <c r="F73" s="39">
        <v>490393</v>
      </c>
      <c r="G73" s="30">
        <v>5.7749600830354396E-3</v>
      </c>
      <c r="H73" s="36">
        <v>8.5343795690395261</v>
      </c>
      <c r="I73" s="40">
        <v>20720</v>
      </c>
      <c r="M73" s="40">
        <v>26370</v>
      </c>
      <c r="N73" s="39">
        <v>6275</v>
      </c>
    </row>
    <row r="74" spans="1:14" x14ac:dyDescent="0.3">
      <c r="A74" s="38">
        <v>45572</v>
      </c>
      <c r="B74" s="36" t="s">
        <v>19</v>
      </c>
      <c r="C74" s="39">
        <v>2549</v>
      </c>
      <c r="D74" s="39">
        <v>128</v>
      </c>
      <c r="E74" s="39">
        <f t="shared" si="1"/>
        <v>2421</v>
      </c>
      <c r="F74" s="39">
        <v>492814</v>
      </c>
      <c r="G74" s="30">
        <v>4.9126039438814597E-3</v>
      </c>
      <c r="H74" s="36">
        <v>12.734216154573531</v>
      </c>
      <c r="I74" s="40">
        <v>43937</v>
      </c>
      <c r="M74" s="40">
        <v>27015</v>
      </c>
      <c r="N74" s="39">
        <v>2081</v>
      </c>
    </row>
    <row r="75" spans="1:14" x14ac:dyDescent="0.3">
      <c r="A75" s="38">
        <v>45572</v>
      </c>
      <c r="B75" s="36" t="s">
        <v>14</v>
      </c>
      <c r="C75" s="39">
        <v>7140</v>
      </c>
      <c r="D75" s="39">
        <v>939</v>
      </c>
      <c r="E75" s="39">
        <f t="shared" si="1"/>
        <v>6201</v>
      </c>
      <c r="F75" s="39">
        <v>499015</v>
      </c>
      <c r="G75" s="30">
        <v>1.2426480165926901E-2</v>
      </c>
      <c r="H75" s="36">
        <v>25.120888149654821</v>
      </c>
      <c r="I75" s="40">
        <v>43598</v>
      </c>
      <c r="M75" s="40">
        <v>27069</v>
      </c>
      <c r="N75" s="39">
        <v>7260</v>
      </c>
    </row>
    <row r="76" spans="1:14" x14ac:dyDescent="0.3">
      <c r="A76" s="38">
        <v>45572</v>
      </c>
      <c r="B76" s="36" t="s">
        <v>14</v>
      </c>
      <c r="C76" s="39">
        <v>4716</v>
      </c>
      <c r="D76" s="39">
        <v>569</v>
      </c>
      <c r="E76" s="39">
        <f t="shared" si="1"/>
        <v>4147</v>
      </c>
      <c r="F76" s="39">
        <v>503162</v>
      </c>
      <c r="G76" s="30">
        <v>8.2418783612434997E-3</v>
      </c>
      <c r="H76" s="36">
        <v>25.64820077827817</v>
      </c>
      <c r="I76" s="40">
        <v>11651</v>
      </c>
      <c r="M76" s="40">
        <v>27073</v>
      </c>
      <c r="N76" s="39">
        <v>6434</v>
      </c>
    </row>
    <row r="77" spans="1:14" x14ac:dyDescent="0.3">
      <c r="A77" s="38">
        <v>45572</v>
      </c>
      <c r="B77" s="36" t="s">
        <v>23</v>
      </c>
      <c r="C77" s="39">
        <v>5481</v>
      </c>
      <c r="D77" s="39">
        <v>673</v>
      </c>
      <c r="E77" s="39">
        <f t="shared" si="1"/>
        <v>4808</v>
      </c>
      <c r="F77" s="39">
        <v>507970</v>
      </c>
      <c r="G77" s="30">
        <v>9.4651258932614106E-3</v>
      </c>
      <c r="H77" s="36">
        <v>13.08758391243577</v>
      </c>
      <c r="I77" s="40">
        <v>29194</v>
      </c>
      <c r="M77" s="40">
        <v>27081</v>
      </c>
      <c r="N77" s="39">
        <v>5678</v>
      </c>
    </row>
    <row r="78" spans="1:14" x14ac:dyDescent="0.3">
      <c r="A78" s="38">
        <v>45579</v>
      </c>
      <c r="B78" s="36" t="s">
        <v>41</v>
      </c>
      <c r="C78" s="39">
        <v>8898</v>
      </c>
      <c r="D78" s="39">
        <v>1131</v>
      </c>
      <c r="E78" s="39">
        <f t="shared" si="1"/>
        <v>7767</v>
      </c>
      <c r="F78" s="39">
        <v>515737</v>
      </c>
      <c r="G78" s="30">
        <v>1.50600015123988E-2</v>
      </c>
      <c r="H78" s="36">
        <v>2.1877429775253669</v>
      </c>
      <c r="I78" s="40">
        <v>35051</v>
      </c>
      <c r="M78" s="40">
        <v>27833</v>
      </c>
      <c r="N78" s="39">
        <v>3592</v>
      </c>
    </row>
    <row r="79" spans="1:14" x14ac:dyDescent="0.3">
      <c r="A79" s="38">
        <v>45579</v>
      </c>
      <c r="B79" s="36" t="s">
        <v>14</v>
      </c>
      <c r="C79" s="39">
        <v>7548</v>
      </c>
      <c r="D79" s="39">
        <v>433</v>
      </c>
      <c r="E79" s="39">
        <f t="shared" si="1"/>
        <v>7115</v>
      </c>
      <c r="F79" s="39">
        <v>522852</v>
      </c>
      <c r="G79" s="30">
        <v>1.36080573470122E-2</v>
      </c>
      <c r="H79" s="36">
        <v>8.3562843787534522</v>
      </c>
      <c r="I79" s="40">
        <v>37386</v>
      </c>
      <c r="M79" s="40">
        <v>28284</v>
      </c>
      <c r="N79" s="39">
        <v>3461</v>
      </c>
    </row>
    <row r="80" spans="1:14" x14ac:dyDescent="0.3">
      <c r="A80" s="38">
        <v>45579</v>
      </c>
      <c r="B80" s="36" t="s">
        <v>41</v>
      </c>
      <c r="C80" s="39">
        <v>3293</v>
      </c>
      <c r="D80" s="39">
        <v>282</v>
      </c>
      <c r="E80" s="39">
        <f t="shared" si="1"/>
        <v>3011</v>
      </c>
      <c r="F80" s="39">
        <v>525863</v>
      </c>
      <c r="G80" s="30">
        <v>5.7258259280459E-3</v>
      </c>
      <c r="H80" s="36">
        <v>27.040693108281051</v>
      </c>
      <c r="I80" s="40">
        <v>19518</v>
      </c>
      <c r="M80" s="40">
        <v>28313</v>
      </c>
      <c r="N80" s="39">
        <v>5442</v>
      </c>
    </row>
    <row r="81" spans="1:14" x14ac:dyDescent="0.3">
      <c r="A81" s="38">
        <v>45579</v>
      </c>
      <c r="B81" s="36" t="s">
        <v>41</v>
      </c>
      <c r="C81" s="39">
        <v>5837</v>
      </c>
      <c r="D81" s="39">
        <v>359</v>
      </c>
      <c r="E81" s="39">
        <f t="shared" si="1"/>
        <v>5478</v>
      </c>
      <c r="F81" s="39">
        <v>531341</v>
      </c>
      <c r="G81" s="30">
        <v>1.03097634099383E-2</v>
      </c>
      <c r="H81" s="36">
        <v>6.8073045370110723</v>
      </c>
      <c r="I81" s="40">
        <v>56026</v>
      </c>
      <c r="M81" s="40">
        <v>28394</v>
      </c>
      <c r="N81" s="39">
        <v>3056</v>
      </c>
    </row>
    <row r="82" spans="1:14" x14ac:dyDescent="0.3">
      <c r="A82" s="38">
        <v>45586</v>
      </c>
      <c r="B82" s="36" t="s">
        <v>23</v>
      </c>
      <c r="C82" s="39">
        <v>8758</v>
      </c>
      <c r="D82" s="39">
        <v>1193</v>
      </c>
      <c r="E82" s="39">
        <f t="shared" si="1"/>
        <v>7565</v>
      </c>
      <c r="F82" s="39">
        <v>538906</v>
      </c>
      <c r="G82" s="30">
        <v>1.40376985967868E-2</v>
      </c>
      <c r="H82" s="36">
        <v>3.4213758985797149</v>
      </c>
      <c r="I82" s="40">
        <v>26184</v>
      </c>
      <c r="M82" s="40">
        <v>28509</v>
      </c>
      <c r="N82" s="39">
        <v>1017</v>
      </c>
    </row>
    <row r="83" spans="1:14" x14ac:dyDescent="0.3">
      <c r="A83" s="38">
        <v>45586</v>
      </c>
      <c r="B83" s="36" t="s">
        <v>14</v>
      </c>
      <c r="C83" s="39">
        <v>7793</v>
      </c>
      <c r="D83" s="39">
        <v>875</v>
      </c>
      <c r="E83" s="39">
        <f t="shared" si="1"/>
        <v>6918</v>
      </c>
      <c r="F83" s="39">
        <v>545824</v>
      </c>
      <c r="G83" s="30">
        <v>1.26744151961072E-2</v>
      </c>
      <c r="H83" s="36">
        <v>5.5136820660139527</v>
      </c>
      <c r="I83" s="40">
        <v>43787</v>
      </c>
      <c r="M83" s="40">
        <v>28681</v>
      </c>
      <c r="N83" s="39">
        <v>6272</v>
      </c>
    </row>
    <row r="84" spans="1:14" x14ac:dyDescent="0.3">
      <c r="A84" s="38">
        <v>45586</v>
      </c>
      <c r="B84" s="36" t="s">
        <v>23</v>
      </c>
      <c r="C84" s="39">
        <v>8638</v>
      </c>
      <c r="D84" s="39">
        <v>717</v>
      </c>
      <c r="E84" s="39">
        <f t="shared" si="1"/>
        <v>7921</v>
      </c>
      <c r="F84" s="39">
        <v>553745</v>
      </c>
      <c r="G84" s="30">
        <v>1.4304418098583301E-2</v>
      </c>
      <c r="H84" s="36">
        <v>26.921416897669499</v>
      </c>
      <c r="I84" s="40">
        <v>31621</v>
      </c>
      <c r="M84" s="40">
        <v>28745</v>
      </c>
      <c r="N84" s="39">
        <v>2805</v>
      </c>
    </row>
    <row r="85" spans="1:14" x14ac:dyDescent="0.3">
      <c r="A85" s="38">
        <v>45586</v>
      </c>
      <c r="B85" s="36" t="s">
        <v>23</v>
      </c>
      <c r="C85" s="39">
        <v>8993</v>
      </c>
      <c r="D85" s="39">
        <v>506</v>
      </c>
      <c r="E85" s="39">
        <f t="shared" si="1"/>
        <v>8487</v>
      </c>
      <c r="F85" s="39">
        <v>562232</v>
      </c>
      <c r="G85" s="30">
        <v>1.5095192020375899E-2</v>
      </c>
      <c r="H85" s="36">
        <v>3.5131404829323132</v>
      </c>
      <c r="I85" s="40">
        <v>20028</v>
      </c>
      <c r="M85" s="40">
        <v>28994</v>
      </c>
      <c r="N85" s="39">
        <v>4790</v>
      </c>
    </row>
    <row r="86" spans="1:14" x14ac:dyDescent="0.3">
      <c r="A86" s="38">
        <v>45593</v>
      </c>
      <c r="B86" s="36" t="s">
        <v>14</v>
      </c>
      <c r="C86" s="39">
        <v>7007</v>
      </c>
      <c r="D86" s="39">
        <v>568</v>
      </c>
      <c r="E86" s="39">
        <f t="shared" si="1"/>
        <v>6439</v>
      </c>
      <c r="F86" s="39">
        <v>568671</v>
      </c>
      <c r="G86" s="30">
        <v>1.13228914433829E-2</v>
      </c>
      <c r="H86" s="36">
        <v>11.50507059442103</v>
      </c>
      <c r="I86" s="40">
        <v>22448</v>
      </c>
      <c r="M86" s="40">
        <v>29194</v>
      </c>
      <c r="N86" s="39">
        <v>4808</v>
      </c>
    </row>
    <row r="87" spans="1:14" x14ac:dyDescent="0.3">
      <c r="A87" s="38">
        <v>45593</v>
      </c>
      <c r="B87" s="36" t="s">
        <v>14</v>
      </c>
      <c r="C87" s="39">
        <v>6542</v>
      </c>
      <c r="D87" s="39">
        <v>539</v>
      </c>
      <c r="E87" s="39">
        <f t="shared" si="1"/>
        <v>6003</v>
      </c>
      <c r="F87" s="39">
        <v>574674</v>
      </c>
      <c r="G87" s="30">
        <v>1.04459223838211E-2</v>
      </c>
      <c r="H87" s="36">
        <v>6.4069368024305948</v>
      </c>
      <c r="I87" s="40">
        <v>55253</v>
      </c>
      <c r="M87" s="40">
        <v>29675</v>
      </c>
      <c r="N87" s="39">
        <v>6631</v>
      </c>
    </row>
    <row r="88" spans="1:14" x14ac:dyDescent="0.3">
      <c r="A88" s="38">
        <v>45593</v>
      </c>
      <c r="B88" s="36" t="s">
        <v>19</v>
      </c>
      <c r="C88" s="39">
        <v>7356</v>
      </c>
      <c r="D88" s="39">
        <v>904</v>
      </c>
      <c r="E88" s="39">
        <f t="shared" si="1"/>
        <v>6452</v>
      </c>
      <c r="F88" s="39">
        <v>581126</v>
      </c>
      <c r="G88" s="30">
        <v>1.1102583604932501E-2</v>
      </c>
      <c r="H88" s="36">
        <v>17.560907617280929</v>
      </c>
      <c r="I88" s="40">
        <v>44051</v>
      </c>
      <c r="M88" s="40">
        <v>29715</v>
      </c>
      <c r="N88" s="39">
        <v>8601</v>
      </c>
    </row>
    <row r="89" spans="1:14" x14ac:dyDescent="0.3">
      <c r="A89" s="38">
        <v>45593</v>
      </c>
      <c r="B89" s="36" t="s">
        <v>19</v>
      </c>
      <c r="C89" s="39">
        <v>9433</v>
      </c>
      <c r="D89" s="39">
        <v>1073</v>
      </c>
      <c r="E89" s="39">
        <f t="shared" si="1"/>
        <v>8360</v>
      </c>
      <c r="F89" s="39">
        <v>589486</v>
      </c>
      <c r="G89" s="30">
        <v>1.4181846557848699E-2</v>
      </c>
      <c r="H89" s="36">
        <v>7.2934726185185053</v>
      </c>
      <c r="I89" s="40">
        <v>59811</v>
      </c>
      <c r="M89" s="40">
        <v>29873</v>
      </c>
      <c r="N89" s="39">
        <v>7432</v>
      </c>
    </row>
    <row r="90" spans="1:14" x14ac:dyDescent="0.3">
      <c r="A90" s="38">
        <v>45600</v>
      </c>
      <c r="B90" s="36" t="s">
        <v>41</v>
      </c>
      <c r="C90" s="39">
        <v>8380</v>
      </c>
      <c r="D90" s="39">
        <v>1162</v>
      </c>
      <c r="E90" s="39">
        <f t="shared" si="1"/>
        <v>7218</v>
      </c>
      <c r="F90" s="39">
        <v>596704</v>
      </c>
      <c r="G90" s="30">
        <v>1.2096449831072E-2</v>
      </c>
      <c r="H90" s="36">
        <v>18.05853488496809</v>
      </c>
      <c r="I90" s="40">
        <v>40447</v>
      </c>
      <c r="M90" s="40">
        <v>30644</v>
      </c>
      <c r="N90" s="39">
        <v>7959</v>
      </c>
    </row>
    <row r="91" spans="1:14" x14ac:dyDescent="0.3">
      <c r="A91" s="38">
        <v>45600</v>
      </c>
      <c r="B91" s="36" t="s">
        <v>14</v>
      </c>
      <c r="C91" s="39">
        <v>3385</v>
      </c>
      <c r="D91" s="39">
        <v>329</v>
      </c>
      <c r="E91" s="39">
        <f t="shared" si="1"/>
        <v>3056</v>
      </c>
      <c r="F91" s="39">
        <v>599760</v>
      </c>
      <c r="G91" s="30">
        <v>5.0953714819261002E-3</v>
      </c>
      <c r="H91" s="36">
        <v>17.61788048552755</v>
      </c>
      <c r="I91" s="40">
        <v>28394</v>
      </c>
      <c r="M91" s="40">
        <v>31621</v>
      </c>
      <c r="N91" s="39">
        <v>7921</v>
      </c>
    </row>
    <row r="92" spans="1:14" x14ac:dyDescent="0.3">
      <c r="A92" s="38">
        <v>45600</v>
      </c>
      <c r="B92" s="36" t="s">
        <v>19</v>
      </c>
      <c r="C92" s="39">
        <v>5268</v>
      </c>
      <c r="D92" s="39">
        <v>326</v>
      </c>
      <c r="E92" s="39">
        <f t="shared" si="1"/>
        <v>4942</v>
      </c>
      <c r="F92" s="39">
        <v>604702</v>
      </c>
      <c r="G92" s="30">
        <v>8.17262056351724E-3</v>
      </c>
      <c r="H92" s="36">
        <v>23.435841125050029</v>
      </c>
      <c r="I92" s="40">
        <v>44501</v>
      </c>
      <c r="M92" s="40">
        <v>31817</v>
      </c>
      <c r="N92" s="39">
        <v>7224</v>
      </c>
    </row>
    <row r="93" spans="1:14" x14ac:dyDescent="0.3">
      <c r="A93" s="38">
        <v>45600</v>
      </c>
      <c r="B93" s="36" t="s">
        <v>41</v>
      </c>
      <c r="C93" s="39">
        <v>1671</v>
      </c>
      <c r="D93" s="39">
        <v>202</v>
      </c>
      <c r="E93" s="39">
        <f t="shared" si="1"/>
        <v>1469</v>
      </c>
      <c r="F93" s="39">
        <v>606171</v>
      </c>
      <c r="G93" s="30">
        <v>2.42340857612786E-3</v>
      </c>
      <c r="H93" s="36">
        <v>15.150015424690389</v>
      </c>
      <c r="I93" s="40">
        <v>40254</v>
      </c>
      <c r="M93" s="40">
        <v>32436</v>
      </c>
      <c r="N93" s="39">
        <v>6174</v>
      </c>
    </row>
    <row r="94" spans="1:14" x14ac:dyDescent="0.3">
      <c r="A94" s="38">
        <v>45607</v>
      </c>
      <c r="B94" s="36" t="s">
        <v>41</v>
      </c>
      <c r="C94" s="39">
        <v>1163</v>
      </c>
      <c r="D94" s="39">
        <v>146</v>
      </c>
      <c r="E94" s="39">
        <f t="shared" si="1"/>
        <v>1017</v>
      </c>
      <c r="F94" s="39">
        <v>607188</v>
      </c>
      <c r="G94" s="30">
        <v>1.6749342872388799E-3</v>
      </c>
      <c r="H94" s="36">
        <v>21.77776899411715</v>
      </c>
      <c r="I94" s="40">
        <v>28509</v>
      </c>
      <c r="M94" s="40">
        <v>32669</v>
      </c>
      <c r="N94" s="39">
        <v>5210</v>
      </c>
    </row>
    <row r="95" spans="1:14" x14ac:dyDescent="0.3">
      <c r="A95" s="38">
        <v>45607</v>
      </c>
      <c r="B95" s="36" t="s">
        <v>41</v>
      </c>
      <c r="C95" s="39">
        <v>9656</v>
      </c>
      <c r="D95" s="39">
        <v>1024</v>
      </c>
      <c r="E95" s="39">
        <f t="shared" si="1"/>
        <v>8632</v>
      </c>
      <c r="F95" s="39">
        <v>615820</v>
      </c>
      <c r="G95" s="30">
        <v>1.40170829138385E-2</v>
      </c>
      <c r="H95" s="36">
        <v>8.7252768666168681</v>
      </c>
      <c r="I95" s="40">
        <v>58998</v>
      </c>
      <c r="M95" s="40">
        <v>33225</v>
      </c>
      <c r="N95" s="39">
        <v>5795</v>
      </c>
    </row>
    <row r="96" spans="1:14" x14ac:dyDescent="0.3">
      <c r="A96" s="38">
        <v>45607</v>
      </c>
      <c r="B96" s="36" t="s">
        <v>19</v>
      </c>
      <c r="C96" s="39">
        <v>5592</v>
      </c>
      <c r="D96" s="39">
        <v>710</v>
      </c>
      <c r="E96" s="39">
        <f t="shared" si="1"/>
        <v>4882</v>
      </c>
      <c r="F96" s="39">
        <v>620702</v>
      </c>
      <c r="G96" s="30">
        <v>7.86528801260508E-3</v>
      </c>
      <c r="H96" s="36">
        <v>9.07118069540617</v>
      </c>
      <c r="I96" s="40">
        <v>24472</v>
      </c>
      <c r="M96" s="40">
        <v>33252</v>
      </c>
      <c r="N96" s="39">
        <v>2525</v>
      </c>
    </row>
    <row r="97" spans="1:14" x14ac:dyDescent="0.3">
      <c r="A97" s="38">
        <v>45607</v>
      </c>
      <c r="B97" s="36" t="s">
        <v>14</v>
      </c>
      <c r="C97" s="39">
        <v>5795</v>
      </c>
      <c r="D97" s="39">
        <v>575</v>
      </c>
      <c r="E97" s="39">
        <f t="shared" si="1"/>
        <v>5220</v>
      </c>
      <c r="F97" s="39">
        <v>625922</v>
      </c>
      <c r="G97" s="30">
        <v>8.3396972785746391E-3</v>
      </c>
      <c r="H97" s="36">
        <v>3.0908004511744269</v>
      </c>
      <c r="I97" s="40">
        <v>55657</v>
      </c>
      <c r="M97" s="40">
        <v>33284</v>
      </c>
      <c r="N97" s="39">
        <v>949</v>
      </c>
    </row>
    <row r="98" spans="1:14" x14ac:dyDescent="0.3">
      <c r="A98" s="38">
        <v>45614</v>
      </c>
      <c r="B98" s="36" t="s">
        <v>23</v>
      </c>
      <c r="C98" s="39">
        <v>5798</v>
      </c>
      <c r="D98" s="39">
        <v>592</v>
      </c>
      <c r="E98" s="39">
        <f t="shared" si="1"/>
        <v>5206</v>
      </c>
      <c r="F98" s="39">
        <v>631128</v>
      </c>
      <c r="G98" s="30">
        <v>8.2487229214992797E-3</v>
      </c>
      <c r="H98" s="36">
        <v>1.6774727155188811</v>
      </c>
      <c r="I98" s="40">
        <v>13471</v>
      </c>
      <c r="M98" s="40">
        <v>33705</v>
      </c>
      <c r="N98" s="39">
        <v>7151</v>
      </c>
    </row>
    <row r="99" spans="1:14" x14ac:dyDescent="0.3">
      <c r="A99" s="38">
        <v>45614</v>
      </c>
      <c r="B99" s="36" t="s">
        <v>41</v>
      </c>
      <c r="C99" s="39">
        <v>7036</v>
      </c>
      <c r="D99" s="39">
        <v>652</v>
      </c>
      <c r="E99" s="39">
        <f t="shared" si="1"/>
        <v>6384</v>
      </c>
      <c r="F99" s="39">
        <v>637512</v>
      </c>
      <c r="G99" s="30">
        <v>1.00139291495689E-2</v>
      </c>
      <c r="H99" s="36">
        <v>3.5705994553828009</v>
      </c>
      <c r="I99" s="40">
        <v>51796</v>
      </c>
      <c r="M99" s="40">
        <v>33762</v>
      </c>
      <c r="N99" s="39">
        <v>6728</v>
      </c>
    </row>
    <row r="100" spans="1:14" x14ac:dyDescent="0.3">
      <c r="A100" s="38">
        <v>45614</v>
      </c>
      <c r="B100" s="36" t="s">
        <v>19</v>
      </c>
      <c r="C100" s="39">
        <v>3355</v>
      </c>
      <c r="D100" s="39">
        <v>176</v>
      </c>
      <c r="E100" s="39">
        <f t="shared" si="1"/>
        <v>3179</v>
      </c>
      <c r="F100" s="39">
        <v>640691</v>
      </c>
      <c r="G100" s="30">
        <v>4.96183027387618E-3</v>
      </c>
      <c r="H100" s="36">
        <v>12.426427091999111</v>
      </c>
      <c r="I100" s="40">
        <v>40268</v>
      </c>
      <c r="M100" s="40">
        <v>33928</v>
      </c>
      <c r="N100" s="39">
        <v>7871</v>
      </c>
    </row>
    <row r="101" spans="1:14" x14ac:dyDescent="0.3">
      <c r="A101" s="38">
        <v>45614</v>
      </c>
      <c r="B101" s="36" t="s">
        <v>19</v>
      </c>
      <c r="C101" s="39">
        <v>6887</v>
      </c>
      <c r="D101" s="39">
        <v>418</v>
      </c>
      <c r="E101" s="39">
        <f t="shared" si="1"/>
        <v>6469</v>
      </c>
      <c r="F101" s="39">
        <v>647160</v>
      </c>
      <c r="G101" s="30">
        <v>9.9959824463811096E-3</v>
      </c>
      <c r="H101" s="36">
        <v>20.240280610668151</v>
      </c>
      <c r="I101" s="40">
        <v>18329</v>
      </c>
      <c r="M101" s="40">
        <v>34286</v>
      </c>
      <c r="N101" s="39">
        <v>3435</v>
      </c>
    </row>
    <row r="102" spans="1:14" x14ac:dyDescent="0.3">
      <c r="A102" s="38">
        <v>45621</v>
      </c>
      <c r="B102" s="36" t="s">
        <v>23</v>
      </c>
      <c r="C102" s="39">
        <v>8961</v>
      </c>
      <c r="D102" s="39">
        <v>476</v>
      </c>
      <c r="E102" s="39">
        <f t="shared" si="1"/>
        <v>8485</v>
      </c>
      <c r="F102" s="39">
        <v>655645</v>
      </c>
      <c r="G102" s="30">
        <v>1.29414545981438E-2</v>
      </c>
      <c r="H102" s="36">
        <v>15.458517947974901</v>
      </c>
      <c r="I102" s="40">
        <v>44865</v>
      </c>
      <c r="M102" s="40">
        <v>34570</v>
      </c>
      <c r="N102" s="39">
        <v>6642</v>
      </c>
    </row>
    <row r="103" spans="1:14" x14ac:dyDescent="0.3">
      <c r="A103" s="38">
        <v>45621</v>
      </c>
      <c r="B103" s="36" t="s">
        <v>23</v>
      </c>
      <c r="C103" s="39">
        <v>6827</v>
      </c>
      <c r="D103" s="39">
        <v>775</v>
      </c>
      <c r="E103" s="39">
        <f t="shared" si="1"/>
        <v>6052</v>
      </c>
      <c r="F103" s="39">
        <v>661697</v>
      </c>
      <c r="G103" s="30">
        <v>9.1461802003031598E-3</v>
      </c>
      <c r="H103" s="36">
        <v>15.96622018839439</v>
      </c>
      <c r="I103" s="40">
        <v>56850</v>
      </c>
      <c r="M103" s="40">
        <v>35051</v>
      </c>
      <c r="N103" s="39">
        <v>7767</v>
      </c>
    </row>
    <row r="104" spans="1:14" x14ac:dyDescent="0.3">
      <c r="A104" s="38">
        <v>45621</v>
      </c>
      <c r="B104" s="36" t="s">
        <v>19</v>
      </c>
      <c r="C104" s="39">
        <v>9737</v>
      </c>
      <c r="D104" s="39">
        <v>792</v>
      </c>
      <c r="E104" s="39">
        <f t="shared" si="1"/>
        <v>8945</v>
      </c>
      <c r="F104" s="39">
        <v>670642</v>
      </c>
      <c r="G104" s="30">
        <v>1.33379657104685E-2</v>
      </c>
      <c r="H104" s="36">
        <v>5.301785453341723</v>
      </c>
      <c r="I104" s="40">
        <v>56698</v>
      </c>
      <c r="M104" s="40">
        <v>35122</v>
      </c>
      <c r="N104" s="39">
        <v>1210</v>
      </c>
    </row>
    <row r="105" spans="1:14" x14ac:dyDescent="0.3">
      <c r="A105" s="38">
        <v>45621</v>
      </c>
      <c r="B105" s="36" t="s">
        <v>14</v>
      </c>
      <c r="C105" s="39">
        <v>5719</v>
      </c>
      <c r="D105" s="39">
        <v>576</v>
      </c>
      <c r="E105" s="39">
        <f t="shared" si="1"/>
        <v>5143</v>
      </c>
      <c r="F105" s="39">
        <v>675785</v>
      </c>
      <c r="G105" s="30">
        <v>7.6104086358827197E-3</v>
      </c>
      <c r="H105" s="36">
        <v>10.21656296011305</v>
      </c>
      <c r="I105" s="40">
        <v>38272</v>
      </c>
      <c r="M105" s="40">
        <v>35279</v>
      </c>
      <c r="N105" s="39">
        <v>8377</v>
      </c>
    </row>
    <row r="106" spans="1:14" x14ac:dyDescent="0.3">
      <c r="A106" s="38">
        <v>45628</v>
      </c>
      <c r="B106" s="36" t="s">
        <v>23</v>
      </c>
      <c r="C106" s="39">
        <v>1593</v>
      </c>
      <c r="D106" s="39">
        <v>224</v>
      </c>
      <c r="E106" s="39">
        <f t="shared" si="1"/>
        <v>1369</v>
      </c>
      <c r="F106" s="39">
        <v>677154</v>
      </c>
      <c r="G106" s="30">
        <v>2.0216966893793699E-3</v>
      </c>
      <c r="H106" s="36">
        <v>4.1495730660972248</v>
      </c>
      <c r="I106" s="40">
        <v>52845</v>
      </c>
      <c r="M106" s="40">
        <v>36201</v>
      </c>
      <c r="N106" s="39">
        <v>7668</v>
      </c>
    </row>
    <row r="107" spans="1:14" x14ac:dyDescent="0.3">
      <c r="A107" s="38">
        <v>45628</v>
      </c>
      <c r="B107" s="36" t="s">
        <v>19</v>
      </c>
      <c r="C107" s="39">
        <v>5839</v>
      </c>
      <c r="D107" s="39">
        <v>437</v>
      </c>
      <c r="E107" s="39">
        <f t="shared" si="1"/>
        <v>5402</v>
      </c>
      <c r="F107" s="39">
        <v>682556</v>
      </c>
      <c r="G107" s="30">
        <v>7.9143689309009099E-3</v>
      </c>
      <c r="H107" s="36">
        <v>17.44750613869045</v>
      </c>
      <c r="I107" s="40">
        <v>16397</v>
      </c>
      <c r="M107" s="40">
        <v>36661</v>
      </c>
      <c r="N107" s="39">
        <v>1381</v>
      </c>
    </row>
    <row r="108" spans="1:14" x14ac:dyDescent="0.3">
      <c r="A108" s="38">
        <v>45628</v>
      </c>
      <c r="B108" s="36" t="s">
        <v>23</v>
      </c>
      <c r="C108" s="39">
        <v>8394</v>
      </c>
      <c r="D108" s="39">
        <v>764</v>
      </c>
      <c r="E108" s="39">
        <f t="shared" si="1"/>
        <v>7630</v>
      </c>
      <c r="F108" s="39">
        <v>690186</v>
      </c>
      <c r="G108" s="30">
        <v>1.10549909734477E-2</v>
      </c>
      <c r="H108" s="36">
        <v>6.3556780346167558</v>
      </c>
      <c r="I108" s="40">
        <v>42373</v>
      </c>
      <c r="M108" s="40">
        <v>37037</v>
      </c>
      <c r="N108" s="39">
        <v>5439</v>
      </c>
    </row>
    <row r="109" spans="1:14" x14ac:dyDescent="0.3">
      <c r="A109" s="38">
        <v>45628</v>
      </c>
      <c r="B109" s="36" t="s">
        <v>14</v>
      </c>
      <c r="C109" s="39">
        <v>4493</v>
      </c>
      <c r="D109" s="39">
        <v>564</v>
      </c>
      <c r="E109" s="39">
        <f t="shared" si="1"/>
        <v>3929</v>
      </c>
      <c r="F109" s="39">
        <v>694115</v>
      </c>
      <c r="G109" s="30">
        <v>5.6604453152575597E-3</v>
      </c>
      <c r="H109" s="36">
        <v>16.625487131094989</v>
      </c>
      <c r="I109" s="40">
        <v>45525</v>
      </c>
      <c r="M109" s="40">
        <v>37386</v>
      </c>
      <c r="N109" s="39">
        <v>7115</v>
      </c>
    </row>
    <row r="110" spans="1:14" x14ac:dyDescent="0.3">
      <c r="A110" s="38">
        <v>45635</v>
      </c>
      <c r="B110" s="36" t="s">
        <v>41</v>
      </c>
      <c r="C110" s="39">
        <v>7164</v>
      </c>
      <c r="D110" s="39">
        <v>522</v>
      </c>
      <c r="E110" s="39">
        <f t="shared" si="1"/>
        <v>6642</v>
      </c>
      <c r="F110" s="39">
        <v>700757</v>
      </c>
      <c r="G110" s="30">
        <v>9.4783213011072308E-3</v>
      </c>
      <c r="H110" s="36">
        <v>13.449169969047761</v>
      </c>
      <c r="I110" s="40">
        <v>34570</v>
      </c>
      <c r="M110" s="40">
        <v>37523</v>
      </c>
      <c r="N110" s="39">
        <v>7005</v>
      </c>
    </row>
    <row r="111" spans="1:14" x14ac:dyDescent="0.3">
      <c r="A111" s="38">
        <v>45635</v>
      </c>
      <c r="B111" s="36" t="s">
        <v>23</v>
      </c>
      <c r="C111" s="39">
        <v>3672</v>
      </c>
      <c r="D111" s="39">
        <v>211</v>
      </c>
      <c r="E111" s="39">
        <f t="shared" si="1"/>
        <v>3461</v>
      </c>
      <c r="F111" s="39">
        <v>704218</v>
      </c>
      <c r="G111" s="30">
        <v>4.9146713091684701E-3</v>
      </c>
      <c r="H111" s="36">
        <v>12.35057894004413</v>
      </c>
      <c r="I111" s="40">
        <v>28284</v>
      </c>
      <c r="M111" s="40">
        <v>37766</v>
      </c>
      <c r="N111" s="39">
        <v>1741</v>
      </c>
    </row>
    <row r="112" spans="1:14" x14ac:dyDescent="0.3">
      <c r="A112" s="38">
        <v>45635</v>
      </c>
      <c r="B112" s="36" t="s">
        <v>14</v>
      </c>
      <c r="C112" s="39">
        <v>5200</v>
      </c>
      <c r="D112" s="39">
        <v>410</v>
      </c>
      <c r="E112" s="39">
        <f t="shared" si="1"/>
        <v>4790</v>
      </c>
      <c r="F112" s="39">
        <v>709008</v>
      </c>
      <c r="G112" s="30">
        <v>6.7559181278631598E-3</v>
      </c>
      <c r="H112" s="36">
        <v>12.913394489201821</v>
      </c>
      <c r="I112" s="40">
        <v>28994</v>
      </c>
      <c r="M112" s="40">
        <v>38047</v>
      </c>
      <c r="N112" s="39">
        <v>8723</v>
      </c>
    </row>
    <row r="113" spans="1:14" x14ac:dyDescent="0.3">
      <c r="A113" s="38">
        <v>45635</v>
      </c>
      <c r="B113" s="36" t="s">
        <v>19</v>
      </c>
      <c r="C113" s="39">
        <v>1016</v>
      </c>
      <c r="D113" s="39">
        <v>67</v>
      </c>
      <c r="E113" s="39">
        <f t="shared" si="1"/>
        <v>949</v>
      </c>
      <c r="F113" s="39">
        <v>709957</v>
      </c>
      <c r="G113" s="30">
        <v>1.3367006734210699E-3</v>
      </c>
      <c r="H113" s="36">
        <v>20.774215903216671</v>
      </c>
      <c r="I113" s="40">
        <v>33284</v>
      </c>
      <c r="M113" s="40">
        <v>38228</v>
      </c>
      <c r="N113" s="39">
        <v>7025</v>
      </c>
    </row>
    <row r="114" spans="1:14" x14ac:dyDescent="0.3">
      <c r="A114" s="38">
        <v>45642</v>
      </c>
      <c r="B114" s="36" t="s">
        <v>23</v>
      </c>
      <c r="C114" s="39">
        <v>4191</v>
      </c>
      <c r="D114" s="39">
        <v>599</v>
      </c>
      <c r="E114" s="39">
        <f t="shared" si="1"/>
        <v>3592</v>
      </c>
      <c r="F114" s="39">
        <v>713549</v>
      </c>
      <c r="G114" s="30">
        <v>5.0339920594100803E-3</v>
      </c>
      <c r="H114" s="36">
        <v>11.56416728213479</v>
      </c>
      <c r="I114" s="40">
        <v>27833</v>
      </c>
      <c r="M114" s="40">
        <v>38272</v>
      </c>
      <c r="N114" s="39">
        <v>5143</v>
      </c>
    </row>
    <row r="115" spans="1:14" x14ac:dyDescent="0.3">
      <c r="A115" s="38">
        <v>45642</v>
      </c>
      <c r="B115" s="36" t="s">
        <v>23</v>
      </c>
      <c r="C115" s="39">
        <v>1392</v>
      </c>
      <c r="D115" s="39">
        <v>182</v>
      </c>
      <c r="E115" s="39">
        <f t="shared" si="1"/>
        <v>1210</v>
      </c>
      <c r="F115" s="39">
        <v>714759</v>
      </c>
      <c r="G115" s="30">
        <v>1.69287829883919E-3</v>
      </c>
      <c r="H115" s="36">
        <v>5.9603306848881932</v>
      </c>
      <c r="I115" s="40">
        <v>35122</v>
      </c>
      <c r="M115" s="40">
        <v>38731</v>
      </c>
      <c r="N115" s="39">
        <v>5303</v>
      </c>
    </row>
    <row r="116" spans="1:14" x14ac:dyDescent="0.3">
      <c r="A116" s="38">
        <v>45642</v>
      </c>
      <c r="B116" s="36" t="s">
        <v>19</v>
      </c>
      <c r="C116" s="39">
        <v>9616</v>
      </c>
      <c r="D116" s="39">
        <v>1089</v>
      </c>
      <c r="E116" s="39">
        <f t="shared" si="1"/>
        <v>8527</v>
      </c>
      <c r="F116" s="39">
        <v>723286</v>
      </c>
      <c r="G116" s="30">
        <v>1.17892507251627E-2</v>
      </c>
      <c r="H116" s="36">
        <v>19.25863351426683</v>
      </c>
      <c r="I116" s="40">
        <v>15017</v>
      </c>
      <c r="M116" s="40">
        <v>38854</v>
      </c>
      <c r="N116" s="39">
        <v>5698</v>
      </c>
    </row>
    <row r="117" spans="1:14" x14ac:dyDescent="0.3">
      <c r="A117" s="38">
        <v>45642</v>
      </c>
      <c r="B117" s="36" t="s">
        <v>41</v>
      </c>
      <c r="C117" s="39">
        <v>7272</v>
      </c>
      <c r="D117" s="39">
        <v>997</v>
      </c>
      <c r="E117" s="39">
        <f t="shared" si="1"/>
        <v>6275</v>
      </c>
      <c r="F117" s="39">
        <v>729561</v>
      </c>
      <c r="G117" s="30">
        <v>8.6010628309353201E-3</v>
      </c>
      <c r="H117" s="36">
        <v>13.428486445958599</v>
      </c>
      <c r="I117" s="40">
        <v>26370</v>
      </c>
      <c r="M117" s="40">
        <v>39197</v>
      </c>
      <c r="N117" s="39">
        <v>3213</v>
      </c>
    </row>
    <row r="118" spans="1:14" x14ac:dyDescent="0.3">
      <c r="A118" s="38">
        <v>45649</v>
      </c>
      <c r="B118" s="36" t="s">
        <v>19</v>
      </c>
      <c r="C118" s="39">
        <v>1571</v>
      </c>
      <c r="D118" s="39">
        <v>204</v>
      </c>
      <c r="E118" s="39">
        <f t="shared" si="1"/>
        <v>1367</v>
      </c>
      <c r="F118" s="39">
        <v>730928</v>
      </c>
      <c r="G118" s="30">
        <v>1.8702252479040301E-3</v>
      </c>
      <c r="H118" s="36">
        <v>19.449384891535139</v>
      </c>
      <c r="I118" s="40">
        <v>39252</v>
      </c>
      <c r="M118" s="40">
        <v>39252</v>
      </c>
      <c r="N118" s="39">
        <v>1367</v>
      </c>
    </row>
    <row r="119" spans="1:14" x14ac:dyDescent="0.3">
      <c r="A119" s="38">
        <v>45649</v>
      </c>
      <c r="B119" s="36" t="s">
        <v>23</v>
      </c>
      <c r="C119" s="39">
        <v>4631</v>
      </c>
      <c r="D119" s="39">
        <v>317</v>
      </c>
      <c r="E119" s="39">
        <f t="shared" si="1"/>
        <v>4314</v>
      </c>
      <c r="F119" s="39">
        <v>735242</v>
      </c>
      <c r="G119" s="30">
        <v>5.8674558852731496E-3</v>
      </c>
      <c r="H119" s="36">
        <v>1.381177897889402</v>
      </c>
      <c r="I119" s="40">
        <v>17999</v>
      </c>
      <c r="M119" s="40">
        <v>39309</v>
      </c>
      <c r="N119" s="39">
        <v>1534</v>
      </c>
    </row>
    <row r="120" spans="1:14" x14ac:dyDescent="0.3">
      <c r="A120" s="38">
        <v>45649</v>
      </c>
      <c r="B120" s="36" t="s">
        <v>19</v>
      </c>
      <c r="C120" s="39">
        <v>7172</v>
      </c>
      <c r="D120" s="39">
        <v>998</v>
      </c>
      <c r="E120" s="39">
        <f t="shared" si="1"/>
        <v>6174</v>
      </c>
      <c r="F120" s="39">
        <v>741416</v>
      </c>
      <c r="G120" s="30">
        <v>8.32730882527488E-3</v>
      </c>
      <c r="H120" s="36">
        <v>18.0667803230575</v>
      </c>
      <c r="I120" s="40">
        <v>32436</v>
      </c>
      <c r="M120" s="40">
        <v>39312</v>
      </c>
      <c r="N120" s="39">
        <v>7346</v>
      </c>
    </row>
    <row r="121" spans="1:14" x14ac:dyDescent="0.3">
      <c r="A121" s="38">
        <v>45649</v>
      </c>
      <c r="B121" s="36" t="s">
        <v>14</v>
      </c>
      <c r="C121" s="39">
        <v>8177</v>
      </c>
      <c r="D121" s="39">
        <v>849</v>
      </c>
      <c r="E121" s="39">
        <f t="shared" si="1"/>
        <v>7328</v>
      </c>
      <c r="F121" s="39">
        <v>748744</v>
      </c>
      <c r="G121" s="30">
        <v>9.78705672432768E-3</v>
      </c>
      <c r="H121" s="36">
        <v>10.34986590877523</v>
      </c>
      <c r="I121" s="40">
        <v>52963</v>
      </c>
      <c r="M121" s="40">
        <v>39411</v>
      </c>
      <c r="N121" s="39">
        <v>7704</v>
      </c>
    </row>
    <row r="122" spans="1:14" x14ac:dyDescent="0.3">
      <c r="A122" s="38">
        <v>45656</v>
      </c>
      <c r="B122" s="36" t="s">
        <v>19</v>
      </c>
      <c r="C122" s="39">
        <v>9433</v>
      </c>
      <c r="D122" s="39">
        <v>1233</v>
      </c>
      <c r="E122" s="39">
        <f t="shared" si="1"/>
        <v>8200</v>
      </c>
      <c r="F122" s="39">
        <v>756944</v>
      </c>
      <c r="G122" s="30">
        <v>1.08330338836162E-2</v>
      </c>
      <c r="H122" s="36">
        <v>11.391727789638329</v>
      </c>
      <c r="I122" s="40">
        <v>12096</v>
      </c>
      <c r="M122" s="40">
        <v>39750</v>
      </c>
      <c r="N122" s="39">
        <v>6853</v>
      </c>
    </row>
    <row r="123" spans="1:14" x14ac:dyDescent="0.3">
      <c r="A123" s="38">
        <v>45656</v>
      </c>
      <c r="B123" s="36" t="s">
        <v>23</v>
      </c>
      <c r="C123" s="39">
        <v>4897</v>
      </c>
      <c r="D123" s="39">
        <v>683</v>
      </c>
      <c r="E123" s="39">
        <f t="shared" si="1"/>
        <v>4214</v>
      </c>
      <c r="F123" s="39">
        <v>761158</v>
      </c>
      <c r="G123" s="30">
        <v>5.5363012672795904E-3</v>
      </c>
      <c r="H123" s="36">
        <v>15.06231294947961</v>
      </c>
      <c r="I123" s="40">
        <v>58201</v>
      </c>
      <c r="M123" s="40">
        <v>40254</v>
      </c>
      <c r="N123" s="39">
        <v>1469</v>
      </c>
    </row>
    <row r="124" spans="1:14" x14ac:dyDescent="0.3">
      <c r="A124" s="38">
        <v>45656</v>
      </c>
      <c r="B124" s="36" t="s">
        <v>19</v>
      </c>
      <c r="C124" s="39">
        <v>9123</v>
      </c>
      <c r="D124" s="39">
        <v>746</v>
      </c>
      <c r="E124" s="39">
        <f t="shared" si="1"/>
        <v>8377</v>
      </c>
      <c r="F124" s="39">
        <v>769535</v>
      </c>
      <c r="G124" s="30">
        <v>1.0885794668208699E-2</v>
      </c>
      <c r="H124" s="36">
        <v>6.3086149427901264</v>
      </c>
      <c r="I124" s="40">
        <v>35279</v>
      </c>
      <c r="M124" s="40">
        <v>40268</v>
      </c>
      <c r="N124" s="39">
        <v>3179</v>
      </c>
    </row>
    <row r="125" spans="1:14" x14ac:dyDescent="0.3">
      <c r="A125" s="38">
        <v>45656</v>
      </c>
      <c r="B125" s="36" t="s">
        <v>41</v>
      </c>
      <c r="C125" s="39">
        <v>3279</v>
      </c>
      <c r="D125" s="39">
        <v>200</v>
      </c>
      <c r="E125" s="39">
        <f t="shared" si="1"/>
        <v>3079</v>
      </c>
      <c r="F125" s="39">
        <v>772614</v>
      </c>
      <c r="G125" s="30">
        <v>3.9851724146857297E-3</v>
      </c>
      <c r="H125" s="36">
        <v>5.0212654702089274</v>
      </c>
      <c r="I125" s="40">
        <v>53363</v>
      </c>
      <c r="M125" s="40">
        <v>40314</v>
      </c>
      <c r="N125" s="39">
        <v>2848</v>
      </c>
    </row>
    <row r="126" spans="1:14" x14ac:dyDescent="0.3">
      <c r="A126" s="38">
        <v>45663</v>
      </c>
      <c r="B126" s="36" t="s">
        <v>19</v>
      </c>
      <c r="C126" s="39">
        <v>9980</v>
      </c>
      <c r="D126" s="39">
        <v>726</v>
      </c>
      <c r="E126" s="39">
        <f t="shared" si="1"/>
        <v>9254</v>
      </c>
      <c r="F126" s="39">
        <v>781868</v>
      </c>
      <c r="G126" s="30">
        <v>1.18357574424327E-2</v>
      </c>
      <c r="H126" s="36">
        <v>4.0220344099003924</v>
      </c>
      <c r="I126" s="40">
        <v>58709</v>
      </c>
      <c r="M126" s="40">
        <v>40447</v>
      </c>
      <c r="N126" s="39">
        <v>7218</v>
      </c>
    </row>
    <row r="127" spans="1:14" x14ac:dyDescent="0.3">
      <c r="A127" s="38">
        <v>45663</v>
      </c>
      <c r="B127" s="36" t="s">
        <v>41</v>
      </c>
      <c r="C127" s="39">
        <v>8451</v>
      </c>
      <c r="D127" s="39">
        <v>783</v>
      </c>
      <c r="E127" s="39">
        <f t="shared" si="1"/>
        <v>7668</v>
      </c>
      <c r="F127" s="39">
        <v>789536</v>
      </c>
      <c r="G127" s="30">
        <v>9.7120333968305408E-3</v>
      </c>
      <c r="H127" s="36">
        <v>12.407287318121019</v>
      </c>
      <c r="I127" s="40">
        <v>36201</v>
      </c>
      <c r="M127" s="40">
        <v>40508</v>
      </c>
      <c r="N127" s="39">
        <v>7367</v>
      </c>
    </row>
    <row r="128" spans="1:14" x14ac:dyDescent="0.3">
      <c r="A128" s="38">
        <v>45663</v>
      </c>
      <c r="B128" s="36" t="s">
        <v>14</v>
      </c>
      <c r="C128" s="39">
        <v>9906</v>
      </c>
      <c r="D128" s="39">
        <v>1305</v>
      </c>
      <c r="E128" s="39">
        <f t="shared" si="1"/>
        <v>8601</v>
      </c>
      <c r="F128" s="39">
        <v>798137</v>
      </c>
      <c r="G128" s="30">
        <v>1.0776345414383701E-2</v>
      </c>
      <c r="H128" s="36">
        <v>9.1811305577864442</v>
      </c>
      <c r="I128" s="40">
        <v>29715</v>
      </c>
      <c r="M128" s="40">
        <v>40682</v>
      </c>
      <c r="N128" s="39">
        <v>8319</v>
      </c>
    </row>
    <row r="129" spans="1:14" x14ac:dyDescent="0.3">
      <c r="A129" s="38">
        <v>45663</v>
      </c>
      <c r="B129" s="36" t="s">
        <v>41</v>
      </c>
      <c r="C129" s="39">
        <v>1775</v>
      </c>
      <c r="D129" s="39">
        <v>241</v>
      </c>
      <c r="E129" s="39">
        <f t="shared" si="1"/>
        <v>1534</v>
      </c>
      <c r="F129" s="39">
        <v>799671</v>
      </c>
      <c r="G129" s="30">
        <v>1.91828889630861E-3</v>
      </c>
      <c r="H129" s="36">
        <v>8.1379717408784362</v>
      </c>
      <c r="I129" s="40">
        <v>39309</v>
      </c>
      <c r="M129" s="40">
        <v>41358</v>
      </c>
      <c r="N129" s="39">
        <v>7849</v>
      </c>
    </row>
    <row r="130" spans="1:14" x14ac:dyDescent="0.3">
      <c r="A130" s="38">
        <v>45670</v>
      </c>
      <c r="B130" s="36" t="s">
        <v>19</v>
      </c>
      <c r="C130" s="39">
        <v>7869</v>
      </c>
      <c r="D130" s="39">
        <v>398</v>
      </c>
      <c r="E130" s="39">
        <f t="shared" si="1"/>
        <v>7471</v>
      </c>
      <c r="F130" s="39">
        <v>807142</v>
      </c>
      <c r="G130" s="30">
        <v>9.2561160241940096E-3</v>
      </c>
      <c r="H130" s="36">
        <v>15.211945357818079</v>
      </c>
      <c r="I130" s="40">
        <v>25078</v>
      </c>
      <c r="M130" s="40">
        <v>41703</v>
      </c>
      <c r="N130" s="39">
        <v>7436</v>
      </c>
    </row>
    <row r="131" spans="1:14" x14ac:dyDescent="0.3">
      <c r="A131" s="38">
        <v>45670</v>
      </c>
      <c r="B131" s="36" t="s">
        <v>23</v>
      </c>
      <c r="C131" s="39">
        <v>3247</v>
      </c>
      <c r="D131" s="39">
        <v>328</v>
      </c>
      <c r="E131" s="39">
        <f t="shared" ref="E131:E194" si="2">C131-D131</f>
        <v>2919</v>
      </c>
      <c r="F131" s="39">
        <v>810061</v>
      </c>
      <c r="G131" s="30">
        <v>3.6034323341081701E-3</v>
      </c>
      <c r="H131" s="36">
        <v>13.941172331466399</v>
      </c>
      <c r="I131" s="40">
        <v>15105</v>
      </c>
      <c r="M131" s="40">
        <v>42262</v>
      </c>
      <c r="N131" s="39">
        <v>1425</v>
      </c>
    </row>
    <row r="132" spans="1:14" x14ac:dyDescent="0.3">
      <c r="A132" s="38">
        <v>45670</v>
      </c>
      <c r="B132" s="36" t="s">
        <v>41</v>
      </c>
      <c r="C132" s="39">
        <v>8088</v>
      </c>
      <c r="D132" s="39">
        <v>742</v>
      </c>
      <c r="E132" s="39">
        <f t="shared" si="2"/>
        <v>7346</v>
      </c>
      <c r="F132" s="39">
        <v>817407</v>
      </c>
      <c r="G132" s="30">
        <v>8.9869550909155403E-3</v>
      </c>
      <c r="H132" s="36">
        <v>14.664542877660701</v>
      </c>
      <c r="I132" s="40">
        <v>39312</v>
      </c>
      <c r="M132" s="40">
        <v>42373</v>
      </c>
      <c r="N132" s="39">
        <v>7630</v>
      </c>
    </row>
    <row r="133" spans="1:14" x14ac:dyDescent="0.3">
      <c r="A133" s="38">
        <v>45670</v>
      </c>
      <c r="B133" s="36" t="s">
        <v>14</v>
      </c>
      <c r="C133" s="39">
        <v>1078</v>
      </c>
      <c r="D133" s="39">
        <v>77</v>
      </c>
      <c r="E133" s="39">
        <f t="shared" si="2"/>
        <v>1001</v>
      </c>
      <c r="F133" s="39">
        <v>818408</v>
      </c>
      <c r="G133" s="30">
        <v>1.22310632349635E-3</v>
      </c>
      <c r="H133" s="36">
        <v>18.236747441373989</v>
      </c>
      <c r="I133" s="40">
        <v>12839</v>
      </c>
      <c r="M133" s="40">
        <v>42591</v>
      </c>
      <c r="N133" s="39">
        <v>4245</v>
      </c>
    </row>
    <row r="134" spans="1:14" x14ac:dyDescent="0.3">
      <c r="A134" s="38">
        <v>45677</v>
      </c>
      <c r="B134" s="36" t="s">
        <v>41</v>
      </c>
      <c r="C134" s="39">
        <v>9080</v>
      </c>
      <c r="D134" s="39">
        <v>562</v>
      </c>
      <c r="E134" s="39">
        <f t="shared" si="2"/>
        <v>8518</v>
      </c>
      <c r="F134" s="39">
        <v>826926</v>
      </c>
      <c r="G134" s="30">
        <v>1.03008007971693E-2</v>
      </c>
      <c r="H134" s="36">
        <v>7.1083748727213809</v>
      </c>
      <c r="I134" s="40">
        <v>13384</v>
      </c>
      <c r="M134" s="40">
        <v>42972</v>
      </c>
      <c r="N134" s="39">
        <v>7509</v>
      </c>
    </row>
    <row r="135" spans="1:14" x14ac:dyDescent="0.3">
      <c r="A135" s="38">
        <v>45677</v>
      </c>
      <c r="B135" s="36" t="s">
        <v>41</v>
      </c>
      <c r="C135" s="39">
        <v>8099</v>
      </c>
      <c r="D135" s="39">
        <v>678</v>
      </c>
      <c r="E135" s="39">
        <f t="shared" si="2"/>
        <v>7421</v>
      </c>
      <c r="F135" s="39">
        <v>834347</v>
      </c>
      <c r="G135" s="30">
        <v>8.8943808751035195E-3</v>
      </c>
      <c r="H135" s="36">
        <v>7.6464588474579518</v>
      </c>
      <c r="I135" s="40">
        <v>53619</v>
      </c>
      <c r="M135" s="40">
        <v>43598</v>
      </c>
      <c r="N135" s="39">
        <v>6201</v>
      </c>
    </row>
    <row r="136" spans="1:14" x14ac:dyDescent="0.3">
      <c r="A136" s="38">
        <v>45677</v>
      </c>
      <c r="B136" s="36" t="s">
        <v>41</v>
      </c>
      <c r="C136" s="39">
        <v>4926</v>
      </c>
      <c r="D136" s="39">
        <v>710</v>
      </c>
      <c r="E136" s="39">
        <f t="shared" si="2"/>
        <v>4216</v>
      </c>
      <c r="F136" s="39">
        <v>838563</v>
      </c>
      <c r="G136" s="30">
        <v>5.0276484891415398E-3</v>
      </c>
      <c r="H136" s="36">
        <v>12.96217457722318</v>
      </c>
      <c r="I136" s="40">
        <v>52821</v>
      </c>
      <c r="M136" s="40">
        <v>43787</v>
      </c>
      <c r="N136" s="39">
        <v>6918</v>
      </c>
    </row>
    <row r="137" spans="1:14" x14ac:dyDescent="0.3">
      <c r="A137" s="38">
        <v>45677</v>
      </c>
      <c r="B137" s="36" t="s">
        <v>14</v>
      </c>
      <c r="C137" s="39">
        <v>8340</v>
      </c>
      <c r="D137" s="39">
        <v>686</v>
      </c>
      <c r="E137" s="39">
        <f t="shared" si="2"/>
        <v>7654</v>
      </c>
      <c r="F137" s="39">
        <v>846217</v>
      </c>
      <c r="G137" s="30">
        <v>9.04496128061715E-3</v>
      </c>
      <c r="H137" s="36">
        <v>7.201344336027284</v>
      </c>
      <c r="I137" s="40">
        <v>23493</v>
      </c>
      <c r="M137" s="40">
        <v>43848</v>
      </c>
      <c r="N137" s="39">
        <v>7733</v>
      </c>
    </row>
    <row r="138" spans="1:14" x14ac:dyDescent="0.3">
      <c r="A138" s="38">
        <v>45684</v>
      </c>
      <c r="B138" s="36" t="s">
        <v>19</v>
      </c>
      <c r="C138" s="39">
        <v>8083</v>
      </c>
      <c r="D138" s="39">
        <v>823</v>
      </c>
      <c r="E138" s="39">
        <f t="shared" si="2"/>
        <v>7260</v>
      </c>
      <c r="F138" s="39">
        <v>853477</v>
      </c>
      <c r="G138" s="30">
        <v>8.5063803711172108E-3</v>
      </c>
      <c r="H138" s="36">
        <v>4.6300017457998282</v>
      </c>
      <c r="I138" s="40">
        <v>27069</v>
      </c>
      <c r="M138" s="40">
        <v>43937</v>
      </c>
      <c r="N138" s="39">
        <v>2421</v>
      </c>
    </row>
    <row r="139" spans="1:14" x14ac:dyDescent="0.3">
      <c r="A139" s="38">
        <v>45684</v>
      </c>
      <c r="B139" s="36" t="s">
        <v>41</v>
      </c>
      <c r="C139" s="39">
        <v>7230</v>
      </c>
      <c r="D139" s="39">
        <v>869</v>
      </c>
      <c r="E139" s="39">
        <f t="shared" si="2"/>
        <v>6361</v>
      </c>
      <c r="F139" s="39">
        <v>859838</v>
      </c>
      <c r="G139" s="30">
        <v>7.397905186791E-3</v>
      </c>
      <c r="H139" s="36">
        <v>7.0117859410726204</v>
      </c>
      <c r="I139" s="40">
        <v>56907</v>
      </c>
      <c r="M139" s="40">
        <v>44051</v>
      </c>
      <c r="N139" s="39">
        <v>6452</v>
      </c>
    </row>
    <row r="140" spans="1:14" x14ac:dyDescent="0.3">
      <c r="A140" s="38">
        <v>45684</v>
      </c>
      <c r="B140" s="36" t="s">
        <v>41</v>
      </c>
      <c r="C140" s="39">
        <v>5940</v>
      </c>
      <c r="D140" s="39">
        <v>512</v>
      </c>
      <c r="E140" s="39">
        <f t="shared" si="2"/>
        <v>5428</v>
      </c>
      <c r="F140" s="39">
        <v>865266</v>
      </c>
      <c r="G140" s="30">
        <v>6.2732154042802997E-3</v>
      </c>
      <c r="H140" s="36">
        <v>15.7972230504839</v>
      </c>
      <c r="I140" s="40">
        <v>17531</v>
      </c>
      <c r="M140" s="40">
        <v>44501</v>
      </c>
      <c r="N140" s="39">
        <v>4942</v>
      </c>
    </row>
    <row r="141" spans="1:14" x14ac:dyDescent="0.3">
      <c r="A141" s="38">
        <v>45684</v>
      </c>
      <c r="B141" s="36" t="s">
        <v>23</v>
      </c>
      <c r="C141" s="39">
        <v>4271</v>
      </c>
      <c r="D141" s="39">
        <v>628</v>
      </c>
      <c r="E141" s="39">
        <f t="shared" si="2"/>
        <v>3643</v>
      </c>
      <c r="F141" s="39">
        <v>868909</v>
      </c>
      <c r="G141" s="30">
        <v>4.1926139561219902E-3</v>
      </c>
      <c r="H141" s="36">
        <v>11.124410036033691</v>
      </c>
      <c r="I141" s="40">
        <v>47051</v>
      </c>
      <c r="M141" s="40">
        <v>44521</v>
      </c>
      <c r="N141" s="39">
        <v>1121</v>
      </c>
    </row>
    <row r="142" spans="1:14" x14ac:dyDescent="0.3">
      <c r="A142" s="38">
        <v>45691</v>
      </c>
      <c r="B142" s="36" t="s">
        <v>14</v>
      </c>
      <c r="C142" s="39">
        <v>4456</v>
      </c>
      <c r="D142" s="39">
        <v>651</v>
      </c>
      <c r="E142" s="39">
        <f t="shared" si="2"/>
        <v>3805</v>
      </c>
      <c r="F142" s="39">
        <v>872714</v>
      </c>
      <c r="G142" s="30">
        <v>4.3599621410908996E-3</v>
      </c>
      <c r="H142" s="36">
        <v>9.5052903929580594</v>
      </c>
      <c r="I142" s="40">
        <v>17736</v>
      </c>
      <c r="M142" s="40">
        <v>44546</v>
      </c>
      <c r="N142" s="39">
        <v>4934</v>
      </c>
    </row>
    <row r="143" spans="1:14" x14ac:dyDescent="0.3">
      <c r="A143" s="38">
        <v>45691</v>
      </c>
      <c r="B143" s="36" t="s">
        <v>41</v>
      </c>
      <c r="C143" s="39">
        <v>8788</v>
      </c>
      <c r="D143" s="39">
        <v>660</v>
      </c>
      <c r="E143" s="39">
        <f t="shared" si="2"/>
        <v>8128</v>
      </c>
      <c r="F143" s="39">
        <v>880842</v>
      </c>
      <c r="G143" s="30">
        <v>9.2275345635198999E-3</v>
      </c>
      <c r="H143" s="36">
        <v>3.7175793161543158</v>
      </c>
      <c r="I143" s="40">
        <v>17710</v>
      </c>
      <c r="M143" s="40">
        <v>44742</v>
      </c>
      <c r="N143" s="39">
        <v>5962</v>
      </c>
    </row>
    <row r="144" spans="1:14" x14ac:dyDescent="0.3">
      <c r="A144" s="38">
        <v>45691</v>
      </c>
      <c r="B144" s="36" t="s">
        <v>14</v>
      </c>
      <c r="C144" s="39">
        <v>9599</v>
      </c>
      <c r="D144" s="39">
        <v>957</v>
      </c>
      <c r="E144" s="39">
        <f t="shared" si="2"/>
        <v>8642</v>
      </c>
      <c r="F144" s="39">
        <v>889484</v>
      </c>
      <c r="G144" s="30">
        <v>9.7157453085159502E-3</v>
      </c>
      <c r="H144" s="36">
        <v>8.768004820772493</v>
      </c>
      <c r="I144" s="40">
        <v>11619</v>
      </c>
      <c r="M144" s="40">
        <v>44782</v>
      </c>
      <c r="N144" s="39">
        <v>2994</v>
      </c>
    </row>
    <row r="145" spans="1:14" x14ac:dyDescent="0.3">
      <c r="A145" s="38">
        <v>45691</v>
      </c>
      <c r="B145" s="36" t="s">
        <v>41</v>
      </c>
      <c r="C145" s="39">
        <v>8650</v>
      </c>
      <c r="D145" s="39">
        <v>692</v>
      </c>
      <c r="E145" s="39">
        <f t="shared" si="2"/>
        <v>7958</v>
      </c>
      <c r="F145" s="39">
        <v>897442</v>
      </c>
      <c r="G145" s="30">
        <v>8.8674254157928897E-3</v>
      </c>
      <c r="H145" s="36">
        <v>7.6673478620345374</v>
      </c>
      <c r="I145" s="40">
        <v>23975</v>
      </c>
      <c r="M145" s="40">
        <v>44865</v>
      </c>
      <c r="N145" s="39">
        <v>8485</v>
      </c>
    </row>
    <row r="146" spans="1:14" x14ac:dyDescent="0.3">
      <c r="A146" s="38">
        <v>45698</v>
      </c>
      <c r="B146" s="36" t="s">
        <v>19</v>
      </c>
      <c r="C146" s="39">
        <v>3711</v>
      </c>
      <c r="D146" s="39">
        <v>291</v>
      </c>
      <c r="E146" s="39">
        <f t="shared" si="2"/>
        <v>3420</v>
      </c>
      <c r="F146" s="39">
        <v>900862</v>
      </c>
      <c r="G146" s="30">
        <v>3.7963639269943698E-3</v>
      </c>
      <c r="H146" s="36">
        <v>14.24879726306582</v>
      </c>
      <c r="I146" s="40">
        <v>55603</v>
      </c>
      <c r="M146" s="40">
        <v>44947</v>
      </c>
      <c r="N146" s="39">
        <v>8654</v>
      </c>
    </row>
    <row r="147" spans="1:14" x14ac:dyDescent="0.3">
      <c r="A147" s="38">
        <v>45698</v>
      </c>
      <c r="B147" s="36" t="s">
        <v>19</v>
      </c>
      <c r="C147" s="39">
        <v>2668</v>
      </c>
      <c r="D147" s="39">
        <v>143</v>
      </c>
      <c r="E147" s="39">
        <f t="shared" si="2"/>
        <v>2525</v>
      </c>
      <c r="F147" s="39">
        <v>903387</v>
      </c>
      <c r="G147" s="30">
        <v>2.79503690002181E-3</v>
      </c>
      <c r="H147" s="36">
        <v>15.903372530266649</v>
      </c>
      <c r="I147" s="40">
        <v>33252</v>
      </c>
      <c r="M147" s="40">
        <v>45525</v>
      </c>
      <c r="N147" s="39">
        <v>3929</v>
      </c>
    </row>
    <row r="148" spans="1:14" x14ac:dyDescent="0.3">
      <c r="A148" s="38">
        <v>45698</v>
      </c>
      <c r="B148" s="36" t="s">
        <v>41</v>
      </c>
      <c r="C148" s="39">
        <v>1147</v>
      </c>
      <c r="D148" s="39">
        <v>127</v>
      </c>
      <c r="E148" s="39">
        <f t="shared" si="2"/>
        <v>1020</v>
      </c>
      <c r="F148" s="39">
        <v>904407</v>
      </c>
      <c r="G148" s="30">
        <v>1.12781081968627E-3</v>
      </c>
      <c r="H148" s="36">
        <v>1.3997016829812241</v>
      </c>
      <c r="I148" s="40">
        <v>25261</v>
      </c>
      <c r="M148" s="40">
        <v>46060</v>
      </c>
      <c r="N148" s="39">
        <v>6039</v>
      </c>
    </row>
    <row r="149" spans="1:14" x14ac:dyDescent="0.3">
      <c r="A149" s="38">
        <v>45698</v>
      </c>
      <c r="B149" s="36" t="s">
        <v>19</v>
      </c>
      <c r="C149" s="39">
        <v>7420</v>
      </c>
      <c r="D149" s="39">
        <v>743</v>
      </c>
      <c r="E149" s="39">
        <f t="shared" si="2"/>
        <v>6677</v>
      </c>
      <c r="F149" s="39">
        <v>911084</v>
      </c>
      <c r="G149" s="30">
        <v>7.3286327056561202E-3</v>
      </c>
      <c r="H149" s="36">
        <v>10.593534734448189</v>
      </c>
      <c r="I149" s="40">
        <v>11431</v>
      </c>
      <c r="M149" s="40">
        <v>46727</v>
      </c>
      <c r="N149" s="39">
        <v>6920</v>
      </c>
    </row>
    <row r="150" spans="1:14" x14ac:dyDescent="0.3">
      <c r="A150" s="38">
        <v>45705</v>
      </c>
      <c r="B150" s="36" t="s">
        <v>41</v>
      </c>
      <c r="C150" s="39">
        <v>1365</v>
      </c>
      <c r="D150" s="39">
        <v>75</v>
      </c>
      <c r="E150" s="39">
        <f t="shared" si="2"/>
        <v>1290</v>
      </c>
      <c r="F150" s="39">
        <v>912374</v>
      </c>
      <c r="G150" s="30">
        <v>1.4138938637006299E-3</v>
      </c>
      <c r="H150" s="36">
        <v>9.2688963078737441</v>
      </c>
      <c r="I150" s="40">
        <v>19067</v>
      </c>
      <c r="M150" s="40">
        <v>46727</v>
      </c>
      <c r="N150" s="39">
        <v>5456</v>
      </c>
    </row>
    <row r="151" spans="1:14" x14ac:dyDescent="0.3">
      <c r="A151" s="38">
        <v>45705</v>
      </c>
      <c r="B151" s="36" t="s">
        <v>19</v>
      </c>
      <c r="C151" s="39">
        <v>5531</v>
      </c>
      <c r="D151" s="39">
        <v>430</v>
      </c>
      <c r="E151" s="39">
        <f t="shared" si="2"/>
        <v>5101</v>
      </c>
      <c r="F151" s="39">
        <v>917475</v>
      </c>
      <c r="G151" s="30">
        <v>5.5598245183792498E-3</v>
      </c>
      <c r="H151" s="36">
        <v>2.7289026948963189</v>
      </c>
      <c r="I151" s="40">
        <v>47481</v>
      </c>
      <c r="M151" s="40">
        <v>46751</v>
      </c>
      <c r="N151" s="39">
        <v>7478</v>
      </c>
    </row>
    <row r="152" spans="1:14" x14ac:dyDescent="0.3">
      <c r="A152" s="38">
        <v>45705</v>
      </c>
      <c r="B152" s="36" t="s">
        <v>23</v>
      </c>
      <c r="C152" s="39">
        <v>6330</v>
      </c>
      <c r="D152" s="39">
        <v>891</v>
      </c>
      <c r="E152" s="39">
        <f t="shared" si="2"/>
        <v>5439</v>
      </c>
      <c r="F152" s="39">
        <v>922914</v>
      </c>
      <c r="G152" s="30">
        <v>5.8932901657142503E-3</v>
      </c>
      <c r="H152" s="36">
        <v>14.789893749580139</v>
      </c>
      <c r="I152" s="40">
        <v>37037</v>
      </c>
      <c r="M152" s="40">
        <v>46768</v>
      </c>
      <c r="N152" s="39">
        <v>4542</v>
      </c>
    </row>
    <row r="153" spans="1:14" x14ac:dyDescent="0.3">
      <c r="A153" s="38">
        <v>45705</v>
      </c>
      <c r="B153" s="36" t="s">
        <v>23</v>
      </c>
      <c r="C153" s="39">
        <v>6510</v>
      </c>
      <c r="D153" s="39">
        <v>481</v>
      </c>
      <c r="E153" s="39">
        <f t="shared" si="2"/>
        <v>6029</v>
      </c>
      <c r="F153" s="39">
        <v>928943</v>
      </c>
      <c r="G153" s="30">
        <v>6.4901721634158397E-3</v>
      </c>
      <c r="H153" s="36">
        <v>2.3800168578696428</v>
      </c>
      <c r="I153" s="40">
        <v>19557</v>
      </c>
      <c r="M153" s="40">
        <v>47051</v>
      </c>
      <c r="N153" s="39">
        <v>3643</v>
      </c>
    </row>
    <row r="154" spans="1:14" x14ac:dyDescent="0.3">
      <c r="A154" s="38">
        <v>45712</v>
      </c>
      <c r="B154" s="36" t="s">
        <v>23</v>
      </c>
      <c r="C154" s="39">
        <v>9754</v>
      </c>
      <c r="D154" s="39">
        <v>629</v>
      </c>
      <c r="E154" s="39">
        <f t="shared" si="2"/>
        <v>9125</v>
      </c>
      <c r="F154" s="39">
        <v>938068</v>
      </c>
      <c r="G154" s="30">
        <v>9.7274398018054094E-3</v>
      </c>
      <c r="H154" s="36">
        <v>3.4123325814333292</v>
      </c>
      <c r="I154" s="40">
        <v>19435</v>
      </c>
      <c r="M154" s="40">
        <v>47481</v>
      </c>
      <c r="N154" s="39">
        <v>5101</v>
      </c>
    </row>
    <row r="155" spans="1:14" x14ac:dyDescent="0.3">
      <c r="A155" s="38">
        <v>45712</v>
      </c>
      <c r="B155" s="36" t="s">
        <v>14</v>
      </c>
      <c r="C155" s="39">
        <v>9964</v>
      </c>
      <c r="D155" s="39">
        <v>985</v>
      </c>
      <c r="E155" s="39">
        <f t="shared" si="2"/>
        <v>8979</v>
      </c>
      <c r="F155" s="39">
        <v>947047</v>
      </c>
      <c r="G155" s="30">
        <v>9.4810500429228992E-3</v>
      </c>
      <c r="H155" s="36">
        <v>1.9837452629066989</v>
      </c>
      <c r="I155" s="40">
        <v>47766</v>
      </c>
      <c r="M155" s="40">
        <v>47766</v>
      </c>
      <c r="N155" s="39">
        <v>8979</v>
      </c>
    </row>
    <row r="156" spans="1:14" x14ac:dyDescent="0.3">
      <c r="A156" s="38">
        <v>45712</v>
      </c>
      <c r="B156" s="36" t="s">
        <v>14</v>
      </c>
      <c r="C156" s="39">
        <v>7493</v>
      </c>
      <c r="D156" s="39">
        <v>1113</v>
      </c>
      <c r="E156" s="39">
        <f t="shared" si="2"/>
        <v>6380</v>
      </c>
      <c r="F156" s="39">
        <v>953427</v>
      </c>
      <c r="G156" s="30">
        <v>6.6916502259743004E-3</v>
      </c>
      <c r="H156" s="36">
        <v>15.684892498324469</v>
      </c>
      <c r="I156" s="40">
        <v>10162</v>
      </c>
      <c r="M156" s="40">
        <v>47804</v>
      </c>
      <c r="N156" s="39">
        <v>7974</v>
      </c>
    </row>
    <row r="157" spans="1:14" x14ac:dyDescent="0.3">
      <c r="A157" s="38">
        <v>45712</v>
      </c>
      <c r="B157" s="36" t="s">
        <v>23</v>
      </c>
      <c r="C157" s="39">
        <v>6439</v>
      </c>
      <c r="D157" s="39">
        <v>477</v>
      </c>
      <c r="E157" s="39">
        <f t="shared" si="2"/>
        <v>5962</v>
      </c>
      <c r="F157" s="39">
        <v>959389</v>
      </c>
      <c r="G157" s="30">
        <v>6.2143718554204799E-3</v>
      </c>
      <c r="H157" s="36">
        <v>7.4744446725989153</v>
      </c>
      <c r="I157" s="40">
        <v>44742</v>
      </c>
      <c r="M157" s="40">
        <v>47861</v>
      </c>
      <c r="N157" s="39">
        <v>2199</v>
      </c>
    </row>
    <row r="158" spans="1:14" x14ac:dyDescent="0.3">
      <c r="A158" s="38">
        <v>45719</v>
      </c>
      <c r="B158" s="36" t="s">
        <v>14</v>
      </c>
      <c r="C158" s="39">
        <v>7511</v>
      </c>
      <c r="D158" s="39">
        <v>880</v>
      </c>
      <c r="E158" s="39">
        <f t="shared" si="2"/>
        <v>6631</v>
      </c>
      <c r="F158" s="39">
        <v>966020</v>
      </c>
      <c r="G158" s="30">
        <v>6.8642471170369196E-3</v>
      </c>
      <c r="H158" s="36">
        <v>4.6083932009689246</v>
      </c>
      <c r="I158" s="40">
        <v>29675</v>
      </c>
      <c r="M158" s="40">
        <v>48019</v>
      </c>
      <c r="N158" s="39">
        <v>8653</v>
      </c>
    </row>
    <row r="159" spans="1:14" x14ac:dyDescent="0.3">
      <c r="A159" s="38">
        <v>45719</v>
      </c>
      <c r="B159" s="36" t="s">
        <v>19</v>
      </c>
      <c r="C159" s="39">
        <v>8504</v>
      </c>
      <c r="D159" s="39">
        <v>1072</v>
      </c>
      <c r="E159" s="39">
        <f t="shared" si="2"/>
        <v>7432</v>
      </c>
      <c r="F159" s="39">
        <v>973452</v>
      </c>
      <c r="G159" s="30">
        <v>7.6346856342172E-3</v>
      </c>
      <c r="H159" s="36">
        <v>6.5651927367759271</v>
      </c>
      <c r="I159" s="40">
        <v>18461</v>
      </c>
      <c r="M159" s="40">
        <v>48328</v>
      </c>
      <c r="N159" s="39">
        <v>6128</v>
      </c>
    </row>
    <row r="160" spans="1:14" x14ac:dyDescent="0.3">
      <c r="A160" s="38">
        <v>45719</v>
      </c>
      <c r="B160" s="36" t="s">
        <v>41</v>
      </c>
      <c r="C160" s="39">
        <v>2246</v>
      </c>
      <c r="D160" s="39">
        <v>165</v>
      </c>
      <c r="E160" s="39">
        <f t="shared" si="2"/>
        <v>2081</v>
      </c>
      <c r="F160" s="39">
        <v>975533</v>
      </c>
      <c r="G160" s="30">
        <v>2.1331928289458199E-3</v>
      </c>
      <c r="H160" s="36">
        <v>2.9062061457685191</v>
      </c>
      <c r="I160" s="40">
        <v>27015</v>
      </c>
      <c r="M160" s="40">
        <v>48356</v>
      </c>
      <c r="N160" s="39">
        <v>3224</v>
      </c>
    </row>
    <row r="161" spans="1:14" x14ac:dyDescent="0.3">
      <c r="A161" s="38">
        <v>45719</v>
      </c>
      <c r="B161" s="36" t="s">
        <v>41</v>
      </c>
      <c r="C161" s="39">
        <v>4839</v>
      </c>
      <c r="D161" s="39">
        <v>594</v>
      </c>
      <c r="E161" s="39">
        <f t="shared" si="2"/>
        <v>4245</v>
      </c>
      <c r="F161" s="39">
        <v>979778</v>
      </c>
      <c r="G161" s="30">
        <v>4.3326141227910796E-3</v>
      </c>
      <c r="H161" s="36">
        <v>2.5803804535313102</v>
      </c>
      <c r="I161" s="40">
        <v>42591</v>
      </c>
      <c r="M161" s="40">
        <v>48659</v>
      </c>
      <c r="N161" s="39">
        <v>7429</v>
      </c>
    </row>
    <row r="162" spans="1:14" x14ac:dyDescent="0.3">
      <c r="A162" s="38">
        <v>45726</v>
      </c>
      <c r="B162" s="36" t="s">
        <v>41</v>
      </c>
      <c r="C162" s="39">
        <v>9551</v>
      </c>
      <c r="D162" s="39">
        <v>828</v>
      </c>
      <c r="E162" s="39">
        <f t="shared" si="2"/>
        <v>8723</v>
      </c>
      <c r="F162" s="39">
        <v>988501</v>
      </c>
      <c r="G162" s="30">
        <v>8.8244726105487E-3</v>
      </c>
      <c r="H162" s="36">
        <v>1.525036393488727</v>
      </c>
      <c r="I162" s="40">
        <v>38047</v>
      </c>
      <c r="M162" s="40">
        <v>49110</v>
      </c>
      <c r="N162" s="39">
        <v>1512</v>
      </c>
    </row>
    <row r="163" spans="1:14" x14ac:dyDescent="0.3">
      <c r="A163" s="38">
        <v>45726</v>
      </c>
      <c r="B163" s="36" t="s">
        <v>23</v>
      </c>
      <c r="C163" s="39">
        <v>3376</v>
      </c>
      <c r="D163" s="39">
        <v>382</v>
      </c>
      <c r="E163" s="39">
        <f t="shared" si="2"/>
        <v>2994</v>
      </c>
      <c r="F163" s="39">
        <v>991495</v>
      </c>
      <c r="G163" s="30">
        <v>3.0196823988018098E-3</v>
      </c>
      <c r="H163" s="36">
        <v>3.8694093263203548</v>
      </c>
      <c r="I163" s="40">
        <v>44782</v>
      </c>
      <c r="M163" s="40">
        <v>50372</v>
      </c>
      <c r="N163" s="39">
        <v>8123</v>
      </c>
    </row>
    <row r="164" spans="1:14" x14ac:dyDescent="0.3">
      <c r="A164" s="38">
        <v>45726</v>
      </c>
      <c r="B164" s="36" t="s">
        <v>14</v>
      </c>
      <c r="C164" s="39">
        <v>4009</v>
      </c>
      <c r="D164" s="39">
        <v>454</v>
      </c>
      <c r="E164" s="39">
        <f t="shared" si="2"/>
        <v>3555</v>
      </c>
      <c r="F164" s="39">
        <v>995050</v>
      </c>
      <c r="G164" s="30">
        <v>3.5726847897090599E-3</v>
      </c>
      <c r="H164" s="36">
        <v>2.1106477061454201</v>
      </c>
      <c r="I164" s="40">
        <v>19833</v>
      </c>
      <c r="M164" s="40">
        <v>50785</v>
      </c>
      <c r="N164" s="39">
        <v>9335</v>
      </c>
    </row>
    <row r="165" spans="1:14" x14ac:dyDescent="0.3">
      <c r="A165" s="38">
        <v>45726</v>
      </c>
      <c r="B165" s="36" t="s">
        <v>19</v>
      </c>
      <c r="C165" s="39">
        <v>2827</v>
      </c>
      <c r="D165" s="39">
        <v>292</v>
      </c>
      <c r="E165" s="39">
        <f t="shared" si="2"/>
        <v>2535</v>
      </c>
      <c r="F165" s="39">
        <v>997585</v>
      </c>
      <c r="G165" s="30">
        <v>2.5411368454818402E-3</v>
      </c>
      <c r="H165" s="36">
        <v>2.4004972007397871</v>
      </c>
      <c r="I165" s="40">
        <v>17896</v>
      </c>
      <c r="M165" s="40">
        <v>51796</v>
      </c>
      <c r="N165" s="39">
        <v>6384</v>
      </c>
    </row>
    <row r="166" spans="1:14" x14ac:dyDescent="0.3">
      <c r="A166" s="38">
        <v>45733</v>
      </c>
      <c r="B166" s="36" t="s">
        <v>19</v>
      </c>
      <c r="C166" s="39">
        <v>7979</v>
      </c>
      <c r="D166" s="39">
        <v>470</v>
      </c>
      <c r="E166" s="39">
        <f t="shared" si="2"/>
        <v>7509</v>
      </c>
      <c r="F166" s="39">
        <v>1005094</v>
      </c>
      <c r="G166" s="30">
        <v>7.4709430162751E-3</v>
      </c>
      <c r="H166" s="36">
        <v>10.43086517280971</v>
      </c>
      <c r="I166" s="40">
        <v>42972</v>
      </c>
      <c r="M166" s="40">
        <v>51800</v>
      </c>
      <c r="N166" s="39">
        <v>4852</v>
      </c>
    </row>
    <row r="167" spans="1:14" x14ac:dyDescent="0.3">
      <c r="A167" s="38">
        <v>45733</v>
      </c>
      <c r="B167" s="36" t="s">
        <v>23</v>
      </c>
      <c r="C167" s="39">
        <v>9569</v>
      </c>
      <c r="D167" s="39">
        <v>1277</v>
      </c>
      <c r="E167" s="39">
        <f t="shared" si="2"/>
        <v>8292</v>
      </c>
      <c r="F167" s="39">
        <v>1013386</v>
      </c>
      <c r="G167" s="30">
        <v>8.1824694637581408E-3</v>
      </c>
      <c r="H167" s="36">
        <v>12.45517502708741</v>
      </c>
      <c r="I167" s="40">
        <v>59733</v>
      </c>
      <c r="M167" s="40">
        <v>51903</v>
      </c>
      <c r="N167" s="39">
        <v>3096</v>
      </c>
    </row>
    <row r="168" spans="1:14" x14ac:dyDescent="0.3">
      <c r="A168" s="38">
        <v>45733</v>
      </c>
      <c r="B168" s="36" t="s">
        <v>19</v>
      </c>
      <c r="C168" s="39">
        <v>5285</v>
      </c>
      <c r="D168" s="39">
        <v>433</v>
      </c>
      <c r="E168" s="39">
        <f t="shared" si="2"/>
        <v>4852</v>
      </c>
      <c r="F168" s="39">
        <v>1018238</v>
      </c>
      <c r="G168" s="30">
        <v>4.7650942117658203E-3</v>
      </c>
      <c r="H168" s="36">
        <v>8.7022876773406619</v>
      </c>
      <c r="I168" s="40">
        <v>51800</v>
      </c>
      <c r="M168" s="40">
        <v>52003</v>
      </c>
      <c r="N168" s="39">
        <v>6430</v>
      </c>
    </row>
    <row r="169" spans="1:14" x14ac:dyDescent="0.3">
      <c r="A169" s="38">
        <v>45733</v>
      </c>
      <c r="B169" s="36" t="s">
        <v>19</v>
      </c>
      <c r="C169" s="39">
        <v>7910</v>
      </c>
      <c r="D169" s="39">
        <v>543</v>
      </c>
      <c r="E169" s="39">
        <f t="shared" si="2"/>
        <v>7367</v>
      </c>
      <c r="F169" s="39">
        <v>1025605</v>
      </c>
      <c r="G169" s="30">
        <v>7.1830773055903598E-3</v>
      </c>
      <c r="H169" s="36">
        <v>6.0590578244060822</v>
      </c>
      <c r="I169" s="40">
        <v>40508</v>
      </c>
      <c r="M169" s="40">
        <v>52092</v>
      </c>
      <c r="N169" s="39">
        <v>2495</v>
      </c>
    </row>
    <row r="170" spans="1:14" x14ac:dyDescent="0.3">
      <c r="A170" s="38">
        <v>45740</v>
      </c>
      <c r="B170" s="36" t="s">
        <v>19</v>
      </c>
      <c r="C170" s="39">
        <v>9561</v>
      </c>
      <c r="D170" s="39">
        <v>517</v>
      </c>
      <c r="E170" s="39">
        <f t="shared" si="2"/>
        <v>9044</v>
      </c>
      <c r="F170" s="39">
        <v>1034649</v>
      </c>
      <c r="G170" s="30">
        <v>8.7411286339618595E-3</v>
      </c>
      <c r="H170" s="36">
        <v>6.4086467971263694</v>
      </c>
      <c r="I170" s="40">
        <v>15347</v>
      </c>
      <c r="M170" s="40">
        <v>52821</v>
      </c>
      <c r="N170" s="39">
        <v>4216</v>
      </c>
    </row>
    <row r="171" spans="1:14" x14ac:dyDescent="0.3">
      <c r="A171" s="38">
        <v>45740</v>
      </c>
      <c r="B171" s="36" t="s">
        <v>19</v>
      </c>
      <c r="C171" s="39">
        <v>3196</v>
      </c>
      <c r="D171" s="39">
        <v>348</v>
      </c>
      <c r="E171" s="39">
        <f t="shared" si="2"/>
        <v>2848</v>
      </c>
      <c r="F171" s="39">
        <v>1037497</v>
      </c>
      <c r="G171" s="30">
        <v>2.7450681785103999E-3</v>
      </c>
      <c r="H171" s="36">
        <v>14.03040201562029</v>
      </c>
      <c r="I171" s="40">
        <v>40314</v>
      </c>
      <c r="M171" s="40">
        <v>52845</v>
      </c>
      <c r="N171" s="39">
        <v>1369</v>
      </c>
    </row>
    <row r="172" spans="1:14" x14ac:dyDescent="0.3">
      <c r="A172" s="38">
        <v>45740</v>
      </c>
      <c r="B172" s="36" t="s">
        <v>14</v>
      </c>
      <c r="C172" s="39">
        <v>4747</v>
      </c>
      <c r="D172" s="39">
        <v>558</v>
      </c>
      <c r="E172" s="39">
        <f t="shared" si="2"/>
        <v>4189</v>
      </c>
      <c r="F172" s="39">
        <v>1041686</v>
      </c>
      <c r="G172" s="30">
        <v>4.0213653634588497E-3</v>
      </c>
      <c r="H172" s="36">
        <v>5.7680529449373434</v>
      </c>
      <c r="I172" s="40">
        <v>12643</v>
      </c>
      <c r="M172" s="40">
        <v>52963</v>
      </c>
      <c r="N172" s="39">
        <v>7328</v>
      </c>
    </row>
    <row r="173" spans="1:14" x14ac:dyDescent="0.3">
      <c r="A173" s="38">
        <v>45740</v>
      </c>
      <c r="B173" s="36" t="s">
        <v>19</v>
      </c>
      <c r="C173" s="39">
        <v>9843</v>
      </c>
      <c r="D173" s="39">
        <v>508</v>
      </c>
      <c r="E173" s="39">
        <f t="shared" si="2"/>
        <v>9335</v>
      </c>
      <c r="F173" s="39">
        <v>1051021</v>
      </c>
      <c r="G173" s="30">
        <v>8.8818396587699005E-3</v>
      </c>
      <c r="H173" s="36">
        <v>4.2080986012648651</v>
      </c>
      <c r="I173" s="40">
        <v>50785</v>
      </c>
      <c r="M173" s="40">
        <v>53363</v>
      </c>
      <c r="N173" s="39">
        <v>3079</v>
      </c>
    </row>
    <row r="174" spans="1:14" x14ac:dyDescent="0.3">
      <c r="A174" s="38">
        <v>45747</v>
      </c>
      <c r="B174" s="36" t="s">
        <v>41</v>
      </c>
      <c r="C174" s="39">
        <v>6978</v>
      </c>
      <c r="D174" s="39">
        <v>706</v>
      </c>
      <c r="E174" s="39">
        <f t="shared" si="2"/>
        <v>6272</v>
      </c>
      <c r="F174" s="39">
        <v>1057293</v>
      </c>
      <c r="G174" s="30">
        <v>5.9321304501212101E-3</v>
      </c>
      <c r="H174" s="36">
        <v>5.057443868445171</v>
      </c>
      <c r="I174" s="40">
        <v>28681</v>
      </c>
      <c r="M174" s="40">
        <v>53543</v>
      </c>
      <c r="N174" s="39">
        <v>6915</v>
      </c>
    </row>
    <row r="175" spans="1:14" x14ac:dyDescent="0.3">
      <c r="A175" s="38">
        <v>45747</v>
      </c>
      <c r="B175" s="36" t="s">
        <v>23</v>
      </c>
      <c r="C175" s="39">
        <v>6607</v>
      </c>
      <c r="D175" s="39">
        <v>479</v>
      </c>
      <c r="E175" s="39">
        <f t="shared" si="2"/>
        <v>6128</v>
      </c>
      <c r="F175" s="39">
        <v>1063421</v>
      </c>
      <c r="G175" s="30">
        <v>5.7625343114345098E-3</v>
      </c>
      <c r="H175" s="36">
        <v>5.5892257158735816</v>
      </c>
      <c r="I175" s="40">
        <v>48328</v>
      </c>
      <c r="M175" s="40">
        <v>53590</v>
      </c>
      <c r="N175" s="39">
        <v>5796</v>
      </c>
    </row>
    <row r="176" spans="1:14" x14ac:dyDescent="0.3">
      <c r="A176" s="38">
        <v>45747</v>
      </c>
      <c r="B176" s="36" t="s">
        <v>14</v>
      </c>
      <c r="C176" s="39">
        <v>1769</v>
      </c>
      <c r="D176" s="39">
        <v>202</v>
      </c>
      <c r="E176" s="39">
        <f t="shared" si="2"/>
        <v>1567</v>
      </c>
      <c r="F176" s="39">
        <v>1064988</v>
      </c>
      <c r="G176" s="30">
        <v>1.47137808125538E-3</v>
      </c>
      <c r="H176" s="36">
        <v>6.5457075572682513</v>
      </c>
      <c r="I176" s="40">
        <v>25892</v>
      </c>
      <c r="M176" s="40">
        <v>53619</v>
      </c>
      <c r="N176" s="39">
        <v>7421</v>
      </c>
    </row>
    <row r="177" spans="1:14" x14ac:dyDescent="0.3">
      <c r="A177" s="38">
        <v>45747</v>
      </c>
      <c r="B177" s="36" t="s">
        <v>19</v>
      </c>
      <c r="C177" s="39">
        <v>1780</v>
      </c>
      <c r="D177" s="39">
        <v>120</v>
      </c>
      <c r="E177" s="39">
        <f t="shared" si="2"/>
        <v>1660</v>
      </c>
      <c r="F177" s="39">
        <v>1066648</v>
      </c>
      <c r="G177" s="30">
        <v>1.55627723485161E-3</v>
      </c>
      <c r="H177" s="36">
        <v>13.86474263299608</v>
      </c>
      <c r="I177" s="40">
        <v>57299</v>
      </c>
      <c r="M177" s="40">
        <v>53922</v>
      </c>
      <c r="N177" s="39">
        <v>5520</v>
      </c>
    </row>
    <row r="178" spans="1:14" x14ac:dyDescent="0.3">
      <c r="A178" s="38">
        <v>45754</v>
      </c>
      <c r="B178" s="36" t="s">
        <v>14</v>
      </c>
      <c r="C178" s="39">
        <v>7303</v>
      </c>
      <c r="D178" s="39">
        <v>869</v>
      </c>
      <c r="E178" s="39">
        <f t="shared" si="2"/>
        <v>6434</v>
      </c>
      <c r="F178" s="39">
        <v>1073082</v>
      </c>
      <c r="G178" s="30">
        <v>5.9958139266151197E-3</v>
      </c>
      <c r="H178" s="36">
        <v>8.1237966902808925</v>
      </c>
      <c r="I178" s="40">
        <v>27073</v>
      </c>
      <c r="M178" s="40">
        <v>53934</v>
      </c>
      <c r="N178" s="39">
        <v>3925</v>
      </c>
    </row>
    <row r="179" spans="1:14" x14ac:dyDescent="0.3">
      <c r="A179" s="38">
        <v>45754</v>
      </c>
      <c r="B179" s="36" t="s">
        <v>19</v>
      </c>
      <c r="C179" s="39">
        <v>4983</v>
      </c>
      <c r="D179" s="39">
        <v>441</v>
      </c>
      <c r="E179" s="39">
        <f t="shared" si="2"/>
        <v>4542</v>
      </c>
      <c r="F179" s="39">
        <v>1077624</v>
      </c>
      <c r="G179" s="30">
        <v>4.2148281775461604E-3</v>
      </c>
      <c r="H179" s="36">
        <v>6.8954477628560609</v>
      </c>
      <c r="I179" s="40">
        <v>46768</v>
      </c>
      <c r="M179" s="40">
        <v>54848</v>
      </c>
      <c r="N179" s="39">
        <v>1876</v>
      </c>
    </row>
    <row r="180" spans="1:14" x14ac:dyDescent="0.3">
      <c r="A180" s="38">
        <v>45754</v>
      </c>
      <c r="B180" s="36" t="s">
        <v>41</v>
      </c>
      <c r="C180" s="39">
        <v>9714</v>
      </c>
      <c r="D180" s="39">
        <v>1395</v>
      </c>
      <c r="E180" s="39">
        <f t="shared" si="2"/>
        <v>8319</v>
      </c>
      <c r="F180" s="39">
        <v>1085943</v>
      </c>
      <c r="G180" s="30">
        <v>7.6606230713766798E-3</v>
      </c>
      <c r="H180" s="36">
        <v>5.2243073531483697</v>
      </c>
      <c r="I180" s="40">
        <v>40682</v>
      </c>
      <c r="M180" s="40">
        <v>55253</v>
      </c>
      <c r="N180" s="39">
        <v>6003</v>
      </c>
    </row>
    <row r="181" spans="1:14" x14ac:dyDescent="0.3">
      <c r="A181" s="38">
        <v>45754</v>
      </c>
      <c r="B181" s="36" t="s">
        <v>23</v>
      </c>
      <c r="C181" s="39">
        <v>1521</v>
      </c>
      <c r="D181" s="39">
        <v>96</v>
      </c>
      <c r="E181" s="39">
        <f t="shared" si="2"/>
        <v>1425</v>
      </c>
      <c r="F181" s="39">
        <v>1087368</v>
      </c>
      <c r="G181" s="30">
        <v>1.31050389564526E-3</v>
      </c>
      <c r="H181" s="36">
        <v>12.709772588488899</v>
      </c>
      <c r="I181" s="40">
        <v>42262</v>
      </c>
      <c r="M181" s="40">
        <v>55603</v>
      </c>
      <c r="N181" s="39">
        <v>3420</v>
      </c>
    </row>
    <row r="182" spans="1:14" x14ac:dyDescent="0.3">
      <c r="A182" s="38">
        <v>45761</v>
      </c>
      <c r="B182" s="36" t="s">
        <v>19</v>
      </c>
      <c r="C182" s="39">
        <v>8569</v>
      </c>
      <c r="D182" s="39">
        <v>720</v>
      </c>
      <c r="E182" s="39">
        <f t="shared" si="2"/>
        <v>7849</v>
      </c>
      <c r="F182" s="39">
        <v>1095217</v>
      </c>
      <c r="G182" s="30">
        <v>7.1666162961312703E-3</v>
      </c>
      <c r="H182" s="36">
        <v>9.589697749395782</v>
      </c>
      <c r="I182" s="40">
        <v>41358</v>
      </c>
      <c r="M182" s="40">
        <v>55657</v>
      </c>
      <c r="N182" s="39">
        <v>5220</v>
      </c>
    </row>
    <row r="183" spans="1:14" x14ac:dyDescent="0.3">
      <c r="A183" s="38">
        <v>45761</v>
      </c>
      <c r="B183" s="36" t="s">
        <v>19</v>
      </c>
      <c r="C183" s="39">
        <v>6784</v>
      </c>
      <c r="D183" s="39">
        <v>416</v>
      </c>
      <c r="E183" s="39">
        <f t="shared" si="2"/>
        <v>6368</v>
      </c>
      <c r="F183" s="39">
        <v>1101585</v>
      </c>
      <c r="G183" s="30">
        <v>5.7807613574985097E-3</v>
      </c>
      <c r="H183" s="36">
        <v>9.3041390360253633</v>
      </c>
      <c r="I183" s="40">
        <v>24289</v>
      </c>
      <c r="M183" s="40">
        <v>55951</v>
      </c>
      <c r="N183" s="39">
        <v>893</v>
      </c>
    </row>
    <row r="184" spans="1:14" x14ac:dyDescent="0.3">
      <c r="A184" s="38">
        <v>45761</v>
      </c>
      <c r="B184" s="36" t="s">
        <v>19</v>
      </c>
      <c r="C184" s="39">
        <v>5583</v>
      </c>
      <c r="D184" s="39">
        <v>795</v>
      </c>
      <c r="E184" s="39">
        <f t="shared" si="2"/>
        <v>4788</v>
      </c>
      <c r="F184" s="39">
        <v>1106373</v>
      </c>
      <c r="G184" s="30">
        <v>4.3276544167292598E-3</v>
      </c>
      <c r="H184" s="36">
        <v>12.21550055903389</v>
      </c>
      <c r="I184" s="40">
        <v>59823</v>
      </c>
      <c r="M184" s="40">
        <v>56026</v>
      </c>
      <c r="N184" s="39">
        <v>5478</v>
      </c>
    </row>
    <row r="185" spans="1:14" x14ac:dyDescent="0.3">
      <c r="A185" s="38">
        <v>45761</v>
      </c>
      <c r="B185" s="36" t="s">
        <v>19</v>
      </c>
      <c r="C185" s="39">
        <v>6946</v>
      </c>
      <c r="D185" s="39">
        <v>956</v>
      </c>
      <c r="E185" s="39">
        <f t="shared" si="2"/>
        <v>5990</v>
      </c>
      <c r="F185" s="39">
        <v>1112363</v>
      </c>
      <c r="G185" s="30">
        <v>5.3849327962185002E-3</v>
      </c>
      <c r="H185" s="36">
        <v>1.64146056637986</v>
      </c>
      <c r="I185" s="40">
        <v>17927</v>
      </c>
      <c r="M185" s="40">
        <v>56698</v>
      </c>
      <c r="N185" s="39">
        <v>8945</v>
      </c>
    </row>
    <row r="186" spans="1:14" x14ac:dyDescent="0.3">
      <c r="A186" s="38">
        <v>45768</v>
      </c>
      <c r="B186" s="36" t="s">
        <v>23</v>
      </c>
      <c r="C186" s="39">
        <v>5941</v>
      </c>
      <c r="D186" s="39">
        <v>450</v>
      </c>
      <c r="E186" s="39">
        <f t="shared" si="2"/>
        <v>5491</v>
      </c>
      <c r="F186" s="39">
        <v>1117854</v>
      </c>
      <c r="G186" s="30">
        <v>4.9120904876665504E-3</v>
      </c>
      <c r="H186" s="36">
        <v>12.414411899944</v>
      </c>
      <c r="I186" s="40">
        <v>58330</v>
      </c>
      <c r="M186" s="40">
        <v>56850</v>
      </c>
      <c r="N186" s="39">
        <v>6052</v>
      </c>
    </row>
    <row r="187" spans="1:14" x14ac:dyDescent="0.3">
      <c r="A187" s="38">
        <v>45768</v>
      </c>
      <c r="B187" s="36" t="s">
        <v>23</v>
      </c>
      <c r="C187" s="39">
        <v>7267</v>
      </c>
      <c r="D187" s="39">
        <v>842</v>
      </c>
      <c r="E187" s="39">
        <f t="shared" si="2"/>
        <v>6425</v>
      </c>
      <c r="F187" s="39">
        <v>1124279</v>
      </c>
      <c r="G187" s="30">
        <v>5.7147736460433796E-3</v>
      </c>
      <c r="H187" s="36">
        <v>2.2102165031989389</v>
      </c>
      <c r="I187" s="40">
        <v>11171</v>
      </c>
      <c r="M187" s="40">
        <v>56907</v>
      </c>
      <c r="N187" s="39">
        <v>6361</v>
      </c>
    </row>
    <row r="188" spans="1:14" x14ac:dyDescent="0.3">
      <c r="A188" s="38">
        <v>45768</v>
      </c>
      <c r="B188" s="36" t="s">
        <v>41</v>
      </c>
      <c r="C188" s="39">
        <v>8128</v>
      </c>
      <c r="D188" s="39">
        <v>1070</v>
      </c>
      <c r="E188" s="39">
        <f t="shared" si="2"/>
        <v>7058</v>
      </c>
      <c r="F188" s="39">
        <v>1131337</v>
      </c>
      <c r="G188" s="30">
        <v>6.2386362330587603E-3</v>
      </c>
      <c r="H188" s="36">
        <v>8.1114645768679008</v>
      </c>
      <c r="I188" s="40">
        <v>21918</v>
      </c>
      <c r="M188" s="40">
        <v>57299</v>
      </c>
      <c r="N188" s="39">
        <v>1660</v>
      </c>
    </row>
    <row r="189" spans="1:14" x14ac:dyDescent="0.3">
      <c r="A189" s="38">
        <v>45768</v>
      </c>
      <c r="B189" s="36" t="s">
        <v>23</v>
      </c>
      <c r="C189" s="39">
        <v>3461</v>
      </c>
      <c r="D189" s="39">
        <v>365</v>
      </c>
      <c r="E189" s="39">
        <f t="shared" si="2"/>
        <v>3096</v>
      </c>
      <c r="F189" s="39">
        <v>1134433</v>
      </c>
      <c r="G189" s="30">
        <v>2.7291166600407401E-3</v>
      </c>
      <c r="H189" s="36">
        <v>10.23489267325616</v>
      </c>
      <c r="I189" s="40">
        <v>51903</v>
      </c>
      <c r="M189" s="40">
        <v>57639</v>
      </c>
      <c r="N189" s="39">
        <v>8463</v>
      </c>
    </row>
    <row r="190" spans="1:14" x14ac:dyDescent="0.3">
      <c r="A190" s="38">
        <v>45775</v>
      </c>
      <c r="B190" s="36" t="s">
        <v>19</v>
      </c>
      <c r="C190" s="39">
        <v>1685</v>
      </c>
      <c r="D190" s="39">
        <v>173</v>
      </c>
      <c r="E190" s="39">
        <f t="shared" si="2"/>
        <v>1512</v>
      </c>
      <c r="F190" s="39">
        <v>1135945</v>
      </c>
      <c r="G190" s="30">
        <v>1.33105035895224E-3</v>
      </c>
      <c r="H190" s="36">
        <v>8.7776256772995165</v>
      </c>
      <c r="I190" s="40">
        <v>49110</v>
      </c>
      <c r="M190" s="40">
        <v>58201</v>
      </c>
      <c r="N190" s="39">
        <v>4214</v>
      </c>
    </row>
    <row r="191" spans="1:14" x14ac:dyDescent="0.3">
      <c r="A191" s="38">
        <v>45775</v>
      </c>
      <c r="B191" s="36" t="s">
        <v>41</v>
      </c>
      <c r="C191" s="39">
        <v>3160</v>
      </c>
      <c r="D191" s="39">
        <v>234</v>
      </c>
      <c r="E191" s="39">
        <f t="shared" si="2"/>
        <v>2926</v>
      </c>
      <c r="F191" s="39">
        <v>1138871</v>
      </c>
      <c r="G191" s="30">
        <v>2.5692110871204901E-3</v>
      </c>
      <c r="H191" s="36">
        <v>5.6959041015180816</v>
      </c>
      <c r="I191" s="40">
        <v>21929</v>
      </c>
      <c r="M191" s="40">
        <v>58330</v>
      </c>
      <c r="N191" s="39">
        <v>5491</v>
      </c>
    </row>
    <row r="192" spans="1:14" x14ac:dyDescent="0.3">
      <c r="A192" s="38">
        <v>45775</v>
      </c>
      <c r="B192" s="36" t="s">
        <v>41</v>
      </c>
      <c r="C192" s="39">
        <v>8031</v>
      </c>
      <c r="D192" s="39">
        <v>476</v>
      </c>
      <c r="E192" s="39">
        <f t="shared" si="2"/>
        <v>7555</v>
      </c>
      <c r="F192" s="39">
        <v>1146426</v>
      </c>
      <c r="G192" s="30">
        <v>6.5900459340594202E-3</v>
      </c>
      <c r="H192" s="36">
        <v>11.940413075069831</v>
      </c>
      <c r="I192" s="40">
        <v>12539</v>
      </c>
      <c r="M192" s="40">
        <v>58709</v>
      </c>
      <c r="N192" s="39">
        <v>9254</v>
      </c>
    </row>
    <row r="193" spans="1:14" x14ac:dyDescent="0.3">
      <c r="A193" s="38">
        <v>45775</v>
      </c>
      <c r="B193" s="36" t="s">
        <v>41</v>
      </c>
      <c r="C193" s="39">
        <v>6341</v>
      </c>
      <c r="D193" s="39">
        <v>885</v>
      </c>
      <c r="E193" s="39">
        <f t="shared" si="2"/>
        <v>5456</v>
      </c>
      <c r="F193" s="39">
        <v>1151882</v>
      </c>
      <c r="G193" s="30">
        <v>4.7365962832998498E-3</v>
      </c>
      <c r="H193" s="36">
        <v>6.3457020771224837</v>
      </c>
      <c r="I193" s="40">
        <v>46727</v>
      </c>
      <c r="M193" s="40">
        <v>58831</v>
      </c>
      <c r="N193" s="39">
        <v>1309</v>
      </c>
    </row>
    <row r="194" spans="1:14" x14ac:dyDescent="0.3">
      <c r="A194" s="38">
        <v>45782</v>
      </c>
      <c r="B194" s="36" t="s">
        <v>19</v>
      </c>
      <c r="C194" s="39">
        <v>1038</v>
      </c>
      <c r="D194" s="39">
        <v>145</v>
      </c>
      <c r="E194" s="39">
        <f t="shared" si="2"/>
        <v>893</v>
      </c>
      <c r="F194" s="39">
        <v>1152775</v>
      </c>
      <c r="G194" s="30">
        <v>7.7465246904209403E-4</v>
      </c>
      <c r="H194" s="36">
        <v>11.093752033137431</v>
      </c>
      <c r="I194" s="40">
        <v>55951</v>
      </c>
      <c r="M194" s="40">
        <v>58868</v>
      </c>
      <c r="N194" s="39">
        <v>4847</v>
      </c>
    </row>
    <row r="195" spans="1:14" x14ac:dyDescent="0.3">
      <c r="A195" s="38">
        <v>45782</v>
      </c>
      <c r="B195" s="36" t="s">
        <v>14</v>
      </c>
      <c r="C195" s="39">
        <v>5875</v>
      </c>
      <c r="D195" s="39">
        <v>665</v>
      </c>
      <c r="E195" s="39">
        <f t="shared" ref="E195:E201" si="3">C195-D195</f>
        <v>5210</v>
      </c>
      <c r="F195" s="39">
        <v>1157985</v>
      </c>
      <c r="G195" s="30">
        <v>4.4991947218659999E-3</v>
      </c>
      <c r="H195" s="36">
        <v>6.9871371390821126</v>
      </c>
      <c r="I195" s="40">
        <v>32669</v>
      </c>
      <c r="M195" s="40">
        <v>58998</v>
      </c>
      <c r="N195" s="39">
        <v>8632</v>
      </c>
    </row>
    <row r="196" spans="1:14" x14ac:dyDescent="0.3">
      <c r="A196" s="38">
        <v>45782</v>
      </c>
      <c r="B196" s="36" t="s">
        <v>19</v>
      </c>
      <c r="C196" s="39">
        <v>2256</v>
      </c>
      <c r="D196" s="39">
        <v>189</v>
      </c>
      <c r="E196" s="39">
        <f t="shared" si="3"/>
        <v>2067</v>
      </c>
      <c r="F196" s="39">
        <v>1160052</v>
      </c>
      <c r="G196" s="30">
        <v>1.7818166771834401E-3</v>
      </c>
      <c r="H196" s="36">
        <v>2.8935771844710412</v>
      </c>
      <c r="I196" s="40">
        <v>15432</v>
      </c>
      <c r="M196" s="40">
        <v>59378</v>
      </c>
      <c r="N196" s="39">
        <v>2726</v>
      </c>
    </row>
    <row r="197" spans="1:14" x14ac:dyDescent="0.3">
      <c r="A197" s="38">
        <v>45782</v>
      </c>
      <c r="B197" s="36" t="s">
        <v>23</v>
      </c>
      <c r="C197" s="39">
        <v>8697</v>
      </c>
      <c r="D197" s="39">
        <v>738</v>
      </c>
      <c r="E197" s="39">
        <f t="shared" si="3"/>
        <v>7959</v>
      </c>
      <c r="F197" s="39">
        <v>1168011</v>
      </c>
      <c r="G197" s="30">
        <v>6.8141481544266302E-3</v>
      </c>
      <c r="H197" s="36">
        <v>3.8777032065622672</v>
      </c>
      <c r="I197" s="40">
        <v>30644</v>
      </c>
      <c r="M197" s="40">
        <v>59733</v>
      </c>
      <c r="N197" s="39">
        <v>8292</v>
      </c>
    </row>
    <row r="198" spans="1:14" x14ac:dyDescent="0.3">
      <c r="A198" s="38">
        <v>45789</v>
      </c>
      <c r="B198" s="36" t="s">
        <v>23</v>
      </c>
      <c r="C198" s="39">
        <v>3196</v>
      </c>
      <c r="D198" s="39">
        <v>391</v>
      </c>
      <c r="E198" s="39">
        <f t="shared" si="3"/>
        <v>2805</v>
      </c>
      <c r="F198" s="39">
        <v>1170816</v>
      </c>
      <c r="G198" s="30">
        <v>2.39576500491965E-3</v>
      </c>
      <c r="H198" s="36">
        <v>7.2439221876024931</v>
      </c>
      <c r="I198" s="40">
        <v>28745</v>
      </c>
      <c r="M198" s="40">
        <v>59745</v>
      </c>
      <c r="N198" s="39">
        <v>5753</v>
      </c>
    </row>
    <row r="199" spans="1:14" x14ac:dyDescent="0.3">
      <c r="A199" s="38">
        <v>45789</v>
      </c>
      <c r="B199" s="36" t="s">
        <v>19</v>
      </c>
      <c r="C199" s="39">
        <v>8165</v>
      </c>
      <c r="D199" s="39">
        <v>1140</v>
      </c>
      <c r="E199" s="39">
        <f t="shared" si="3"/>
        <v>7025</v>
      </c>
      <c r="F199" s="39">
        <v>1177841</v>
      </c>
      <c r="G199" s="30">
        <v>5.9643024822535499E-3</v>
      </c>
      <c r="H199" s="36">
        <v>9.095964565675672</v>
      </c>
      <c r="I199" s="40">
        <v>38228</v>
      </c>
      <c r="M199" s="40">
        <v>59811</v>
      </c>
      <c r="N199" s="39">
        <v>8360</v>
      </c>
    </row>
    <row r="200" spans="1:14" x14ac:dyDescent="0.3">
      <c r="A200" s="38">
        <v>45789</v>
      </c>
      <c r="B200" s="36" t="s">
        <v>19</v>
      </c>
      <c r="C200" s="39">
        <v>1301</v>
      </c>
      <c r="D200" s="39">
        <v>180</v>
      </c>
      <c r="E200" s="39">
        <f t="shared" si="3"/>
        <v>1121</v>
      </c>
      <c r="F200" s="39">
        <v>1178962</v>
      </c>
      <c r="G200" s="30">
        <v>9.5083641372665096E-4</v>
      </c>
      <c r="H200" s="36">
        <v>5.2275645864752214</v>
      </c>
      <c r="I200" s="40">
        <v>44521</v>
      </c>
      <c r="M200" s="40">
        <v>59815</v>
      </c>
      <c r="N200" s="39">
        <v>9118</v>
      </c>
    </row>
    <row r="201" spans="1:14" x14ac:dyDescent="0.3">
      <c r="A201" s="41">
        <v>45789</v>
      </c>
      <c r="B201" s="37" t="s">
        <v>41</v>
      </c>
      <c r="C201" s="42">
        <v>8527</v>
      </c>
      <c r="D201" s="42">
        <v>1091</v>
      </c>
      <c r="E201" s="39">
        <f t="shared" si="3"/>
        <v>7436</v>
      </c>
      <c r="F201" s="42">
        <v>1186398</v>
      </c>
      <c r="G201" s="33">
        <v>6.2677111728104704E-3</v>
      </c>
      <c r="H201" s="37">
        <v>1.676081719625286</v>
      </c>
      <c r="I201" s="43">
        <v>41703</v>
      </c>
      <c r="M201" s="43">
        <v>59823</v>
      </c>
      <c r="N201" s="39">
        <v>4788</v>
      </c>
    </row>
  </sheetData>
  <sortState xmlns:xlrd2="http://schemas.microsoft.com/office/spreadsheetml/2017/richdata2" ref="L2:M201">
    <sortCondition ref="M2:M201"/>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43FA-3606-4AD2-BE6D-3BC32B98447C}">
  <dimension ref="B2:L201"/>
  <sheetViews>
    <sheetView tabSelected="1" zoomScale="105" workbookViewId="0">
      <selection activeCell="L20" sqref="L20"/>
    </sheetView>
  </sheetViews>
  <sheetFormatPr defaultRowHeight="14.4" x14ac:dyDescent="0.3"/>
  <cols>
    <col min="2" max="2" width="12.44140625" bestFit="1" customWidth="1"/>
    <col min="3" max="3" width="27.77734375" bestFit="1" customWidth="1"/>
    <col min="8" max="8" width="53.109375" bestFit="1" customWidth="1"/>
    <col min="12" max="12" width="64.88671875" bestFit="1" customWidth="1"/>
  </cols>
  <sheetData>
    <row r="2" spans="2:12" ht="15.6" x14ac:dyDescent="0.3">
      <c r="H2" s="13" t="s">
        <v>356</v>
      </c>
    </row>
    <row r="3" spans="2:12" x14ac:dyDescent="0.3">
      <c r="B3" s="16" t="s">
        <v>358</v>
      </c>
      <c r="C3" t="s">
        <v>361</v>
      </c>
    </row>
    <row r="4" spans="2:12" x14ac:dyDescent="0.3">
      <c r="B4" s="19">
        <v>10161</v>
      </c>
      <c r="C4" s="18">
        <v>1.1761783384455901E-2</v>
      </c>
      <c r="E4" s="20">
        <v>10161</v>
      </c>
      <c r="F4" s="21">
        <v>1.1761783384455901E-2</v>
      </c>
      <c r="G4" s="18"/>
      <c r="H4" s="14" t="s">
        <v>365</v>
      </c>
    </row>
    <row r="5" spans="2:12" x14ac:dyDescent="0.3">
      <c r="B5" s="19">
        <v>10162</v>
      </c>
      <c r="C5" s="18">
        <v>6.6916502259743004E-3</v>
      </c>
      <c r="E5" s="20">
        <v>10162</v>
      </c>
      <c r="F5" s="21">
        <v>6.6916502259743004E-3</v>
      </c>
      <c r="G5" s="18"/>
    </row>
    <row r="6" spans="2:12" x14ac:dyDescent="0.3">
      <c r="B6" s="19">
        <v>10541</v>
      </c>
      <c r="C6" s="18">
        <v>1.3957518612685099E-2</v>
      </c>
      <c r="E6" s="20">
        <v>10541</v>
      </c>
      <c r="F6" s="21">
        <v>1.3957518612685099E-2</v>
      </c>
      <c r="G6" s="18"/>
      <c r="L6" s="15" t="s">
        <v>355</v>
      </c>
    </row>
    <row r="7" spans="2:12" x14ac:dyDescent="0.3">
      <c r="B7" s="19">
        <v>11013</v>
      </c>
      <c r="C7" s="18">
        <v>1.44282978483722E-2</v>
      </c>
      <c r="E7" s="20">
        <v>11013</v>
      </c>
      <c r="F7" s="21">
        <v>1.44282978483722E-2</v>
      </c>
      <c r="G7" s="18"/>
      <c r="L7" s="15" t="s">
        <v>366</v>
      </c>
    </row>
    <row r="8" spans="2:12" x14ac:dyDescent="0.3">
      <c r="B8" s="19">
        <v>11171</v>
      </c>
      <c r="C8" s="18">
        <v>5.7147736460433796E-3</v>
      </c>
      <c r="E8" s="20">
        <v>11171</v>
      </c>
      <c r="F8" s="21">
        <v>5.7147736460433796E-3</v>
      </c>
      <c r="G8" s="18"/>
      <c r="L8" s="15" t="s">
        <v>367</v>
      </c>
    </row>
    <row r="9" spans="2:12" x14ac:dyDescent="0.3">
      <c r="B9" s="19">
        <v>11431</v>
      </c>
      <c r="C9" s="18">
        <v>7.3286327056561202E-3</v>
      </c>
      <c r="E9" s="20">
        <v>11431</v>
      </c>
      <c r="F9" s="21">
        <v>7.3286327056561202E-3</v>
      </c>
      <c r="G9" s="18"/>
      <c r="L9" s="15" t="s">
        <v>368</v>
      </c>
    </row>
    <row r="10" spans="2:12" x14ac:dyDescent="0.3">
      <c r="B10" s="19">
        <v>11619</v>
      </c>
      <c r="C10" s="18">
        <v>9.7157453085159502E-3</v>
      </c>
      <c r="E10" s="20">
        <v>11619</v>
      </c>
      <c r="F10" s="21">
        <v>9.7157453085159502E-3</v>
      </c>
      <c r="G10" s="18"/>
      <c r="L10" s="15" t="s">
        <v>369</v>
      </c>
    </row>
    <row r="11" spans="2:12" x14ac:dyDescent="0.3">
      <c r="B11" s="19">
        <v>11651</v>
      </c>
      <c r="C11" s="18">
        <v>8.2418783612434997E-3</v>
      </c>
      <c r="E11" s="20">
        <v>11651</v>
      </c>
      <c r="F11" s="21">
        <v>8.2418783612434997E-3</v>
      </c>
      <c r="G11" s="18"/>
      <c r="L11" s="15" t="s">
        <v>370</v>
      </c>
    </row>
    <row r="12" spans="2:12" x14ac:dyDescent="0.3">
      <c r="B12" s="19">
        <v>11828</v>
      </c>
      <c r="C12" s="18">
        <v>8.2064008214958097E-3</v>
      </c>
      <c r="E12" s="20">
        <v>11828</v>
      </c>
      <c r="F12" s="21">
        <v>8.2064008214958097E-3</v>
      </c>
      <c r="G12" s="18"/>
      <c r="L12" s="15" t="s">
        <v>371</v>
      </c>
    </row>
    <row r="13" spans="2:12" x14ac:dyDescent="0.3">
      <c r="B13" s="19">
        <v>12023</v>
      </c>
      <c r="C13" s="18">
        <v>2.79368780972039E-2</v>
      </c>
      <c r="E13" s="20">
        <v>12023</v>
      </c>
      <c r="F13" s="21">
        <v>2.79368780972039E-2</v>
      </c>
      <c r="G13" s="18"/>
    </row>
    <row r="14" spans="2:12" x14ac:dyDescent="0.3">
      <c r="B14" s="19">
        <v>12096</v>
      </c>
      <c r="C14" s="18">
        <v>1.08330338836162E-2</v>
      </c>
      <c r="E14" s="20">
        <v>12096</v>
      </c>
      <c r="F14" s="21">
        <v>1.08330338836162E-2</v>
      </c>
      <c r="G14" s="18"/>
    </row>
    <row r="15" spans="2:12" x14ac:dyDescent="0.3">
      <c r="B15" s="19">
        <v>12539</v>
      </c>
      <c r="C15" s="18">
        <v>6.5900459340594202E-3</v>
      </c>
      <c r="E15" s="20">
        <v>12539</v>
      </c>
      <c r="F15" s="21">
        <v>6.5900459340594202E-3</v>
      </c>
      <c r="G15" s="18"/>
    </row>
    <row r="16" spans="2:12" x14ac:dyDescent="0.3">
      <c r="B16" s="19">
        <v>12563</v>
      </c>
      <c r="C16" s="18">
        <v>1.1473198674504199E-2</v>
      </c>
      <c r="E16" s="20">
        <v>12563</v>
      </c>
      <c r="F16" s="21">
        <v>1.1473198674504199E-2</v>
      </c>
      <c r="G16" s="18"/>
    </row>
    <row r="17" spans="2:7" x14ac:dyDescent="0.3">
      <c r="B17" s="19">
        <v>12643</v>
      </c>
      <c r="C17" s="18">
        <v>4.0213653634588497E-3</v>
      </c>
      <c r="E17" s="20">
        <v>12643</v>
      </c>
      <c r="F17" s="21">
        <v>4.0213653634588497E-3</v>
      </c>
      <c r="G17" s="18"/>
    </row>
    <row r="18" spans="2:7" x14ac:dyDescent="0.3">
      <c r="B18" s="19">
        <v>12839</v>
      </c>
      <c r="C18" s="18">
        <v>1.22310632349635E-3</v>
      </c>
      <c r="E18" s="20">
        <v>12839</v>
      </c>
      <c r="F18" s="21">
        <v>1.22310632349635E-3</v>
      </c>
      <c r="G18" s="18"/>
    </row>
    <row r="19" spans="2:7" x14ac:dyDescent="0.3">
      <c r="B19" s="19">
        <v>13384</v>
      </c>
      <c r="C19" s="18">
        <v>1.03008007971693E-2</v>
      </c>
      <c r="E19" s="20">
        <v>13384</v>
      </c>
      <c r="F19" s="21">
        <v>1.03008007971693E-2</v>
      </c>
      <c r="G19" s="18"/>
    </row>
    <row r="20" spans="2:7" x14ac:dyDescent="0.3">
      <c r="B20" s="19">
        <v>13390</v>
      </c>
      <c r="C20" s="18">
        <v>1.62733468101229E-2</v>
      </c>
      <c r="E20" s="20">
        <v>13390</v>
      </c>
      <c r="F20" s="21">
        <v>1.62733468101229E-2</v>
      </c>
      <c r="G20" s="18"/>
    </row>
    <row r="21" spans="2:7" x14ac:dyDescent="0.3">
      <c r="B21" s="19">
        <v>13471</v>
      </c>
      <c r="C21" s="18">
        <v>8.2487229214992797E-3</v>
      </c>
      <c r="E21" s="20">
        <v>13471</v>
      </c>
      <c r="F21" s="21">
        <v>8.2487229214992797E-3</v>
      </c>
      <c r="G21" s="18"/>
    </row>
    <row r="22" spans="2:7" x14ac:dyDescent="0.3">
      <c r="B22" s="19">
        <v>13586</v>
      </c>
      <c r="C22" s="18">
        <v>1.11720242545062E-2</v>
      </c>
      <c r="E22" s="20">
        <v>13586</v>
      </c>
      <c r="F22" s="21">
        <v>1.11720242545062E-2</v>
      </c>
      <c r="G22" s="18"/>
    </row>
    <row r="23" spans="2:7" x14ac:dyDescent="0.3">
      <c r="B23" s="19">
        <v>15017</v>
      </c>
      <c r="C23" s="18">
        <v>1.17892507251627E-2</v>
      </c>
      <c r="E23" s="20">
        <v>15017</v>
      </c>
      <c r="F23" s="21">
        <v>1.17892507251627E-2</v>
      </c>
      <c r="G23" s="18"/>
    </row>
    <row r="24" spans="2:7" x14ac:dyDescent="0.3">
      <c r="B24" s="19">
        <v>15105</v>
      </c>
      <c r="C24" s="18">
        <v>3.6034323341081701E-3</v>
      </c>
      <c r="E24" s="20">
        <v>15105</v>
      </c>
      <c r="F24" s="21">
        <v>3.6034323341081701E-3</v>
      </c>
      <c r="G24" s="18"/>
    </row>
    <row r="25" spans="2:7" x14ac:dyDescent="0.3">
      <c r="B25" s="19">
        <v>15110</v>
      </c>
      <c r="C25" s="18">
        <v>4.7249186834646899E-2</v>
      </c>
      <c r="E25" s="20">
        <v>15110</v>
      </c>
      <c r="F25" s="21">
        <v>4.7249186834646899E-2</v>
      </c>
      <c r="G25" s="18"/>
    </row>
    <row r="26" spans="2:7" x14ac:dyDescent="0.3">
      <c r="B26" s="19">
        <v>15347</v>
      </c>
      <c r="C26" s="18">
        <v>8.7411286339618595E-3</v>
      </c>
      <c r="E26" s="20">
        <v>15347</v>
      </c>
      <c r="F26" s="21">
        <v>8.7411286339618595E-3</v>
      </c>
      <c r="G26" s="18"/>
    </row>
    <row r="27" spans="2:7" x14ac:dyDescent="0.3">
      <c r="B27" s="19">
        <v>15432</v>
      </c>
      <c r="C27" s="18">
        <v>1.7818166771834401E-3</v>
      </c>
      <c r="E27" s="20">
        <v>15432</v>
      </c>
      <c r="F27" s="21">
        <v>1.7818166771834401E-3</v>
      </c>
      <c r="G27" s="18"/>
    </row>
    <row r="28" spans="2:7" x14ac:dyDescent="0.3">
      <c r="B28" s="19">
        <v>15469</v>
      </c>
      <c r="C28" s="18">
        <v>1.7407145236508999E-2</v>
      </c>
      <c r="E28" s="20">
        <v>15469</v>
      </c>
      <c r="F28" s="21">
        <v>1.7407145236508999E-2</v>
      </c>
      <c r="G28" s="18"/>
    </row>
    <row r="29" spans="2:7" x14ac:dyDescent="0.3">
      <c r="B29" s="19">
        <v>15997</v>
      </c>
      <c r="C29" s="18">
        <v>1.9904734026983201E-2</v>
      </c>
      <c r="E29" s="20">
        <v>15997</v>
      </c>
      <c r="F29" s="21">
        <v>1.9904734026983201E-2</v>
      </c>
      <c r="G29" s="18"/>
    </row>
    <row r="30" spans="2:7" x14ac:dyDescent="0.3">
      <c r="B30" s="19">
        <v>16256</v>
      </c>
      <c r="C30" s="18">
        <v>3.1647322078673201E-3</v>
      </c>
      <c r="E30" s="20">
        <v>16256</v>
      </c>
      <c r="F30" s="21">
        <v>3.1647322078673201E-3</v>
      </c>
      <c r="G30" s="18"/>
    </row>
    <row r="31" spans="2:7" x14ac:dyDescent="0.3">
      <c r="B31" s="19">
        <v>16397</v>
      </c>
      <c r="C31" s="18">
        <v>7.9143689309009099E-3</v>
      </c>
      <c r="E31" s="20">
        <v>16397</v>
      </c>
      <c r="F31" s="21">
        <v>7.9143689309009099E-3</v>
      </c>
      <c r="G31" s="18"/>
    </row>
    <row r="32" spans="2:7" x14ac:dyDescent="0.3">
      <c r="B32" s="19">
        <v>16643</v>
      </c>
      <c r="C32" s="18">
        <v>2.0680124086625399E-2</v>
      </c>
      <c r="E32" s="20">
        <v>16643</v>
      </c>
      <c r="F32" s="21">
        <v>2.0680124086625399E-2</v>
      </c>
      <c r="G32" s="18"/>
    </row>
    <row r="33" spans="2:7" x14ac:dyDescent="0.3">
      <c r="B33" s="19">
        <v>17531</v>
      </c>
      <c r="C33" s="18">
        <v>6.2732154042802997E-3</v>
      </c>
      <c r="E33" s="20">
        <v>17531</v>
      </c>
      <c r="F33" s="21">
        <v>6.2732154042802997E-3</v>
      </c>
      <c r="G33" s="18"/>
    </row>
    <row r="34" spans="2:7" x14ac:dyDescent="0.3">
      <c r="B34" s="19">
        <v>17710</v>
      </c>
      <c r="C34" s="18">
        <v>9.2275345635198999E-3</v>
      </c>
      <c r="E34" s="20">
        <v>17710</v>
      </c>
      <c r="F34" s="21">
        <v>9.2275345635198999E-3</v>
      </c>
      <c r="G34" s="18"/>
    </row>
    <row r="35" spans="2:7" x14ac:dyDescent="0.3">
      <c r="B35" s="19">
        <v>17736</v>
      </c>
      <c r="C35" s="18">
        <v>4.3599621410908996E-3</v>
      </c>
      <c r="E35" s="20">
        <v>17736</v>
      </c>
      <c r="F35" s="21">
        <v>4.3599621410908996E-3</v>
      </c>
      <c r="G35" s="18"/>
    </row>
    <row r="36" spans="2:7" x14ac:dyDescent="0.3">
      <c r="B36" s="19">
        <v>17896</v>
      </c>
      <c r="C36" s="18">
        <v>2.5411368454818402E-3</v>
      </c>
      <c r="E36" s="20">
        <v>17896</v>
      </c>
      <c r="F36" s="21">
        <v>2.5411368454818402E-3</v>
      </c>
      <c r="G36" s="18"/>
    </row>
    <row r="37" spans="2:7" x14ac:dyDescent="0.3">
      <c r="B37" s="19">
        <v>17909</v>
      </c>
      <c r="C37" s="18">
        <v>2.5988097817933299E-2</v>
      </c>
      <c r="E37" s="20">
        <v>17909</v>
      </c>
      <c r="F37" s="21">
        <v>2.5988097817933299E-2</v>
      </c>
      <c r="G37" s="18"/>
    </row>
    <row r="38" spans="2:7" x14ac:dyDescent="0.3">
      <c r="B38" s="19">
        <v>17927</v>
      </c>
      <c r="C38" s="18">
        <v>5.3849327962185002E-3</v>
      </c>
      <c r="E38" s="20">
        <v>17927</v>
      </c>
      <c r="F38" s="21">
        <v>5.3849327962185002E-3</v>
      </c>
      <c r="G38" s="18"/>
    </row>
    <row r="39" spans="2:7" x14ac:dyDescent="0.3">
      <c r="B39" s="19">
        <v>17999</v>
      </c>
      <c r="C39" s="18">
        <v>5.8674558852731496E-3</v>
      </c>
      <c r="E39" s="20">
        <v>17999</v>
      </c>
      <c r="F39" s="21">
        <v>5.8674558852731496E-3</v>
      </c>
      <c r="G39" s="18"/>
    </row>
    <row r="40" spans="2:7" x14ac:dyDescent="0.3">
      <c r="B40" s="19">
        <v>18329</v>
      </c>
      <c r="C40" s="18">
        <v>9.9959824463811096E-3</v>
      </c>
      <c r="E40" s="20">
        <v>18329</v>
      </c>
      <c r="F40" s="21">
        <v>9.9959824463811096E-3</v>
      </c>
      <c r="G40" s="18"/>
    </row>
    <row r="41" spans="2:7" x14ac:dyDescent="0.3">
      <c r="B41" s="19">
        <v>18461</v>
      </c>
      <c r="C41" s="18">
        <v>7.6346856342172E-3</v>
      </c>
      <c r="E41" s="20">
        <v>18461</v>
      </c>
      <c r="F41" s="21">
        <v>7.6346856342172E-3</v>
      </c>
      <c r="G41" s="18"/>
    </row>
    <row r="42" spans="2:7" x14ac:dyDescent="0.3">
      <c r="B42" s="19">
        <v>19067</v>
      </c>
      <c r="C42" s="18">
        <v>1.4138938637006299E-3</v>
      </c>
      <c r="E42" s="20">
        <v>19067</v>
      </c>
      <c r="F42" s="21">
        <v>1.4138938637006299E-3</v>
      </c>
      <c r="G42" s="18"/>
    </row>
    <row r="43" spans="2:7" x14ac:dyDescent="0.3">
      <c r="B43" s="19">
        <v>19435</v>
      </c>
      <c r="C43" s="18">
        <v>9.7274398018054094E-3</v>
      </c>
      <c r="E43" s="20">
        <v>19435</v>
      </c>
      <c r="F43" s="21">
        <v>9.7274398018054094E-3</v>
      </c>
      <c r="G43" s="18"/>
    </row>
    <row r="44" spans="2:7" x14ac:dyDescent="0.3">
      <c r="B44" s="19">
        <v>19518</v>
      </c>
      <c r="C44" s="18">
        <v>5.7258259280459E-3</v>
      </c>
      <c r="E44" s="20">
        <v>19518</v>
      </c>
      <c r="F44" s="21">
        <v>5.7258259280459E-3</v>
      </c>
      <c r="G44" s="18"/>
    </row>
    <row r="45" spans="2:7" x14ac:dyDescent="0.3">
      <c r="B45" s="19">
        <v>19557</v>
      </c>
      <c r="C45" s="18">
        <v>6.4901721634158397E-3</v>
      </c>
      <c r="E45" s="20">
        <v>19557</v>
      </c>
      <c r="F45" s="21">
        <v>6.4901721634158397E-3</v>
      </c>
      <c r="G45" s="18"/>
    </row>
    <row r="46" spans="2:7" x14ac:dyDescent="0.3">
      <c r="B46" s="19">
        <v>19596</v>
      </c>
      <c r="C46" s="18">
        <v>2.5746435818378301E-2</v>
      </c>
      <c r="E46" s="20">
        <v>19596</v>
      </c>
      <c r="F46" s="21">
        <v>2.5746435818378301E-2</v>
      </c>
      <c r="G46" s="18"/>
    </row>
    <row r="47" spans="2:7" x14ac:dyDescent="0.3">
      <c r="B47" s="19">
        <v>19833</v>
      </c>
      <c r="C47" s="18">
        <v>3.5726847897090599E-3</v>
      </c>
      <c r="E47" s="20">
        <v>19833</v>
      </c>
      <c r="F47" s="21">
        <v>3.5726847897090599E-3</v>
      </c>
      <c r="G47" s="18"/>
    </row>
    <row r="48" spans="2:7" x14ac:dyDescent="0.3">
      <c r="B48" s="19">
        <v>20028</v>
      </c>
      <c r="C48" s="18">
        <v>1.5095192020375899E-2</v>
      </c>
      <c r="E48" s="20">
        <v>20028</v>
      </c>
      <c r="F48" s="21">
        <v>1.5095192020375899E-2</v>
      </c>
      <c r="G48" s="18"/>
    </row>
    <row r="49" spans="2:7" x14ac:dyDescent="0.3">
      <c r="B49" s="19">
        <v>20258</v>
      </c>
      <c r="C49" s="18">
        <v>1.07381558705685E-2</v>
      </c>
      <c r="E49" s="20">
        <v>20258</v>
      </c>
      <c r="F49" s="21">
        <v>1.07381558705685E-2</v>
      </c>
      <c r="G49" s="18"/>
    </row>
    <row r="50" spans="2:7" x14ac:dyDescent="0.3">
      <c r="B50" s="19">
        <v>20720</v>
      </c>
      <c r="C50" s="18">
        <v>5.7749600830354396E-3</v>
      </c>
      <c r="E50" s="20">
        <v>20720</v>
      </c>
      <c r="F50" s="21">
        <v>5.7749600830354396E-3</v>
      </c>
      <c r="G50" s="18"/>
    </row>
    <row r="51" spans="2:7" x14ac:dyDescent="0.3">
      <c r="B51" s="19">
        <v>21005</v>
      </c>
      <c r="C51" s="18">
        <v>1.4122161852061201E-2</v>
      </c>
      <c r="E51" s="20">
        <v>21005</v>
      </c>
      <c r="F51" s="21">
        <v>1.4122161852061201E-2</v>
      </c>
      <c r="G51" s="18"/>
    </row>
    <row r="52" spans="2:7" x14ac:dyDescent="0.3">
      <c r="B52" s="19">
        <v>21918</v>
      </c>
      <c r="C52" s="18">
        <v>6.2386362330587603E-3</v>
      </c>
      <c r="E52" s="20">
        <v>21918</v>
      </c>
      <c r="F52" s="21">
        <v>6.2386362330587603E-3</v>
      </c>
      <c r="G52" s="18"/>
    </row>
    <row r="53" spans="2:7" x14ac:dyDescent="0.3">
      <c r="B53" s="19">
        <v>21929</v>
      </c>
      <c r="C53" s="18">
        <v>2.5692110871204901E-3</v>
      </c>
      <c r="E53" s="20">
        <v>21929</v>
      </c>
      <c r="F53" s="21">
        <v>2.5692110871204901E-3</v>
      </c>
      <c r="G53" s="18"/>
    </row>
    <row r="54" spans="2:7" x14ac:dyDescent="0.3">
      <c r="B54" s="19">
        <v>22087</v>
      </c>
      <c r="C54" s="18">
        <v>3.70779656877709E-2</v>
      </c>
      <c r="E54" s="20">
        <v>22087</v>
      </c>
      <c r="F54" s="21">
        <v>3.70779656877709E-2</v>
      </c>
      <c r="G54" s="18"/>
    </row>
    <row r="55" spans="2:7" x14ac:dyDescent="0.3">
      <c r="B55" s="19">
        <v>22448</v>
      </c>
      <c r="C55" s="18">
        <v>1.13228914433829E-2</v>
      </c>
      <c r="E55" s="20">
        <v>22448</v>
      </c>
      <c r="F55" s="21">
        <v>1.13228914433829E-2</v>
      </c>
      <c r="G55" s="18"/>
    </row>
    <row r="56" spans="2:7" x14ac:dyDescent="0.3">
      <c r="B56" s="19">
        <v>22693</v>
      </c>
      <c r="C56" s="18">
        <v>1.76848989213685E-2</v>
      </c>
      <c r="E56" s="20">
        <v>22693</v>
      </c>
      <c r="F56" s="21">
        <v>1.76848989213685E-2</v>
      </c>
      <c r="G56" s="18"/>
    </row>
    <row r="57" spans="2:7" x14ac:dyDescent="0.3">
      <c r="B57" s="19">
        <v>23109</v>
      </c>
      <c r="C57" s="18">
        <v>1.45319857678935E-2</v>
      </c>
      <c r="E57" s="20">
        <v>23109</v>
      </c>
      <c r="F57" s="21">
        <v>1.45319857678935E-2</v>
      </c>
      <c r="G57" s="18"/>
    </row>
    <row r="58" spans="2:7" x14ac:dyDescent="0.3">
      <c r="B58" s="19">
        <v>23428</v>
      </c>
      <c r="C58" s="18">
        <v>4.63057602232631E-3</v>
      </c>
      <c r="E58" s="20">
        <v>23428</v>
      </c>
      <c r="F58" s="21">
        <v>4.63057602232631E-3</v>
      </c>
      <c r="G58" s="18"/>
    </row>
    <row r="59" spans="2:7" x14ac:dyDescent="0.3">
      <c r="B59" s="19">
        <v>23493</v>
      </c>
      <c r="C59" s="18">
        <v>9.04496128061715E-3</v>
      </c>
      <c r="E59" s="20">
        <v>23493</v>
      </c>
      <c r="F59" s="21">
        <v>9.04496128061715E-3</v>
      </c>
      <c r="G59" s="18"/>
    </row>
    <row r="60" spans="2:7" x14ac:dyDescent="0.3">
      <c r="B60" s="19">
        <v>23944</v>
      </c>
      <c r="C60" s="18">
        <v>3.6395347716738802E-2</v>
      </c>
      <c r="E60" s="20">
        <v>23944</v>
      </c>
      <c r="F60" s="21">
        <v>3.6395347716738802E-2</v>
      </c>
      <c r="G60" s="18"/>
    </row>
    <row r="61" spans="2:7" x14ac:dyDescent="0.3">
      <c r="B61" s="19">
        <v>23975</v>
      </c>
      <c r="C61" s="18">
        <v>8.8674254157928897E-3</v>
      </c>
      <c r="E61" s="20">
        <v>23975</v>
      </c>
      <c r="F61" s="21">
        <v>8.8674254157928897E-3</v>
      </c>
      <c r="G61" s="18"/>
    </row>
    <row r="62" spans="2:7" x14ac:dyDescent="0.3">
      <c r="B62" s="19">
        <v>24226</v>
      </c>
      <c r="C62" s="18">
        <v>2.13321791685348E-2</v>
      </c>
      <c r="E62" s="20">
        <v>24226</v>
      </c>
      <c r="F62" s="21">
        <v>2.13321791685348E-2</v>
      </c>
      <c r="G62" s="18"/>
    </row>
    <row r="63" spans="2:7" x14ac:dyDescent="0.3">
      <c r="B63" s="19">
        <v>24289</v>
      </c>
      <c r="C63" s="18">
        <v>5.7807613574985097E-3</v>
      </c>
      <c r="E63" s="20">
        <v>24289</v>
      </c>
      <c r="F63" s="21">
        <v>5.7807613574985097E-3</v>
      </c>
      <c r="G63" s="18"/>
    </row>
    <row r="64" spans="2:7" x14ac:dyDescent="0.3">
      <c r="B64" s="19">
        <v>24472</v>
      </c>
      <c r="C64" s="18">
        <v>7.86528801260508E-3</v>
      </c>
      <c r="E64" s="20">
        <v>24472</v>
      </c>
      <c r="F64" s="21">
        <v>7.86528801260508E-3</v>
      </c>
      <c r="G64" s="18"/>
    </row>
    <row r="65" spans="2:7" x14ac:dyDescent="0.3">
      <c r="B65" s="19">
        <v>24537</v>
      </c>
      <c r="C65" s="18">
        <v>7.1416279469970799E-3</v>
      </c>
      <c r="E65" s="20">
        <v>24537</v>
      </c>
      <c r="F65" s="21">
        <v>7.1416279469970799E-3</v>
      </c>
      <c r="G65" s="18"/>
    </row>
    <row r="66" spans="2:7" x14ac:dyDescent="0.3">
      <c r="B66" s="19">
        <v>25078</v>
      </c>
      <c r="C66" s="18">
        <v>9.2561160241940096E-3</v>
      </c>
      <c r="E66" s="20">
        <v>25078</v>
      </c>
      <c r="F66" s="21">
        <v>9.2561160241940096E-3</v>
      </c>
      <c r="G66" s="18"/>
    </row>
    <row r="67" spans="2:7" x14ac:dyDescent="0.3">
      <c r="B67" s="19">
        <v>25261</v>
      </c>
      <c r="C67" s="18">
        <v>1.12781081968627E-3</v>
      </c>
      <c r="E67" s="20">
        <v>25261</v>
      </c>
      <c r="F67" s="21">
        <v>1.12781081968627E-3</v>
      </c>
      <c r="G67" s="18"/>
    </row>
    <row r="68" spans="2:7" x14ac:dyDescent="0.3">
      <c r="B68" s="19">
        <v>25379</v>
      </c>
      <c r="C68" s="18">
        <v>4.2535354727546645E-2</v>
      </c>
      <c r="E68" s="20">
        <v>25379</v>
      </c>
      <c r="F68" s="21">
        <v>4.2535354727546645E-2</v>
      </c>
      <c r="G68" s="18"/>
    </row>
    <row r="69" spans="2:7" x14ac:dyDescent="0.3">
      <c r="B69" s="19">
        <v>25892</v>
      </c>
      <c r="C69" s="18">
        <v>1.47137808125538E-3</v>
      </c>
      <c r="E69" s="20">
        <v>25892</v>
      </c>
      <c r="F69" s="21">
        <v>1.47137808125538E-3</v>
      </c>
      <c r="G69" s="18"/>
    </row>
    <row r="70" spans="2:7" x14ac:dyDescent="0.3">
      <c r="B70" s="19">
        <v>26029</v>
      </c>
      <c r="C70" s="18">
        <v>4.0686808384763299E-3</v>
      </c>
      <c r="E70" s="20">
        <v>26029</v>
      </c>
      <c r="F70" s="21">
        <v>4.0686808384763299E-3</v>
      </c>
      <c r="G70" s="18"/>
    </row>
    <row r="71" spans="2:7" x14ac:dyDescent="0.3">
      <c r="B71" s="19">
        <v>26044</v>
      </c>
      <c r="C71" s="18">
        <v>8.6741122874282404E-3</v>
      </c>
      <c r="E71" s="20">
        <v>26044</v>
      </c>
      <c r="F71" s="21">
        <v>8.6741122874282404E-3</v>
      </c>
      <c r="G71" s="18"/>
    </row>
    <row r="72" spans="2:7" x14ac:dyDescent="0.3">
      <c r="B72" s="19">
        <v>26087</v>
      </c>
      <c r="C72" s="18">
        <v>8.0587659281841292E-3</v>
      </c>
      <c r="E72" s="20">
        <v>26087</v>
      </c>
      <c r="F72" s="21">
        <v>8.0587659281841292E-3</v>
      </c>
      <c r="G72" s="18"/>
    </row>
    <row r="73" spans="2:7" x14ac:dyDescent="0.3">
      <c r="B73" s="19">
        <v>26184</v>
      </c>
      <c r="C73" s="18">
        <v>1.40376985967868E-2</v>
      </c>
      <c r="E73" s="20">
        <v>26184</v>
      </c>
      <c r="F73" s="21">
        <v>1.40376985967868E-2</v>
      </c>
      <c r="G73" s="18"/>
    </row>
    <row r="74" spans="2:7" x14ac:dyDescent="0.3">
      <c r="B74" s="19">
        <v>26370</v>
      </c>
      <c r="C74" s="18">
        <v>8.6010628309353201E-3</v>
      </c>
      <c r="E74" s="20">
        <v>26370</v>
      </c>
      <c r="F74" s="21">
        <v>8.6010628309353201E-3</v>
      </c>
      <c r="G74" s="18"/>
    </row>
    <row r="75" spans="2:7" x14ac:dyDescent="0.3">
      <c r="B75" s="19">
        <v>27015</v>
      </c>
      <c r="C75" s="18">
        <v>2.1331928289458199E-3</v>
      </c>
      <c r="E75" s="20">
        <v>27015</v>
      </c>
      <c r="F75" s="21">
        <v>2.1331928289458199E-3</v>
      </c>
      <c r="G75" s="18"/>
    </row>
    <row r="76" spans="2:7" x14ac:dyDescent="0.3">
      <c r="B76" s="19">
        <v>27069</v>
      </c>
      <c r="C76" s="18">
        <v>8.5063803711172108E-3</v>
      </c>
      <c r="E76" s="20">
        <v>27069</v>
      </c>
      <c r="F76" s="21">
        <v>8.5063803711172108E-3</v>
      </c>
      <c r="G76" s="18"/>
    </row>
    <row r="77" spans="2:7" x14ac:dyDescent="0.3">
      <c r="B77" s="19">
        <v>27073</v>
      </c>
      <c r="C77" s="18">
        <v>5.9958139266151197E-3</v>
      </c>
      <c r="E77" s="20">
        <v>27073</v>
      </c>
      <c r="F77" s="21">
        <v>5.9958139266151197E-3</v>
      </c>
      <c r="G77" s="18"/>
    </row>
    <row r="78" spans="2:7" x14ac:dyDescent="0.3">
      <c r="B78" s="19">
        <v>27081</v>
      </c>
      <c r="C78" s="18">
        <v>3.2225476174260498E-2</v>
      </c>
      <c r="E78" s="20">
        <v>27081</v>
      </c>
      <c r="F78" s="21">
        <v>3.2225476174260498E-2</v>
      </c>
      <c r="G78" s="18"/>
    </row>
    <row r="79" spans="2:7" x14ac:dyDescent="0.3">
      <c r="B79" s="19">
        <v>27833</v>
      </c>
      <c r="C79" s="18">
        <v>5.0339920594100803E-3</v>
      </c>
      <c r="E79" s="20">
        <v>27833</v>
      </c>
      <c r="F79" s="21">
        <v>5.0339920594100803E-3</v>
      </c>
      <c r="G79" s="18"/>
    </row>
    <row r="80" spans="2:7" x14ac:dyDescent="0.3">
      <c r="B80" s="19">
        <v>28284</v>
      </c>
      <c r="C80" s="18">
        <v>4.9146713091684701E-3</v>
      </c>
      <c r="E80" s="20">
        <v>28284</v>
      </c>
      <c r="F80" s="21">
        <v>4.9146713091684701E-3</v>
      </c>
      <c r="G80" s="18"/>
    </row>
    <row r="81" spans="2:7" x14ac:dyDescent="0.3">
      <c r="B81" s="19">
        <v>28313</v>
      </c>
      <c r="C81" s="18">
        <v>2.5882241034909201E-2</v>
      </c>
      <c r="E81" s="20">
        <v>28313</v>
      </c>
      <c r="F81" s="21">
        <v>2.5882241034909201E-2</v>
      </c>
      <c r="G81" s="18"/>
    </row>
    <row r="82" spans="2:7" x14ac:dyDescent="0.3">
      <c r="B82" s="19">
        <v>28394</v>
      </c>
      <c r="C82" s="18">
        <v>5.0953714819261002E-3</v>
      </c>
      <c r="E82" s="20">
        <v>28394</v>
      </c>
      <c r="F82" s="21">
        <v>5.0953714819261002E-3</v>
      </c>
      <c r="G82" s="18"/>
    </row>
    <row r="83" spans="2:7" x14ac:dyDescent="0.3">
      <c r="B83" s="19">
        <v>28509</v>
      </c>
      <c r="C83" s="18">
        <v>1.6749342872388799E-3</v>
      </c>
      <c r="E83" s="20">
        <v>28509</v>
      </c>
      <c r="F83" s="21">
        <v>1.6749342872388799E-3</v>
      </c>
      <c r="G83" s="18"/>
    </row>
    <row r="84" spans="2:7" x14ac:dyDescent="0.3">
      <c r="B84" s="19">
        <v>28681</v>
      </c>
      <c r="C84" s="18">
        <v>5.9321304501212101E-3</v>
      </c>
      <c r="E84" s="20">
        <v>28681</v>
      </c>
      <c r="F84" s="21">
        <v>5.9321304501212101E-3</v>
      </c>
      <c r="G84" s="18"/>
    </row>
    <row r="85" spans="2:7" x14ac:dyDescent="0.3">
      <c r="B85" s="19">
        <v>28745</v>
      </c>
      <c r="C85" s="18">
        <v>2.39576500491965E-3</v>
      </c>
      <c r="E85" s="20">
        <v>28745</v>
      </c>
      <c r="F85" s="21">
        <v>2.39576500491965E-3</v>
      </c>
      <c r="G85" s="18"/>
    </row>
    <row r="86" spans="2:7" x14ac:dyDescent="0.3">
      <c r="B86" s="19">
        <v>28994</v>
      </c>
      <c r="C86" s="18">
        <v>6.7559181278631598E-3</v>
      </c>
      <c r="E86" s="20">
        <v>28994</v>
      </c>
      <c r="F86" s="21">
        <v>6.7559181278631598E-3</v>
      </c>
      <c r="G86" s="18"/>
    </row>
    <row r="87" spans="2:7" x14ac:dyDescent="0.3">
      <c r="B87" s="19">
        <v>29194</v>
      </c>
      <c r="C87" s="18">
        <v>9.4651258932614106E-3</v>
      </c>
      <c r="E87" s="20">
        <v>29194</v>
      </c>
      <c r="F87" s="21">
        <v>9.4651258932614106E-3</v>
      </c>
      <c r="G87" s="18"/>
    </row>
    <row r="88" spans="2:7" x14ac:dyDescent="0.3">
      <c r="B88" s="19">
        <v>29675</v>
      </c>
      <c r="C88" s="18">
        <v>6.8642471170369196E-3</v>
      </c>
      <c r="E88" s="20">
        <v>29675</v>
      </c>
      <c r="F88" s="21">
        <v>6.8642471170369196E-3</v>
      </c>
      <c r="G88" s="18"/>
    </row>
    <row r="89" spans="2:7" x14ac:dyDescent="0.3">
      <c r="B89" s="19">
        <v>29715</v>
      </c>
      <c r="C89" s="18">
        <v>1.0776345414383701E-2</v>
      </c>
      <c r="E89" s="20">
        <v>29715</v>
      </c>
      <c r="F89" s="21">
        <v>1.0776345414383701E-2</v>
      </c>
      <c r="G89" s="18"/>
    </row>
    <row r="90" spans="2:7" x14ac:dyDescent="0.3">
      <c r="B90" s="19">
        <v>29873</v>
      </c>
      <c r="C90" s="18">
        <v>6.6829123542159405E-2</v>
      </c>
      <c r="E90" s="20">
        <v>29873</v>
      </c>
      <c r="F90" s="21">
        <v>6.6829123542159405E-2</v>
      </c>
      <c r="G90" s="18"/>
    </row>
    <row r="91" spans="2:7" x14ac:dyDescent="0.3">
      <c r="B91" s="19">
        <v>30644</v>
      </c>
      <c r="C91" s="18">
        <v>6.8141481544266302E-3</v>
      </c>
      <c r="E91" s="20">
        <v>30644</v>
      </c>
      <c r="F91" s="21">
        <v>6.8141481544266302E-3</v>
      </c>
      <c r="G91" s="18"/>
    </row>
    <row r="92" spans="2:7" x14ac:dyDescent="0.3">
      <c r="B92" s="19">
        <v>31621</v>
      </c>
      <c r="C92" s="18">
        <v>1.4304418098583301E-2</v>
      </c>
      <c r="E92" s="20">
        <v>31621</v>
      </c>
      <c r="F92" s="21">
        <v>1.4304418098583301E-2</v>
      </c>
      <c r="G92" s="18"/>
    </row>
    <row r="93" spans="2:7" x14ac:dyDescent="0.3">
      <c r="B93" s="19">
        <v>31817</v>
      </c>
      <c r="C93" s="18">
        <v>1.6205702953772001E-2</v>
      </c>
      <c r="E93" s="20">
        <v>31817</v>
      </c>
      <c r="F93" s="21">
        <v>1.6205702953772001E-2</v>
      </c>
      <c r="G93" s="18"/>
    </row>
    <row r="94" spans="2:7" x14ac:dyDescent="0.3">
      <c r="B94" s="19">
        <v>32436</v>
      </c>
      <c r="C94" s="18">
        <v>8.32730882527488E-3</v>
      </c>
      <c r="E94" s="20">
        <v>32436</v>
      </c>
      <c r="F94" s="21">
        <v>8.32730882527488E-3</v>
      </c>
      <c r="G94" s="18"/>
    </row>
    <row r="95" spans="2:7" x14ac:dyDescent="0.3">
      <c r="B95" s="19">
        <v>32669</v>
      </c>
      <c r="C95" s="18">
        <v>4.4991947218659999E-3</v>
      </c>
      <c r="E95" s="20">
        <v>32669</v>
      </c>
      <c r="F95" s="21">
        <v>4.4991947218659999E-3</v>
      </c>
      <c r="G95" s="18"/>
    </row>
    <row r="96" spans="2:7" x14ac:dyDescent="0.3">
      <c r="B96" s="19">
        <v>33225</v>
      </c>
      <c r="C96" s="18">
        <v>1.7765229200580001E-2</v>
      </c>
      <c r="E96" s="20">
        <v>33225</v>
      </c>
      <c r="F96" s="21">
        <v>1.7765229200580001E-2</v>
      </c>
      <c r="G96" s="18"/>
    </row>
    <row r="97" spans="2:7" x14ac:dyDescent="0.3">
      <c r="B97" s="19">
        <v>33252</v>
      </c>
      <c r="C97" s="18">
        <v>2.79503690002181E-3</v>
      </c>
      <c r="E97" s="20">
        <v>33252</v>
      </c>
      <c r="F97" s="21">
        <v>2.79503690002181E-3</v>
      </c>
      <c r="G97" s="18"/>
    </row>
    <row r="98" spans="2:7" x14ac:dyDescent="0.3">
      <c r="B98" s="19">
        <v>33284</v>
      </c>
      <c r="C98" s="18">
        <v>1.3367006734210699E-3</v>
      </c>
      <c r="E98" s="20">
        <v>33284</v>
      </c>
      <c r="F98" s="21">
        <v>1.3367006734210699E-3</v>
      </c>
      <c r="G98" s="18"/>
    </row>
    <row r="99" spans="2:7" x14ac:dyDescent="0.3">
      <c r="B99" s="19">
        <v>33705</v>
      </c>
      <c r="C99" s="18">
        <v>3.0849604403758401E-2</v>
      </c>
      <c r="E99" s="20">
        <v>33705</v>
      </c>
      <c r="F99" s="21">
        <v>3.0849604403758401E-2</v>
      </c>
      <c r="G99" s="18"/>
    </row>
    <row r="100" spans="2:7" x14ac:dyDescent="0.3">
      <c r="B100" s="19">
        <v>33762</v>
      </c>
      <c r="C100" s="18">
        <v>3.9456245088495101E-2</v>
      </c>
      <c r="E100" s="20">
        <v>33762</v>
      </c>
      <c r="F100" s="21">
        <v>3.9456245088495101E-2</v>
      </c>
      <c r="G100" s="18"/>
    </row>
    <row r="101" spans="2:7" x14ac:dyDescent="0.3">
      <c r="B101" s="19">
        <v>33928</v>
      </c>
      <c r="C101" s="18">
        <v>6.1877471443283601E-2</v>
      </c>
      <c r="E101" s="20">
        <v>33928</v>
      </c>
      <c r="F101" s="21">
        <v>6.1877471443283601E-2</v>
      </c>
      <c r="G101" s="18"/>
    </row>
    <row r="102" spans="2:7" x14ac:dyDescent="0.3">
      <c r="B102" s="19">
        <v>34286</v>
      </c>
      <c r="C102" s="18">
        <v>2.2859614680730701E-2</v>
      </c>
      <c r="E102" s="20">
        <v>34286</v>
      </c>
      <c r="F102" s="21">
        <v>2.2859614680730701E-2</v>
      </c>
      <c r="G102" s="18"/>
    </row>
    <row r="103" spans="2:7" x14ac:dyDescent="0.3">
      <c r="B103" s="19">
        <v>34570</v>
      </c>
      <c r="C103" s="18">
        <v>9.4783213011072308E-3</v>
      </c>
      <c r="E103" s="20">
        <v>34570</v>
      </c>
      <c r="F103" s="21">
        <v>9.4783213011072308E-3</v>
      </c>
      <c r="G103" s="18"/>
    </row>
    <row r="104" spans="2:7" x14ac:dyDescent="0.3">
      <c r="B104" s="19">
        <v>35051</v>
      </c>
      <c r="C104" s="18">
        <v>1.50600015123988E-2</v>
      </c>
      <c r="E104" s="20">
        <v>35051</v>
      </c>
      <c r="F104" s="21">
        <v>1.50600015123988E-2</v>
      </c>
      <c r="G104" s="18"/>
    </row>
    <row r="105" spans="2:7" x14ac:dyDescent="0.3">
      <c r="B105" s="19">
        <v>35122</v>
      </c>
      <c r="C105" s="18">
        <v>1.69287829883919E-3</v>
      </c>
      <c r="E105" s="20">
        <v>35122</v>
      </c>
      <c r="F105" s="21">
        <v>1.69287829883919E-3</v>
      </c>
      <c r="G105" s="18"/>
    </row>
    <row r="106" spans="2:7" x14ac:dyDescent="0.3">
      <c r="B106" s="19">
        <v>35279</v>
      </c>
      <c r="C106" s="18">
        <v>1.0885794668208699E-2</v>
      </c>
      <c r="E106" s="20">
        <v>35279</v>
      </c>
      <c r="F106" s="21">
        <v>1.0885794668208699E-2</v>
      </c>
      <c r="G106" s="18"/>
    </row>
    <row r="107" spans="2:7" x14ac:dyDescent="0.3">
      <c r="B107" s="19">
        <v>36201</v>
      </c>
      <c r="C107" s="18">
        <v>9.7120333968305408E-3</v>
      </c>
      <c r="E107" s="20">
        <v>36201</v>
      </c>
      <c r="F107" s="21">
        <v>9.7120333968305408E-3</v>
      </c>
      <c r="G107" s="18"/>
    </row>
    <row r="108" spans="2:7" x14ac:dyDescent="0.3">
      <c r="B108" s="19">
        <v>36661</v>
      </c>
      <c r="C108" s="18">
        <v>5.3721821329235798E-3</v>
      </c>
      <c r="E108" s="20">
        <v>36661</v>
      </c>
      <c r="F108" s="21">
        <v>5.3721821329235798E-3</v>
      </c>
      <c r="G108" s="18"/>
    </row>
    <row r="109" spans="2:7" x14ac:dyDescent="0.3">
      <c r="B109" s="19">
        <v>37037</v>
      </c>
      <c r="C109" s="18">
        <v>5.8932901657142503E-3</v>
      </c>
      <c r="E109" s="20">
        <v>37037</v>
      </c>
      <c r="F109" s="21">
        <v>5.8932901657142503E-3</v>
      </c>
      <c r="G109" s="18"/>
    </row>
    <row r="110" spans="2:7" x14ac:dyDescent="0.3">
      <c r="B110" s="19">
        <v>37386</v>
      </c>
      <c r="C110" s="18">
        <v>1.36080573470122E-2</v>
      </c>
      <c r="E110" s="20">
        <v>37386</v>
      </c>
      <c r="F110" s="21">
        <v>1.36080573470122E-2</v>
      </c>
      <c r="G110" s="18"/>
    </row>
    <row r="111" spans="2:7" x14ac:dyDescent="0.3">
      <c r="B111" s="19">
        <v>37523</v>
      </c>
      <c r="C111" s="18">
        <v>2.0182085338096699E-2</v>
      </c>
      <c r="E111" s="20">
        <v>37523</v>
      </c>
      <c r="F111" s="21">
        <v>2.0182085338096699E-2</v>
      </c>
      <c r="G111" s="18"/>
    </row>
    <row r="112" spans="2:7" x14ac:dyDescent="0.3">
      <c r="B112" s="19">
        <v>37766</v>
      </c>
      <c r="C112" s="18">
        <v>5.9823244818296801E-3</v>
      </c>
      <c r="E112" s="20">
        <v>37766</v>
      </c>
      <c r="F112" s="21">
        <v>5.9823244818296801E-3</v>
      </c>
      <c r="G112" s="18"/>
    </row>
    <row r="113" spans="2:7" x14ac:dyDescent="0.3">
      <c r="B113" s="19">
        <v>38047</v>
      </c>
      <c r="C113" s="18">
        <v>8.8244726105487E-3</v>
      </c>
      <c r="E113" s="20">
        <v>38047</v>
      </c>
      <c r="F113" s="21">
        <v>8.8244726105487E-3</v>
      </c>
      <c r="G113" s="18"/>
    </row>
    <row r="114" spans="2:7" x14ac:dyDescent="0.3">
      <c r="B114" s="19">
        <v>38228</v>
      </c>
      <c r="C114" s="18">
        <v>5.9643024822535499E-3</v>
      </c>
      <c r="E114" s="20">
        <v>38228</v>
      </c>
      <c r="F114" s="21">
        <v>5.9643024822535499E-3</v>
      </c>
      <c r="G114" s="18"/>
    </row>
    <row r="115" spans="2:7" x14ac:dyDescent="0.3">
      <c r="B115" s="19">
        <v>38272</v>
      </c>
      <c r="C115" s="18">
        <v>7.6104086358827197E-3</v>
      </c>
      <c r="E115" s="20">
        <v>38272</v>
      </c>
      <c r="F115" s="21">
        <v>7.6104086358827197E-3</v>
      </c>
      <c r="G115" s="18"/>
    </row>
    <row r="116" spans="2:7" x14ac:dyDescent="0.3">
      <c r="B116" s="19">
        <v>38731</v>
      </c>
      <c r="C116" s="18">
        <v>1.35573894547388E-2</v>
      </c>
      <c r="E116" s="20">
        <v>38731</v>
      </c>
      <c r="F116" s="21">
        <v>1.35573894547388E-2</v>
      </c>
      <c r="G116" s="18"/>
    </row>
    <row r="117" spans="2:7" x14ac:dyDescent="0.3">
      <c r="B117" s="19">
        <v>38854</v>
      </c>
      <c r="C117" s="18">
        <v>1.1723845618886499E-2</v>
      </c>
      <c r="E117" s="20">
        <v>38854</v>
      </c>
      <c r="F117" s="21">
        <v>1.1723845618886499E-2</v>
      </c>
      <c r="G117" s="18"/>
    </row>
    <row r="118" spans="2:7" x14ac:dyDescent="0.3">
      <c r="B118" s="19">
        <v>39197</v>
      </c>
      <c r="C118" s="18">
        <v>1.03806899136396E-2</v>
      </c>
      <c r="E118" s="20">
        <v>39197</v>
      </c>
      <c r="F118" s="21">
        <v>1.03806899136396E-2</v>
      </c>
      <c r="G118" s="18"/>
    </row>
    <row r="119" spans="2:7" x14ac:dyDescent="0.3">
      <c r="B119" s="19">
        <v>39252</v>
      </c>
      <c r="C119" s="18">
        <v>1.8702252479040301E-3</v>
      </c>
      <c r="E119" s="20">
        <v>39252</v>
      </c>
      <c r="F119" s="21">
        <v>1.8702252479040301E-3</v>
      </c>
      <c r="G119" s="18"/>
    </row>
    <row r="120" spans="2:7" x14ac:dyDescent="0.3">
      <c r="B120" s="19">
        <v>39309</v>
      </c>
      <c r="C120" s="18">
        <v>1.91828889630861E-3</v>
      </c>
      <c r="E120" s="20">
        <v>39309</v>
      </c>
      <c r="F120" s="21">
        <v>1.91828889630861E-3</v>
      </c>
      <c r="G120" s="18"/>
    </row>
    <row r="121" spans="2:7" x14ac:dyDescent="0.3">
      <c r="B121" s="19">
        <v>39312</v>
      </c>
      <c r="C121" s="18">
        <v>8.9869550909155403E-3</v>
      </c>
      <c r="E121" s="20">
        <v>39312</v>
      </c>
      <c r="F121" s="21">
        <v>8.9869550909155403E-3</v>
      </c>
      <c r="G121" s="18"/>
    </row>
    <row r="122" spans="2:7" x14ac:dyDescent="0.3">
      <c r="B122" s="19">
        <v>39411</v>
      </c>
      <c r="C122" s="18">
        <v>1.6323451825264498E-2</v>
      </c>
      <c r="E122" s="20">
        <v>39411</v>
      </c>
      <c r="F122" s="21">
        <v>1.6323451825264498E-2</v>
      </c>
      <c r="G122" s="18"/>
    </row>
    <row r="123" spans="2:7" x14ac:dyDescent="0.3">
      <c r="B123" s="19">
        <v>39750</v>
      </c>
      <c r="C123" s="18">
        <v>2.0576366453286601E-2</v>
      </c>
      <c r="E123" s="20">
        <v>39750</v>
      </c>
      <c r="F123" s="21">
        <v>2.0576366453286601E-2</v>
      </c>
      <c r="G123" s="18"/>
    </row>
    <row r="124" spans="2:7" x14ac:dyDescent="0.3">
      <c r="B124" s="19">
        <v>40254</v>
      </c>
      <c r="C124" s="18">
        <v>2.42340857612786E-3</v>
      </c>
      <c r="E124" s="20">
        <v>40254</v>
      </c>
      <c r="F124" s="21">
        <v>2.42340857612786E-3</v>
      </c>
      <c r="G124" s="18"/>
    </row>
    <row r="125" spans="2:7" x14ac:dyDescent="0.3">
      <c r="B125" s="19">
        <v>40268</v>
      </c>
      <c r="C125" s="18">
        <v>4.96183027387618E-3</v>
      </c>
      <c r="E125" s="20">
        <v>40268</v>
      </c>
      <c r="F125" s="21">
        <v>4.96183027387618E-3</v>
      </c>
      <c r="G125" s="18"/>
    </row>
    <row r="126" spans="2:7" x14ac:dyDescent="0.3">
      <c r="B126" s="19">
        <v>40314</v>
      </c>
      <c r="C126" s="18">
        <v>2.7450681785103999E-3</v>
      </c>
      <c r="E126" s="20">
        <v>40314</v>
      </c>
      <c r="F126" s="21">
        <v>2.7450681785103999E-3</v>
      </c>
      <c r="G126" s="18"/>
    </row>
    <row r="127" spans="2:7" x14ac:dyDescent="0.3">
      <c r="B127" s="19">
        <v>40447</v>
      </c>
      <c r="C127" s="18">
        <v>1.2096449831072E-2</v>
      </c>
      <c r="E127" s="20">
        <v>40447</v>
      </c>
      <c r="F127" s="21">
        <v>1.2096449831072E-2</v>
      </c>
      <c r="G127" s="18"/>
    </row>
    <row r="128" spans="2:7" x14ac:dyDescent="0.3">
      <c r="B128" s="19">
        <v>40508</v>
      </c>
      <c r="C128" s="18">
        <v>7.1830773055903598E-3</v>
      </c>
      <c r="E128" s="20">
        <v>40508</v>
      </c>
      <c r="F128" s="21">
        <v>7.1830773055903598E-3</v>
      </c>
      <c r="G128" s="18"/>
    </row>
    <row r="129" spans="2:7" x14ac:dyDescent="0.3">
      <c r="B129" s="19">
        <v>40682</v>
      </c>
      <c r="C129" s="18">
        <v>7.6606230713766798E-3</v>
      </c>
      <c r="E129" s="20">
        <v>40682</v>
      </c>
      <c r="F129" s="21">
        <v>7.6606230713766798E-3</v>
      </c>
      <c r="G129" s="18"/>
    </row>
    <row r="130" spans="2:7" x14ac:dyDescent="0.3">
      <c r="B130" s="19">
        <v>41358</v>
      </c>
      <c r="C130" s="18">
        <v>7.1666162961312703E-3</v>
      </c>
      <c r="E130" s="20">
        <v>41358</v>
      </c>
      <c r="F130" s="21">
        <v>7.1666162961312703E-3</v>
      </c>
      <c r="G130" s="18"/>
    </row>
    <row r="131" spans="2:7" x14ac:dyDescent="0.3">
      <c r="B131" s="19">
        <v>41703</v>
      </c>
      <c r="C131" s="18">
        <v>6.2677111728104704E-3</v>
      </c>
      <c r="E131" s="20">
        <v>41703</v>
      </c>
      <c r="F131" s="21">
        <v>6.2677111728104704E-3</v>
      </c>
      <c r="G131" s="18"/>
    </row>
    <row r="132" spans="2:7" x14ac:dyDescent="0.3">
      <c r="B132" s="19">
        <v>42262</v>
      </c>
      <c r="C132" s="18">
        <v>1.31050389564526E-3</v>
      </c>
      <c r="E132" s="20">
        <v>42262</v>
      </c>
      <c r="F132" s="21">
        <v>1.31050389564526E-3</v>
      </c>
      <c r="G132" s="18"/>
    </row>
    <row r="133" spans="2:7" x14ac:dyDescent="0.3">
      <c r="B133" s="19">
        <v>42373</v>
      </c>
      <c r="C133" s="18">
        <v>1.10549909734477E-2</v>
      </c>
      <c r="E133" s="20">
        <v>42373</v>
      </c>
      <c r="F133" s="21">
        <v>1.10549909734477E-2</v>
      </c>
      <c r="G133" s="18"/>
    </row>
    <row r="134" spans="2:7" x14ac:dyDescent="0.3">
      <c r="B134" s="19">
        <v>42591</v>
      </c>
      <c r="C134" s="18">
        <v>4.3326141227910796E-3</v>
      </c>
      <c r="E134" s="20">
        <v>42591</v>
      </c>
      <c r="F134" s="21">
        <v>4.3326141227910796E-3</v>
      </c>
      <c r="G134" s="18"/>
    </row>
    <row r="135" spans="2:7" x14ac:dyDescent="0.3">
      <c r="B135" s="19">
        <v>42972</v>
      </c>
      <c r="C135" s="18">
        <v>7.4709430162751E-3</v>
      </c>
      <c r="E135" s="20">
        <v>42972</v>
      </c>
      <c r="F135" s="21">
        <v>7.4709430162751E-3</v>
      </c>
      <c r="G135" s="18"/>
    </row>
    <row r="136" spans="2:7" x14ac:dyDescent="0.3">
      <c r="B136" s="19">
        <v>43598</v>
      </c>
      <c r="C136" s="18">
        <v>1.2426480165926901E-2</v>
      </c>
      <c r="E136" s="20">
        <v>43598</v>
      </c>
      <c r="F136" s="21">
        <v>1.2426480165926901E-2</v>
      </c>
      <c r="G136" s="18"/>
    </row>
    <row r="137" spans="2:7" x14ac:dyDescent="0.3">
      <c r="B137" s="19">
        <v>43787</v>
      </c>
      <c r="C137" s="18">
        <v>1.26744151961072E-2</v>
      </c>
      <c r="E137" s="20">
        <v>43787</v>
      </c>
      <c r="F137" s="21">
        <v>1.26744151961072E-2</v>
      </c>
      <c r="G137" s="18"/>
    </row>
    <row r="138" spans="2:7" x14ac:dyDescent="0.3">
      <c r="B138" s="19">
        <v>43848</v>
      </c>
      <c r="C138" s="18">
        <v>2.84064402134983E-2</v>
      </c>
      <c r="E138" s="20">
        <v>43848</v>
      </c>
      <c r="F138" s="21">
        <v>2.84064402134983E-2</v>
      </c>
      <c r="G138" s="18"/>
    </row>
    <row r="139" spans="2:7" x14ac:dyDescent="0.3">
      <c r="B139" s="19">
        <v>43937</v>
      </c>
      <c r="C139" s="18">
        <v>4.9126039438814597E-3</v>
      </c>
      <c r="E139" s="20">
        <v>43937</v>
      </c>
      <c r="F139" s="21">
        <v>4.9126039438814597E-3</v>
      </c>
      <c r="G139" s="18"/>
    </row>
    <row r="140" spans="2:7" x14ac:dyDescent="0.3">
      <c r="B140" s="19">
        <v>44051</v>
      </c>
      <c r="C140" s="18">
        <v>1.1102583604932501E-2</v>
      </c>
      <c r="E140" s="20">
        <v>44051</v>
      </c>
      <c r="F140" s="21">
        <v>1.1102583604932501E-2</v>
      </c>
      <c r="G140" s="18"/>
    </row>
    <row r="141" spans="2:7" x14ac:dyDescent="0.3">
      <c r="B141" s="19">
        <v>44501</v>
      </c>
      <c r="C141" s="18">
        <v>8.17262056351724E-3</v>
      </c>
      <c r="E141" s="20">
        <v>44501</v>
      </c>
      <c r="F141" s="21">
        <v>8.17262056351724E-3</v>
      </c>
      <c r="G141" s="18"/>
    </row>
    <row r="142" spans="2:7" x14ac:dyDescent="0.3">
      <c r="B142" s="19">
        <v>44521</v>
      </c>
      <c r="C142" s="18">
        <v>9.5083641372665096E-4</v>
      </c>
      <c r="E142" s="20">
        <v>44521</v>
      </c>
      <c r="F142" s="21">
        <v>9.5083641372665096E-4</v>
      </c>
      <c r="G142" s="18"/>
    </row>
    <row r="143" spans="2:7" x14ac:dyDescent="0.3">
      <c r="B143" s="19">
        <v>44546</v>
      </c>
      <c r="C143" s="18">
        <v>3.3603487025812201E-2</v>
      </c>
      <c r="E143" s="20">
        <v>44546</v>
      </c>
      <c r="F143" s="21">
        <v>3.3603487025812201E-2</v>
      </c>
      <c r="G143" s="18"/>
    </row>
    <row r="144" spans="2:7" x14ac:dyDescent="0.3">
      <c r="B144" s="19">
        <v>44742</v>
      </c>
      <c r="C144" s="18">
        <v>6.2143718554204799E-3</v>
      </c>
      <c r="E144" s="20">
        <v>44742</v>
      </c>
      <c r="F144" s="21">
        <v>6.2143718554204799E-3</v>
      </c>
      <c r="G144" s="18"/>
    </row>
    <row r="145" spans="2:7" x14ac:dyDescent="0.3">
      <c r="B145" s="19">
        <v>44782</v>
      </c>
      <c r="C145" s="18">
        <v>3.0196823988018098E-3</v>
      </c>
      <c r="E145" s="20">
        <v>44782</v>
      </c>
      <c r="F145" s="21">
        <v>3.0196823988018098E-3</v>
      </c>
      <c r="G145" s="18"/>
    </row>
    <row r="146" spans="2:7" x14ac:dyDescent="0.3">
      <c r="B146" s="19">
        <v>44865</v>
      </c>
      <c r="C146" s="18">
        <v>1.29414545981438E-2</v>
      </c>
      <c r="E146" s="20">
        <v>44865</v>
      </c>
      <c r="F146" s="21">
        <v>1.29414545981438E-2</v>
      </c>
      <c r="G146" s="18"/>
    </row>
    <row r="147" spans="2:7" x14ac:dyDescent="0.3">
      <c r="B147" s="19">
        <v>44947</v>
      </c>
      <c r="C147" s="18">
        <v>4.6816337571003501E-2</v>
      </c>
      <c r="E147" s="20">
        <v>44947</v>
      </c>
      <c r="F147" s="21">
        <v>4.6816337571003501E-2</v>
      </c>
      <c r="G147" s="18"/>
    </row>
    <row r="148" spans="2:7" x14ac:dyDescent="0.3">
      <c r="B148" s="19">
        <v>45525</v>
      </c>
      <c r="C148" s="18">
        <v>5.6604453152575597E-3</v>
      </c>
      <c r="E148" s="20">
        <v>45525</v>
      </c>
      <c r="F148" s="21">
        <v>5.6604453152575597E-3</v>
      </c>
      <c r="G148" s="18"/>
    </row>
    <row r="149" spans="2:7" x14ac:dyDescent="0.3">
      <c r="B149" s="19">
        <v>46060</v>
      </c>
      <c r="C149" s="18">
        <v>1.9715707271207701E-2</v>
      </c>
      <c r="E149" s="20">
        <v>46060</v>
      </c>
      <c r="F149" s="21">
        <v>1.9715707271207701E-2</v>
      </c>
      <c r="G149" s="18"/>
    </row>
    <row r="150" spans="2:7" x14ac:dyDescent="0.3">
      <c r="B150" s="19">
        <v>46727</v>
      </c>
      <c r="C150" s="18">
        <v>1.2142033346870126E-2</v>
      </c>
      <c r="E150" s="20">
        <v>46727</v>
      </c>
      <c r="F150" s="21">
        <v>1.2142033346870126E-2</v>
      </c>
      <c r="G150" s="18"/>
    </row>
    <row r="151" spans="2:7" x14ac:dyDescent="0.3">
      <c r="B151" s="19">
        <v>46751</v>
      </c>
      <c r="C151" s="18">
        <v>5.2700569431132702E-2</v>
      </c>
      <c r="E151" s="20">
        <v>46751</v>
      </c>
      <c r="F151" s="21">
        <v>5.2700569431132702E-2</v>
      </c>
      <c r="G151" s="18"/>
    </row>
    <row r="152" spans="2:7" x14ac:dyDescent="0.3">
      <c r="B152" s="19">
        <v>46768</v>
      </c>
      <c r="C152" s="18">
        <v>4.2148281775461604E-3</v>
      </c>
      <c r="E152" s="20">
        <v>46768</v>
      </c>
      <c r="F152" s="21">
        <v>4.2148281775461604E-3</v>
      </c>
      <c r="G152" s="18"/>
    </row>
    <row r="153" spans="2:7" x14ac:dyDescent="0.3">
      <c r="B153" s="19">
        <v>47051</v>
      </c>
      <c r="C153" s="18">
        <v>4.1926139561219902E-3</v>
      </c>
      <c r="E153" s="20">
        <v>47051</v>
      </c>
      <c r="F153" s="21">
        <v>4.1926139561219902E-3</v>
      </c>
      <c r="G153" s="18"/>
    </row>
    <row r="154" spans="2:7" x14ac:dyDescent="0.3">
      <c r="B154" s="19">
        <v>47481</v>
      </c>
      <c r="C154" s="18">
        <v>5.5598245183792498E-3</v>
      </c>
      <c r="E154" s="20">
        <v>47481</v>
      </c>
      <c r="F154" s="21">
        <v>5.5598245183792498E-3</v>
      </c>
      <c r="G154" s="18"/>
    </row>
    <row r="155" spans="2:7" x14ac:dyDescent="0.3">
      <c r="B155" s="19">
        <v>47766</v>
      </c>
      <c r="C155" s="18">
        <v>9.4810500429228992E-3</v>
      </c>
      <c r="E155" s="20">
        <v>47766</v>
      </c>
      <c r="F155" s="21">
        <v>9.4810500429228992E-3</v>
      </c>
      <c r="G155" s="18"/>
    </row>
    <row r="156" spans="2:7" x14ac:dyDescent="0.3">
      <c r="B156" s="19">
        <v>47804</v>
      </c>
      <c r="C156" s="18">
        <v>2.8458142547671102E-2</v>
      </c>
      <c r="E156" s="20">
        <v>47804</v>
      </c>
      <c r="F156" s="21">
        <v>2.8458142547671102E-2</v>
      </c>
      <c r="G156" s="18"/>
    </row>
    <row r="157" spans="2:7" x14ac:dyDescent="0.3">
      <c r="B157" s="19">
        <v>47861</v>
      </c>
      <c r="C157" s="18">
        <v>4.9088327737695503E-3</v>
      </c>
      <c r="E157" s="20">
        <v>47861</v>
      </c>
      <c r="F157" s="21">
        <v>4.9088327737695503E-3</v>
      </c>
      <c r="G157" s="18"/>
    </row>
    <row r="158" spans="2:7" x14ac:dyDescent="0.3">
      <c r="B158" s="19">
        <v>48019</v>
      </c>
      <c r="C158" s="18">
        <v>4.3616549388067798E-2</v>
      </c>
      <c r="E158" s="20">
        <v>48019</v>
      </c>
      <c r="F158" s="21">
        <v>4.3616549388067798E-2</v>
      </c>
      <c r="G158" s="18"/>
    </row>
    <row r="159" spans="2:7" x14ac:dyDescent="0.3">
      <c r="B159" s="19">
        <v>48328</v>
      </c>
      <c r="C159" s="18">
        <v>5.7625343114345098E-3</v>
      </c>
      <c r="E159" s="20">
        <v>48328</v>
      </c>
      <c r="F159" s="21">
        <v>5.7625343114345098E-3</v>
      </c>
      <c r="G159" s="18"/>
    </row>
    <row r="160" spans="2:7" x14ac:dyDescent="0.3">
      <c r="B160" s="19">
        <v>48356</v>
      </c>
      <c r="C160" s="18">
        <v>1.3257669216218401E-2</v>
      </c>
      <c r="E160" s="20">
        <v>48356</v>
      </c>
      <c r="F160" s="21">
        <v>1.3257669216218401E-2</v>
      </c>
      <c r="G160" s="18"/>
    </row>
    <row r="161" spans="2:7" x14ac:dyDescent="0.3">
      <c r="B161" s="19">
        <v>48659</v>
      </c>
      <c r="C161" s="18">
        <v>2.8087593669421599E-2</v>
      </c>
      <c r="E161" s="20">
        <v>48659</v>
      </c>
      <c r="F161" s="21">
        <v>2.8087593669421599E-2</v>
      </c>
      <c r="G161" s="18"/>
    </row>
    <row r="162" spans="2:7" x14ac:dyDescent="0.3">
      <c r="B162" s="19">
        <v>49110</v>
      </c>
      <c r="C162" s="18">
        <v>1.33105035895224E-3</v>
      </c>
      <c r="E162" s="20">
        <v>49110</v>
      </c>
      <c r="F162" s="21">
        <v>1.33105035895224E-3</v>
      </c>
      <c r="G162" s="18"/>
    </row>
    <row r="163" spans="2:7" x14ac:dyDescent="0.3">
      <c r="B163" s="19">
        <v>50372</v>
      </c>
      <c r="C163" s="18">
        <v>6.8070592967519203E-2</v>
      </c>
      <c r="E163" s="20">
        <v>50372</v>
      </c>
      <c r="F163" s="21">
        <v>6.8070592967519203E-2</v>
      </c>
      <c r="G163" s="18"/>
    </row>
    <row r="164" spans="2:7" x14ac:dyDescent="0.3">
      <c r="B164" s="19">
        <v>50785</v>
      </c>
      <c r="C164" s="18">
        <v>8.8818396587699005E-3</v>
      </c>
      <c r="E164" s="20">
        <v>50785</v>
      </c>
      <c r="F164" s="21">
        <v>8.8818396587699005E-3</v>
      </c>
      <c r="G164" s="18"/>
    </row>
    <row r="165" spans="2:7" x14ac:dyDescent="0.3">
      <c r="B165" s="19">
        <v>51796</v>
      </c>
      <c r="C165" s="18">
        <v>1.00139291495689E-2</v>
      </c>
      <c r="E165" s="20">
        <v>51796</v>
      </c>
      <c r="F165" s="21">
        <v>1.00139291495689E-2</v>
      </c>
      <c r="G165" s="18"/>
    </row>
    <row r="166" spans="2:7" x14ac:dyDescent="0.3">
      <c r="B166" s="19">
        <v>51800</v>
      </c>
      <c r="C166" s="18">
        <v>4.7650942117658203E-3</v>
      </c>
      <c r="E166" s="20">
        <v>51800</v>
      </c>
      <c r="F166" s="21">
        <v>4.7650942117658203E-3</v>
      </c>
      <c r="G166" s="18"/>
    </row>
    <row r="167" spans="2:7" x14ac:dyDescent="0.3">
      <c r="B167" s="19">
        <v>51903</v>
      </c>
      <c r="C167" s="18">
        <v>2.7291166600407401E-3</v>
      </c>
      <c r="E167" s="20">
        <v>51903</v>
      </c>
      <c r="F167" s="21">
        <v>2.7291166600407401E-3</v>
      </c>
      <c r="G167" s="18"/>
    </row>
    <row r="168" spans="2:7" x14ac:dyDescent="0.3">
      <c r="B168" s="19">
        <v>52003</v>
      </c>
      <c r="C168" s="18">
        <v>3.1393725160874499E-2</v>
      </c>
      <c r="E168" s="20">
        <v>52003</v>
      </c>
      <c r="F168" s="21">
        <v>3.1393725160874499E-2</v>
      </c>
      <c r="G168" s="18"/>
    </row>
    <row r="169" spans="2:7" x14ac:dyDescent="0.3">
      <c r="B169" s="19">
        <v>52092</v>
      </c>
      <c r="C169" s="18">
        <v>5.76980001110022E-3</v>
      </c>
      <c r="E169" s="20">
        <v>52092</v>
      </c>
      <c r="F169" s="21">
        <v>5.76980001110022E-3</v>
      </c>
      <c r="G169" s="18"/>
    </row>
    <row r="170" spans="2:7" x14ac:dyDescent="0.3">
      <c r="B170" s="19">
        <v>52821</v>
      </c>
      <c r="C170" s="18">
        <v>5.0276484891415398E-3</v>
      </c>
      <c r="E170" s="20">
        <v>52821</v>
      </c>
      <c r="F170" s="21">
        <v>5.0276484891415398E-3</v>
      </c>
      <c r="G170" s="18"/>
    </row>
    <row r="171" spans="2:7" x14ac:dyDescent="0.3">
      <c r="B171" s="19">
        <v>52845</v>
      </c>
      <c r="C171" s="18">
        <v>2.0216966893793699E-3</v>
      </c>
      <c r="E171" s="20">
        <v>52845</v>
      </c>
      <c r="F171" s="21">
        <v>2.0216966893793699E-3</v>
      </c>
      <c r="G171" s="18"/>
    </row>
    <row r="172" spans="2:7" x14ac:dyDescent="0.3">
      <c r="B172" s="19">
        <v>52963</v>
      </c>
      <c r="C172" s="18">
        <v>9.78705672432768E-3</v>
      </c>
      <c r="E172" s="20">
        <v>52963</v>
      </c>
      <c r="F172" s="21">
        <v>9.78705672432768E-3</v>
      </c>
      <c r="G172" s="18"/>
    </row>
    <row r="173" spans="2:7" x14ac:dyDescent="0.3">
      <c r="B173" s="19">
        <v>53363</v>
      </c>
      <c r="C173" s="18">
        <v>3.9851724146857297E-3</v>
      </c>
      <c r="E173" s="20">
        <v>53363</v>
      </c>
      <c r="F173" s="21">
        <v>3.9851724146857297E-3</v>
      </c>
      <c r="G173" s="18"/>
    </row>
    <row r="174" spans="2:7" x14ac:dyDescent="0.3">
      <c r="B174" s="19">
        <v>53543</v>
      </c>
      <c r="C174" s="18">
        <v>1.8893649110919199E-2</v>
      </c>
      <c r="E174" s="20">
        <v>53543</v>
      </c>
      <c r="F174" s="21">
        <v>1.8893649110919199E-2</v>
      </c>
      <c r="G174" s="18"/>
    </row>
    <row r="175" spans="2:7" x14ac:dyDescent="0.3">
      <c r="B175" s="19">
        <v>53590</v>
      </c>
      <c r="C175" s="18">
        <v>1.9526986052152799E-2</v>
      </c>
      <c r="E175" s="20">
        <v>53590</v>
      </c>
      <c r="F175" s="21">
        <v>1.9526986052152799E-2</v>
      </c>
      <c r="G175" s="18"/>
    </row>
    <row r="176" spans="2:7" x14ac:dyDescent="0.3">
      <c r="B176" s="19">
        <v>53619</v>
      </c>
      <c r="C176" s="18">
        <v>8.8943808751035195E-3</v>
      </c>
      <c r="E176" s="20">
        <v>53619</v>
      </c>
      <c r="F176" s="21">
        <v>8.8943808751035195E-3</v>
      </c>
      <c r="G176" s="18"/>
    </row>
    <row r="177" spans="2:7" x14ac:dyDescent="0.3">
      <c r="B177" s="19">
        <v>53922</v>
      </c>
      <c r="C177" s="18">
        <v>1.3915779283639899E-2</v>
      </c>
      <c r="E177" s="20">
        <v>53922</v>
      </c>
      <c r="F177" s="21">
        <v>1.3915779283639899E-2</v>
      </c>
      <c r="G177" s="18"/>
    </row>
    <row r="178" spans="2:7" x14ac:dyDescent="0.3">
      <c r="B178" s="19">
        <v>53934</v>
      </c>
      <c r="C178" s="18">
        <v>8.6458124530537899E-3</v>
      </c>
      <c r="E178" s="20">
        <v>53934</v>
      </c>
      <c r="F178" s="21">
        <v>8.6458124530537899E-3</v>
      </c>
      <c r="G178" s="18"/>
    </row>
    <row r="179" spans="2:7" x14ac:dyDescent="0.3">
      <c r="B179" s="19">
        <v>54848</v>
      </c>
      <c r="C179" s="18">
        <v>4.7070867248110602E-3</v>
      </c>
      <c r="E179" s="20">
        <v>54848</v>
      </c>
      <c r="F179" s="21">
        <v>4.7070867248110602E-3</v>
      </c>
      <c r="G179" s="18"/>
    </row>
    <row r="180" spans="2:7" x14ac:dyDescent="0.3">
      <c r="B180" s="19">
        <v>55253</v>
      </c>
      <c r="C180" s="18">
        <v>1.04459223838211E-2</v>
      </c>
      <c r="E180" s="20">
        <v>55253</v>
      </c>
      <c r="F180" s="21">
        <v>1.04459223838211E-2</v>
      </c>
      <c r="G180" s="18"/>
    </row>
    <row r="181" spans="2:7" x14ac:dyDescent="0.3">
      <c r="B181" s="19">
        <v>55603</v>
      </c>
      <c r="C181" s="18">
        <v>3.7963639269943698E-3</v>
      </c>
      <c r="E181" s="20">
        <v>55603</v>
      </c>
      <c r="F181" s="21">
        <v>3.7963639269943698E-3</v>
      </c>
      <c r="G181" s="18"/>
    </row>
    <row r="182" spans="2:7" x14ac:dyDescent="0.3">
      <c r="B182" s="19">
        <v>55657</v>
      </c>
      <c r="C182" s="18">
        <v>8.3396972785746391E-3</v>
      </c>
      <c r="E182" s="20">
        <v>55657</v>
      </c>
      <c r="F182" s="21">
        <v>8.3396972785746391E-3</v>
      </c>
      <c r="G182" s="18"/>
    </row>
    <row r="183" spans="2:7" x14ac:dyDescent="0.3">
      <c r="B183" s="19">
        <v>55951</v>
      </c>
      <c r="C183" s="18">
        <v>7.7465246904209403E-4</v>
      </c>
      <c r="E183" s="20">
        <v>55951</v>
      </c>
      <c r="F183" s="21">
        <v>7.7465246904209403E-4</v>
      </c>
      <c r="G183" s="18"/>
    </row>
    <row r="184" spans="2:7" x14ac:dyDescent="0.3">
      <c r="B184" s="19">
        <v>56026</v>
      </c>
      <c r="C184" s="18">
        <v>1.03097634099383E-2</v>
      </c>
      <c r="E184" s="20">
        <v>56026</v>
      </c>
      <c r="F184" s="21">
        <v>1.03097634099383E-2</v>
      </c>
      <c r="G184" s="18"/>
    </row>
    <row r="185" spans="2:7" x14ac:dyDescent="0.3">
      <c r="B185" s="19">
        <v>56698</v>
      </c>
      <c r="C185" s="18">
        <v>1.33379657104685E-2</v>
      </c>
      <c r="E185" s="20">
        <v>56698</v>
      </c>
      <c r="F185" s="21">
        <v>1.33379657104685E-2</v>
      </c>
      <c r="G185" s="18"/>
    </row>
    <row r="186" spans="2:7" x14ac:dyDescent="0.3">
      <c r="B186" s="19">
        <v>56850</v>
      </c>
      <c r="C186" s="18">
        <v>9.1461802003031598E-3</v>
      </c>
      <c r="E186" s="20">
        <v>56850</v>
      </c>
      <c r="F186" s="21">
        <v>9.1461802003031598E-3</v>
      </c>
      <c r="G186" s="18"/>
    </row>
    <row r="187" spans="2:7" x14ac:dyDescent="0.3">
      <c r="B187" s="19">
        <v>56907</v>
      </c>
      <c r="C187" s="18">
        <v>7.397905186791E-3</v>
      </c>
      <c r="E187" s="20">
        <v>56907</v>
      </c>
      <c r="F187" s="21">
        <v>7.397905186791E-3</v>
      </c>
      <c r="G187" s="18"/>
    </row>
    <row r="188" spans="2:7" x14ac:dyDescent="0.3">
      <c r="B188" s="19">
        <v>57299</v>
      </c>
      <c r="C188" s="18">
        <v>1.55627723485161E-3</v>
      </c>
      <c r="E188" s="20">
        <v>57299</v>
      </c>
      <c r="F188" s="21">
        <v>1.55627723485161E-3</v>
      </c>
      <c r="G188" s="18"/>
    </row>
    <row r="189" spans="2:7" x14ac:dyDescent="0.3">
      <c r="B189" s="19">
        <v>57639</v>
      </c>
      <c r="C189" s="18">
        <v>3.8692775794040901E-2</v>
      </c>
      <c r="E189" s="20">
        <v>57639</v>
      </c>
      <c r="F189" s="21">
        <v>3.8692775794040901E-2</v>
      </c>
      <c r="G189" s="18"/>
    </row>
    <row r="190" spans="2:7" x14ac:dyDescent="0.3">
      <c r="B190" s="19">
        <v>58201</v>
      </c>
      <c r="C190" s="18">
        <v>5.5363012672795904E-3</v>
      </c>
      <c r="E190" s="20">
        <v>58201</v>
      </c>
      <c r="F190" s="21">
        <v>5.5363012672795904E-3</v>
      </c>
      <c r="G190" s="18"/>
    </row>
    <row r="191" spans="2:7" x14ac:dyDescent="0.3">
      <c r="B191" s="19">
        <v>58330</v>
      </c>
      <c r="C191" s="18">
        <v>4.9120904876665504E-3</v>
      </c>
      <c r="E191" s="20">
        <v>58330</v>
      </c>
      <c r="F191" s="21">
        <v>4.9120904876665504E-3</v>
      </c>
      <c r="G191" s="18"/>
    </row>
    <row r="192" spans="2:7" x14ac:dyDescent="0.3">
      <c r="B192" s="19">
        <v>58709</v>
      </c>
      <c r="C192" s="18">
        <v>1.18357574424327E-2</v>
      </c>
      <c r="E192" s="20">
        <v>58709</v>
      </c>
      <c r="F192" s="21">
        <v>1.18357574424327E-2</v>
      </c>
      <c r="G192" s="18"/>
    </row>
    <row r="193" spans="2:7" x14ac:dyDescent="0.3">
      <c r="B193" s="19">
        <v>58831</v>
      </c>
      <c r="C193" s="18">
        <v>2.8751158612388699E-3</v>
      </c>
      <c r="E193" s="20">
        <v>58831</v>
      </c>
      <c r="F193" s="21">
        <v>2.8751158612388699E-3</v>
      </c>
      <c r="G193" s="18"/>
    </row>
    <row r="194" spans="2:7" x14ac:dyDescent="0.3">
      <c r="B194" s="19">
        <v>58868</v>
      </c>
      <c r="C194" s="18">
        <v>1.51277761825695E-2</v>
      </c>
      <c r="E194" s="20">
        <v>58868</v>
      </c>
      <c r="F194" s="21">
        <v>1.51277761825695E-2</v>
      </c>
      <c r="G194" s="18"/>
    </row>
    <row r="195" spans="2:7" x14ac:dyDescent="0.3">
      <c r="B195" s="19">
        <v>58998</v>
      </c>
      <c r="C195" s="18">
        <v>1.40170829138385E-2</v>
      </c>
      <c r="E195" s="20">
        <v>58998</v>
      </c>
      <c r="F195" s="21">
        <v>1.40170829138385E-2</v>
      </c>
      <c r="G195" s="18"/>
    </row>
    <row r="196" spans="2:7" x14ac:dyDescent="0.3">
      <c r="B196" s="19">
        <v>59378</v>
      </c>
      <c r="C196" s="18">
        <v>1.21343773230478E-2</v>
      </c>
      <c r="E196" s="20">
        <v>59378</v>
      </c>
      <c r="F196" s="21">
        <v>1.21343773230478E-2</v>
      </c>
      <c r="G196" s="18"/>
    </row>
    <row r="197" spans="2:7" x14ac:dyDescent="0.3">
      <c r="B197" s="19">
        <v>59733</v>
      </c>
      <c r="C197" s="18">
        <v>8.1824694637581408E-3</v>
      </c>
      <c r="E197" s="20">
        <v>59733</v>
      </c>
      <c r="F197" s="21">
        <v>8.1824694637581408E-3</v>
      </c>
      <c r="G197" s="18"/>
    </row>
    <row r="198" spans="2:7" x14ac:dyDescent="0.3">
      <c r="B198" s="19">
        <v>59745</v>
      </c>
      <c r="C198" s="18">
        <v>1.5234972909130401E-2</v>
      </c>
      <c r="E198" s="20">
        <v>59745</v>
      </c>
      <c r="F198" s="21">
        <v>1.5234972909130401E-2</v>
      </c>
      <c r="G198" s="18"/>
    </row>
    <row r="199" spans="2:7" x14ac:dyDescent="0.3">
      <c r="B199" s="19">
        <v>59811</v>
      </c>
      <c r="C199" s="18">
        <v>1.4181846557848699E-2</v>
      </c>
      <c r="E199" s="20">
        <v>59811</v>
      </c>
      <c r="F199" s="21">
        <v>1.4181846557848699E-2</v>
      </c>
      <c r="G199" s="18"/>
    </row>
    <row r="200" spans="2:7" x14ac:dyDescent="0.3">
      <c r="B200" s="19">
        <v>59815</v>
      </c>
      <c r="C200" s="18">
        <v>2.1208152974095701E-2</v>
      </c>
      <c r="E200" s="20">
        <v>59815</v>
      </c>
      <c r="F200" s="21">
        <v>2.1208152974095701E-2</v>
      </c>
      <c r="G200" s="18"/>
    </row>
    <row r="201" spans="2:7" x14ac:dyDescent="0.3">
      <c r="B201" s="19">
        <v>59823</v>
      </c>
      <c r="C201" s="18">
        <v>4.3276544167292598E-3</v>
      </c>
      <c r="E201" s="20">
        <v>59823</v>
      </c>
      <c r="F201" s="21">
        <v>4.3276544167292598E-3</v>
      </c>
      <c r="G201" s="18"/>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F999-4737-4F8A-8EFB-E01CA7045433}">
  <dimension ref="A1:G11"/>
  <sheetViews>
    <sheetView workbookViewId="0">
      <selection activeCell="H15" sqref="H15"/>
    </sheetView>
  </sheetViews>
  <sheetFormatPr defaultRowHeight="14.4" x14ac:dyDescent="0.3"/>
  <cols>
    <col min="4" max="4" width="0.109375" customWidth="1"/>
    <col min="5" max="6" width="8.88671875" hidden="1" customWidth="1"/>
    <col min="7" max="7" width="145.6640625" bestFit="1" customWidth="1"/>
  </cols>
  <sheetData>
    <row r="1" spans="1:7" x14ac:dyDescent="0.3">
      <c r="A1" t="s">
        <v>401</v>
      </c>
    </row>
    <row r="11" spans="1:7" ht="25.8" x14ac:dyDescent="0.5">
      <c r="G11" s="49" t="s">
        <v>402</v>
      </c>
    </row>
  </sheetData>
  <hyperlinks>
    <hyperlink ref="G11" r:id="rId1" xr:uid="{1F20D2FB-4838-4FA8-906B-FAEFE260299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F41E-6887-4801-8A89-A06460063DB5}">
  <dimension ref="A1:N201"/>
  <sheetViews>
    <sheetView topLeftCell="E1" workbookViewId="0">
      <selection activeCell="L19" sqref="L19"/>
    </sheetView>
  </sheetViews>
  <sheetFormatPr defaultRowHeight="14.4" x14ac:dyDescent="0.3"/>
  <cols>
    <col min="1" max="1" width="15.33203125" bestFit="1" customWidth="1"/>
    <col min="2" max="2" width="9" bestFit="1" customWidth="1"/>
    <col min="3" max="3" width="13.5546875" bestFit="1" customWidth="1"/>
    <col min="4" max="4" width="9.109375" bestFit="1" customWidth="1"/>
    <col min="5" max="5" width="15.77734375" bestFit="1" customWidth="1"/>
    <col min="6" max="6" width="14" bestFit="1" customWidth="1"/>
    <col min="7" max="7" width="18.77734375" bestFit="1" customWidth="1"/>
    <col min="8" max="8" width="15.77734375" bestFit="1" customWidth="1"/>
    <col min="9" max="9" width="9.33203125" bestFit="1" customWidth="1"/>
    <col min="11" max="11" width="12.44140625" bestFit="1" customWidth="1"/>
    <col min="12" max="12" width="27.21875" bestFit="1" customWidth="1"/>
    <col min="13" max="13" width="22" bestFit="1" customWidth="1"/>
    <col min="14" max="14" width="15.5546875" bestFit="1" customWidth="1"/>
    <col min="15" max="15" width="10.5546875" bestFit="1" customWidth="1"/>
  </cols>
  <sheetData>
    <row r="1" spans="1:14" x14ac:dyDescent="0.3">
      <c r="A1" s="26" t="s">
        <v>338</v>
      </c>
      <c r="B1" s="24" t="s">
        <v>1</v>
      </c>
      <c r="C1" s="24" t="s">
        <v>339</v>
      </c>
      <c r="D1" s="24" t="s">
        <v>340</v>
      </c>
      <c r="E1" s="24" t="s">
        <v>393</v>
      </c>
      <c r="F1" s="24" t="s">
        <v>341</v>
      </c>
      <c r="G1" s="24" t="s">
        <v>342</v>
      </c>
      <c r="H1" s="24" t="s">
        <v>343</v>
      </c>
      <c r="I1" s="25" t="s">
        <v>344</v>
      </c>
    </row>
    <row r="2" spans="1:14" x14ac:dyDescent="0.3">
      <c r="A2" s="38">
        <v>45446</v>
      </c>
      <c r="B2" s="36" t="s">
        <v>23</v>
      </c>
      <c r="C2" s="39">
        <v>4138</v>
      </c>
      <c r="D2" s="39">
        <v>361</v>
      </c>
      <c r="E2" s="39">
        <f>C2-D2</f>
        <v>3777</v>
      </c>
      <c r="F2" s="39">
        <v>103777</v>
      </c>
      <c r="G2" s="30">
        <v>3.6395347716738802E-2</v>
      </c>
      <c r="H2" s="36">
        <v>56.637790647253247</v>
      </c>
      <c r="I2" s="40">
        <v>23944</v>
      </c>
    </row>
    <row r="3" spans="1:14" x14ac:dyDescent="0.3">
      <c r="A3" s="38">
        <v>45446</v>
      </c>
      <c r="B3" s="36" t="s">
        <v>41</v>
      </c>
      <c r="C3" s="39">
        <v>8693</v>
      </c>
      <c r="D3" s="39">
        <v>1261</v>
      </c>
      <c r="E3" s="39">
        <f t="shared" ref="E3:E66" si="0">C3-D3</f>
        <v>7432</v>
      </c>
      <c r="F3" s="39">
        <v>111209</v>
      </c>
      <c r="G3" s="30">
        <v>6.6829123542159405E-2</v>
      </c>
      <c r="H3" s="36">
        <v>69.475492091467416</v>
      </c>
      <c r="I3" s="40">
        <v>29873</v>
      </c>
      <c r="K3" s="16" t="s">
        <v>358</v>
      </c>
      <c r="L3" t="s">
        <v>394</v>
      </c>
      <c r="M3" t="s">
        <v>395</v>
      </c>
      <c r="N3" s="47" t="s">
        <v>396</v>
      </c>
    </row>
    <row r="4" spans="1:14" x14ac:dyDescent="0.3">
      <c r="A4" s="38">
        <v>45446</v>
      </c>
      <c r="B4" s="36" t="s">
        <v>14</v>
      </c>
      <c r="C4" s="39">
        <v>9264</v>
      </c>
      <c r="D4" s="39">
        <v>1141</v>
      </c>
      <c r="E4" s="39">
        <f t="shared" si="0"/>
        <v>8123</v>
      </c>
      <c r="F4" s="39">
        <v>119332</v>
      </c>
      <c r="G4" s="30">
        <v>6.8070592967519203E-2</v>
      </c>
      <c r="H4" s="36">
        <v>92.312204605638044</v>
      </c>
      <c r="I4" s="40">
        <v>50372</v>
      </c>
      <c r="K4" s="44" t="s">
        <v>23</v>
      </c>
      <c r="L4" s="6">
        <v>1775883</v>
      </c>
      <c r="M4" s="3">
        <v>261862</v>
      </c>
      <c r="N4" s="45">
        <f>L4/M4</f>
        <v>6.7817514568742316</v>
      </c>
    </row>
    <row r="5" spans="1:14" x14ac:dyDescent="0.3">
      <c r="A5" s="38">
        <v>45446</v>
      </c>
      <c r="B5" s="36" t="s">
        <v>14</v>
      </c>
      <c r="C5" s="39">
        <v>8842</v>
      </c>
      <c r="D5" s="39">
        <v>971</v>
      </c>
      <c r="E5" s="39">
        <f t="shared" si="0"/>
        <v>7871</v>
      </c>
      <c r="F5" s="39">
        <v>127203</v>
      </c>
      <c r="G5" s="30">
        <v>6.1877471443283601E-2</v>
      </c>
      <c r="H5" s="36">
        <v>16.351815601833291</v>
      </c>
      <c r="I5" s="40">
        <v>33928</v>
      </c>
      <c r="K5" s="44" t="s">
        <v>19</v>
      </c>
      <c r="L5" s="6">
        <v>1990523</v>
      </c>
      <c r="M5" s="3">
        <v>290487</v>
      </c>
      <c r="N5" s="45">
        <f t="shared" ref="N5:N8" si="1">L5/M5</f>
        <v>6.8523651660831639</v>
      </c>
    </row>
    <row r="6" spans="1:14" x14ac:dyDescent="0.3">
      <c r="A6" s="38">
        <v>45453</v>
      </c>
      <c r="B6" s="36" t="s">
        <v>23</v>
      </c>
      <c r="C6" s="39">
        <v>7721</v>
      </c>
      <c r="D6" s="39">
        <v>506</v>
      </c>
      <c r="E6" s="39">
        <f t="shared" si="0"/>
        <v>7215</v>
      </c>
      <c r="F6" s="39">
        <v>134418</v>
      </c>
      <c r="G6" s="30">
        <v>5.3675846984778799E-2</v>
      </c>
      <c r="H6" s="36">
        <v>35.577824398518047</v>
      </c>
      <c r="I6" s="40">
        <v>25379</v>
      </c>
      <c r="K6" s="44" t="s">
        <v>41</v>
      </c>
      <c r="L6" s="6">
        <v>1874083</v>
      </c>
      <c r="M6" s="3">
        <v>303407</v>
      </c>
      <c r="N6" s="45">
        <f t="shared" si="1"/>
        <v>6.1767955254822731</v>
      </c>
    </row>
    <row r="7" spans="1:14" x14ac:dyDescent="0.3">
      <c r="A7" s="38">
        <v>45453</v>
      </c>
      <c r="B7" s="36" t="s">
        <v>14</v>
      </c>
      <c r="C7" s="39">
        <v>8002</v>
      </c>
      <c r="D7" s="39">
        <v>524</v>
      </c>
      <c r="E7" s="39">
        <f t="shared" si="0"/>
        <v>7478</v>
      </c>
      <c r="F7" s="39">
        <v>141896</v>
      </c>
      <c r="G7" s="30">
        <v>5.2700569431132702E-2</v>
      </c>
      <c r="H7" s="36">
        <v>52.064892597395271</v>
      </c>
      <c r="I7" s="40">
        <v>46751</v>
      </c>
      <c r="K7" s="44" t="s">
        <v>14</v>
      </c>
      <c r="L7" s="6">
        <v>1286371</v>
      </c>
      <c r="M7" s="3">
        <v>230642</v>
      </c>
      <c r="N7" s="45">
        <f t="shared" si="1"/>
        <v>5.5773493119206385</v>
      </c>
    </row>
    <row r="8" spans="1:14" x14ac:dyDescent="0.3">
      <c r="A8" s="38">
        <v>45453</v>
      </c>
      <c r="B8" s="36" t="s">
        <v>41</v>
      </c>
      <c r="C8" s="39">
        <v>5225</v>
      </c>
      <c r="D8" s="39">
        <v>291</v>
      </c>
      <c r="E8" s="39">
        <f t="shared" si="0"/>
        <v>4934</v>
      </c>
      <c r="F8" s="39">
        <v>146830</v>
      </c>
      <c r="G8" s="30">
        <v>3.3603487025812201E-2</v>
      </c>
      <c r="H8" s="36">
        <v>19.551862698358651</v>
      </c>
      <c r="I8" s="40">
        <v>44546</v>
      </c>
      <c r="K8" s="44" t="s">
        <v>359</v>
      </c>
      <c r="L8" s="6">
        <v>6926860</v>
      </c>
      <c r="M8" s="3">
        <v>1086398</v>
      </c>
      <c r="N8" s="48">
        <f t="shared" si="1"/>
        <v>6.3759874373848255</v>
      </c>
    </row>
    <row r="9" spans="1:14" x14ac:dyDescent="0.3">
      <c r="A9" s="38">
        <v>45453</v>
      </c>
      <c r="B9" s="36" t="s">
        <v>41</v>
      </c>
      <c r="C9" s="39">
        <v>3978</v>
      </c>
      <c r="D9" s="39">
        <v>543</v>
      </c>
      <c r="E9" s="39">
        <f t="shared" si="0"/>
        <v>3435</v>
      </c>
      <c r="F9" s="39">
        <v>150265</v>
      </c>
      <c r="G9" s="30">
        <v>2.2859614680730701E-2</v>
      </c>
      <c r="H9" s="36">
        <v>49.159817655475329</v>
      </c>
      <c r="I9" s="40">
        <v>34286</v>
      </c>
    </row>
    <row r="10" spans="1:14" x14ac:dyDescent="0.3">
      <c r="A10" s="38">
        <v>45460</v>
      </c>
      <c r="B10" s="36" t="s">
        <v>23</v>
      </c>
      <c r="C10" s="39">
        <v>8373</v>
      </c>
      <c r="D10" s="39">
        <v>921</v>
      </c>
      <c r="E10" s="39">
        <f t="shared" si="0"/>
        <v>7452</v>
      </c>
      <c r="F10" s="39">
        <v>157717</v>
      </c>
      <c r="G10" s="30">
        <v>4.7249186834646899E-2</v>
      </c>
      <c r="H10" s="36">
        <v>12.2263294381709</v>
      </c>
      <c r="I10" s="40">
        <v>15110</v>
      </c>
    </row>
    <row r="11" spans="1:14" x14ac:dyDescent="0.3">
      <c r="A11" s="38">
        <v>45460</v>
      </c>
      <c r="B11" s="36" t="s">
        <v>41</v>
      </c>
      <c r="C11" s="39">
        <v>6907</v>
      </c>
      <c r="D11" s="39">
        <v>834</v>
      </c>
      <c r="E11" s="39">
        <f t="shared" si="0"/>
        <v>6073</v>
      </c>
      <c r="F11" s="39">
        <v>163790</v>
      </c>
      <c r="G11" s="30">
        <v>3.70779656877709E-2</v>
      </c>
      <c r="H11" s="36">
        <v>54.158984064961238</v>
      </c>
      <c r="I11" s="40">
        <v>22087</v>
      </c>
      <c r="K11" s="46" t="s">
        <v>397</v>
      </c>
      <c r="L11" s="14" t="s">
        <v>398</v>
      </c>
    </row>
    <row r="12" spans="1:14" x14ac:dyDescent="0.3">
      <c r="A12" s="38">
        <v>45460</v>
      </c>
      <c r="B12" s="36" t="s">
        <v>19</v>
      </c>
      <c r="C12" s="39">
        <v>7097</v>
      </c>
      <c r="D12" s="39">
        <v>369</v>
      </c>
      <c r="E12" s="39">
        <f t="shared" si="0"/>
        <v>6728</v>
      </c>
      <c r="F12" s="39">
        <v>170518</v>
      </c>
      <c r="G12" s="30">
        <v>3.9456245088495101E-2</v>
      </c>
      <c r="H12" s="36">
        <v>9.2506362964613711</v>
      </c>
      <c r="I12" s="40">
        <v>33762</v>
      </c>
      <c r="K12" s="44" t="s">
        <v>19</v>
      </c>
      <c r="L12" s="45">
        <v>6.8523651660831639</v>
      </c>
    </row>
    <row r="13" spans="1:14" x14ac:dyDescent="0.3">
      <c r="A13" s="38">
        <v>45460</v>
      </c>
      <c r="B13" s="36" t="s">
        <v>23</v>
      </c>
      <c r="C13" s="39">
        <v>6656</v>
      </c>
      <c r="D13" s="39">
        <v>978</v>
      </c>
      <c r="E13" s="39">
        <f t="shared" si="0"/>
        <v>5678</v>
      </c>
      <c r="F13" s="39">
        <v>176196</v>
      </c>
      <c r="G13" s="30">
        <v>3.2225476174260498E-2</v>
      </c>
      <c r="H13" s="36">
        <v>60.425889350496043</v>
      </c>
      <c r="I13" s="40">
        <v>27081</v>
      </c>
      <c r="K13" s="44" t="s">
        <v>23</v>
      </c>
      <c r="L13" s="45">
        <v>6.7817514568742299</v>
      </c>
    </row>
    <row r="14" spans="1:14" x14ac:dyDescent="0.3">
      <c r="A14" s="38">
        <v>45467</v>
      </c>
      <c r="B14" s="36" t="s">
        <v>41</v>
      </c>
      <c r="C14" s="39">
        <v>9984</v>
      </c>
      <c r="D14" s="39">
        <v>1330</v>
      </c>
      <c r="E14" s="39">
        <f t="shared" si="0"/>
        <v>8654</v>
      </c>
      <c r="F14" s="39">
        <v>184850</v>
      </c>
      <c r="G14" s="30">
        <v>4.6816337571003501E-2</v>
      </c>
      <c r="H14" s="36">
        <v>57.524479307546663</v>
      </c>
      <c r="I14" s="40">
        <v>44947</v>
      </c>
      <c r="K14" s="44" t="s">
        <v>41</v>
      </c>
      <c r="L14" s="45">
        <v>6.1767955254822731</v>
      </c>
    </row>
    <row r="15" spans="1:14" x14ac:dyDescent="0.3">
      <c r="A15" s="38">
        <v>45467</v>
      </c>
      <c r="B15" s="36" t="s">
        <v>23</v>
      </c>
      <c r="C15" s="39">
        <v>5259</v>
      </c>
      <c r="D15" s="39">
        <v>374</v>
      </c>
      <c r="E15" s="39">
        <f t="shared" si="0"/>
        <v>4885</v>
      </c>
      <c r="F15" s="39">
        <v>189735</v>
      </c>
      <c r="G15" s="30">
        <v>2.5746435818378301E-2</v>
      </c>
      <c r="H15" s="36">
        <v>14.827522597306769</v>
      </c>
      <c r="I15" s="40">
        <v>19596</v>
      </c>
      <c r="K15" s="44" t="s">
        <v>14</v>
      </c>
      <c r="L15" s="45">
        <v>5.5773493119206385</v>
      </c>
    </row>
    <row r="16" spans="1:14" x14ac:dyDescent="0.3">
      <c r="A16" s="38">
        <v>45467</v>
      </c>
      <c r="B16" s="36" t="s">
        <v>14</v>
      </c>
      <c r="C16" s="39">
        <v>9286</v>
      </c>
      <c r="D16" s="39">
        <v>633</v>
      </c>
      <c r="E16" s="39">
        <f t="shared" si="0"/>
        <v>8653</v>
      </c>
      <c r="F16" s="39">
        <v>198388</v>
      </c>
      <c r="G16" s="30">
        <v>4.3616549388067798E-2</v>
      </c>
      <c r="H16" s="36">
        <v>5.4343004617214756</v>
      </c>
      <c r="I16" s="40">
        <v>48019</v>
      </c>
    </row>
    <row r="17" spans="1:9" x14ac:dyDescent="0.3">
      <c r="A17" s="38">
        <v>45467</v>
      </c>
      <c r="B17" s="36" t="s">
        <v>41</v>
      </c>
      <c r="C17" s="39">
        <v>6901</v>
      </c>
      <c r="D17" s="39">
        <v>471</v>
      </c>
      <c r="E17" s="39">
        <f t="shared" si="0"/>
        <v>6430</v>
      </c>
      <c r="F17" s="39">
        <v>204818</v>
      </c>
      <c r="G17" s="30">
        <v>3.1393725160874499E-2</v>
      </c>
      <c r="H17" s="36">
        <v>60.827661631301943</v>
      </c>
      <c r="I17" s="40">
        <v>52003</v>
      </c>
    </row>
    <row r="18" spans="1:9" x14ac:dyDescent="0.3">
      <c r="A18" s="38">
        <v>45474</v>
      </c>
      <c r="B18" s="36" t="s">
        <v>19</v>
      </c>
      <c r="C18" s="39">
        <v>5917</v>
      </c>
      <c r="D18" s="39">
        <v>475</v>
      </c>
      <c r="E18" s="39">
        <f t="shared" si="0"/>
        <v>5442</v>
      </c>
      <c r="F18" s="39">
        <v>210260</v>
      </c>
      <c r="G18" s="30">
        <v>2.5882241034909201E-2</v>
      </c>
      <c r="H18" s="36">
        <v>17.894035955483691</v>
      </c>
      <c r="I18" s="40">
        <v>28313</v>
      </c>
    </row>
    <row r="19" spans="1:9" x14ac:dyDescent="0.3">
      <c r="A19" s="38">
        <v>45474</v>
      </c>
      <c r="B19" s="36" t="s">
        <v>41</v>
      </c>
      <c r="C19" s="39">
        <v>9429</v>
      </c>
      <c r="D19" s="39">
        <v>966</v>
      </c>
      <c r="E19" s="39">
        <f t="shared" si="0"/>
        <v>8463</v>
      </c>
      <c r="F19" s="39">
        <v>218723</v>
      </c>
      <c r="G19" s="30">
        <v>3.8692775794040901E-2</v>
      </c>
      <c r="H19" s="36">
        <v>7.6914636320825887</v>
      </c>
      <c r="I19" s="40">
        <v>57639</v>
      </c>
    </row>
    <row r="20" spans="1:9" x14ac:dyDescent="0.3">
      <c r="A20" s="38">
        <v>45474</v>
      </c>
      <c r="B20" s="36" t="s">
        <v>23</v>
      </c>
      <c r="C20" s="39">
        <v>3530</v>
      </c>
      <c r="D20" s="39">
        <v>328</v>
      </c>
      <c r="E20" s="39">
        <f t="shared" si="0"/>
        <v>3202</v>
      </c>
      <c r="F20" s="39">
        <v>221925</v>
      </c>
      <c r="G20" s="30">
        <v>1.44282978483722E-2</v>
      </c>
      <c r="H20" s="36">
        <v>12.8372197814577</v>
      </c>
      <c r="I20" s="40">
        <v>11013</v>
      </c>
    </row>
    <row r="21" spans="1:9" x14ac:dyDescent="0.3">
      <c r="A21" s="38">
        <v>45474</v>
      </c>
      <c r="B21" s="36" t="s">
        <v>23</v>
      </c>
      <c r="C21" s="39">
        <v>2960</v>
      </c>
      <c r="D21" s="39">
        <v>234</v>
      </c>
      <c r="E21" s="39">
        <f t="shared" si="0"/>
        <v>2726</v>
      </c>
      <c r="F21" s="39">
        <v>224651</v>
      </c>
      <c r="G21" s="30">
        <v>1.21343773230478E-2</v>
      </c>
      <c r="H21" s="36">
        <v>17.41278694508371</v>
      </c>
      <c r="I21" s="40">
        <v>59378</v>
      </c>
    </row>
    <row r="22" spans="1:9" x14ac:dyDescent="0.3">
      <c r="A22" s="38">
        <v>45481</v>
      </c>
      <c r="B22" s="36" t="s">
        <v>41</v>
      </c>
      <c r="C22" s="39">
        <v>8045</v>
      </c>
      <c r="D22" s="39">
        <v>894</v>
      </c>
      <c r="E22" s="39">
        <f t="shared" si="0"/>
        <v>7151</v>
      </c>
      <c r="F22" s="39">
        <v>231802</v>
      </c>
      <c r="G22" s="30">
        <v>3.0849604403758401E-2</v>
      </c>
      <c r="H22" s="36">
        <v>47.634187798207087</v>
      </c>
      <c r="I22" s="40">
        <v>33705</v>
      </c>
    </row>
    <row r="23" spans="1:9" x14ac:dyDescent="0.3">
      <c r="A23" s="38">
        <v>45481</v>
      </c>
      <c r="B23" s="36" t="s">
        <v>19</v>
      </c>
      <c r="C23" s="39">
        <v>2048</v>
      </c>
      <c r="D23" s="39">
        <v>130</v>
      </c>
      <c r="E23" s="39">
        <f t="shared" si="0"/>
        <v>1918</v>
      </c>
      <c r="F23" s="39">
        <v>233720</v>
      </c>
      <c r="G23" s="30">
        <v>8.2064008214958097E-3</v>
      </c>
      <c r="H23" s="36">
        <v>39.284614068115687</v>
      </c>
      <c r="I23" s="40">
        <v>11828</v>
      </c>
    </row>
    <row r="24" spans="1:9" x14ac:dyDescent="0.3">
      <c r="A24" s="38">
        <v>45481</v>
      </c>
      <c r="B24" s="36" t="s">
        <v>19</v>
      </c>
      <c r="C24" s="39">
        <v>6772</v>
      </c>
      <c r="D24" s="39">
        <v>536</v>
      </c>
      <c r="E24" s="39">
        <f t="shared" si="0"/>
        <v>6236</v>
      </c>
      <c r="F24" s="39">
        <v>239956</v>
      </c>
      <c r="G24" s="30">
        <v>2.5988097817933299E-2</v>
      </c>
      <c r="H24" s="36">
        <v>9.8205504342462788</v>
      </c>
      <c r="I24" s="40">
        <v>17909</v>
      </c>
    </row>
    <row r="25" spans="1:9" x14ac:dyDescent="0.3">
      <c r="A25" s="38">
        <v>45481</v>
      </c>
      <c r="B25" s="36" t="s">
        <v>19</v>
      </c>
      <c r="C25" s="39">
        <v>3529</v>
      </c>
      <c r="D25" s="39">
        <v>305</v>
      </c>
      <c r="E25" s="39">
        <f t="shared" si="0"/>
        <v>3224</v>
      </c>
      <c r="F25" s="39">
        <v>243180</v>
      </c>
      <c r="G25" s="30">
        <v>1.3257669216218401E-2</v>
      </c>
      <c r="H25" s="36">
        <v>41.606628834608109</v>
      </c>
      <c r="I25" s="40">
        <v>48356</v>
      </c>
    </row>
    <row r="26" spans="1:9" x14ac:dyDescent="0.3">
      <c r="A26" s="38">
        <v>45488</v>
      </c>
      <c r="B26" s="36" t="s">
        <v>23</v>
      </c>
      <c r="C26" s="39">
        <v>3964</v>
      </c>
      <c r="D26" s="39">
        <v>378</v>
      </c>
      <c r="E26" s="39">
        <f t="shared" si="0"/>
        <v>3586</v>
      </c>
      <c r="F26" s="39">
        <v>246766</v>
      </c>
      <c r="G26" s="30">
        <v>1.45319857678935E-2</v>
      </c>
      <c r="H26" s="36">
        <v>13.6355899921383</v>
      </c>
      <c r="I26" s="40">
        <v>23109</v>
      </c>
    </row>
    <row r="27" spans="1:9" x14ac:dyDescent="0.3">
      <c r="A27" s="38">
        <v>45488</v>
      </c>
      <c r="B27" s="36" t="s">
        <v>41</v>
      </c>
      <c r="C27" s="39">
        <v>8137</v>
      </c>
      <c r="D27" s="39">
        <v>1045</v>
      </c>
      <c r="E27" s="39">
        <f t="shared" si="0"/>
        <v>7092</v>
      </c>
      <c r="F27" s="39">
        <v>253858</v>
      </c>
      <c r="G27" s="30">
        <v>2.79368780972039E-2</v>
      </c>
      <c r="H27" s="36">
        <v>20.47246886054408</v>
      </c>
      <c r="I27" s="40">
        <v>12023</v>
      </c>
    </row>
    <row r="28" spans="1:9" x14ac:dyDescent="0.3">
      <c r="A28" s="38">
        <v>45488</v>
      </c>
      <c r="B28" s="36" t="s">
        <v>14</v>
      </c>
      <c r="C28" s="39">
        <v>1963</v>
      </c>
      <c r="D28" s="39">
        <v>137</v>
      </c>
      <c r="E28" s="39">
        <f t="shared" si="0"/>
        <v>1826</v>
      </c>
      <c r="F28" s="39">
        <v>255684</v>
      </c>
      <c r="G28" s="30">
        <v>7.1416279469970799E-3</v>
      </c>
      <c r="H28" s="36">
        <v>11.2083665774941</v>
      </c>
      <c r="I28" s="40">
        <v>24537</v>
      </c>
    </row>
    <row r="29" spans="1:9" x14ac:dyDescent="0.3">
      <c r="A29" s="38">
        <v>45488</v>
      </c>
      <c r="B29" s="36" t="s">
        <v>23</v>
      </c>
      <c r="C29" s="39">
        <v>1536</v>
      </c>
      <c r="D29" s="39">
        <v>155</v>
      </c>
      <c r="E29" s="39">
        <f t="shared" si="0"/>
        <v>1381</v>
      </c>
      <c r="F29" s="39">
        <v>257065</v>
      </c>
      <c r="G29" s="30">
        <v>5.3721821329235798E-3</v>
      </c>
      <c r="H29" s="36">
        <v>12.15762550327738</v>
      </c>
      <c r="I29" s="40">
        <v>36661</v>
      </c>
    </row>
    <row r="30" spans="1:9" x14ac:dyDescent="0.3">
      <c r="A30" s="38">
        <v>45495</v>
      </c>
      <c r="B30" s="36" t="s">
        <v>19</v>
      </c>
      <c r="C30" s="39">
        <v>8340</v>
      </c>
      <c r="D30" s="39">
        <v>911</v>
      </c>
      <c r="E30" s="39">
        <f t="shared" si="0"/>
        <v>7429</v>
      </c>
      <c r="F30" s="39">
        <v>264494</v>
      </c>
      <c r="G30" s="30">
        <v>2.8087593669421599E-2</v>
      </c>
      <c r="H30" s="36">
        <v>37.302925586213682</v>
      </c>
      <c r="I30" s="40">
        <v>48659</v>
      </c>
    </row>
    <row r="31" spans="1:9" x14ac:dyDescent="0.3">
      <c r="A31" s="38">
        <v>45495</v>
      </c>
      <c r="B31" s="36" t="s">
        <v>41</v>
      </c>
      <c r="C31" s="39">
        <v>8179</v>
      </c>
      <c r="D31" s="39">
        <v>446</v>
      </c>
      <c r="E31" s="39">
        <f t="shared" si="0"/>
        <v>7733</v>
      </c>
      <c r="F31" s="39">
        <v>272227</v>
      </c>
      <c r="G31" s="30">
        <v>2.84064402134983E-2</v>
      </c>
      <c r="H31" s="36">
        <v>41.82171496581897</v>
      </c>
      <c r="I31" s="40">
        <v>43848</v>
      </c>
    </row>
    <row r="32" spans="1:9" x14ac:dyDescent="0.3">
      <c r="A32" s="38">
        <v>45495</v>
      </c>
      <c r="B32" s="36" t="s">
        <v>19</v>
      </c>
      <c r="C32" s="39">
        <v>8967</v>
      </c>
      <c r="D32" s="39">
        <v>993</v>
      </c>
      <c r="E32" s="39">
        <f t="shared" si="0"/>
        <v>7974</v>
      </c>
      <c r="F32" s="39">
        <v>280201</v>
      </c>
      <c r="G32" s="30">
        <v>2.8458142547671102E-2</v>
      </c>
      <c r="H32" s="36">
        <v>52.792102811910027</v>
      </c>
      <c r="I32" s="40">
        <v>47804</v>
      </c>
    </row>
    <row r="33" spans="1:9" x14ac:dyDescent="0.3">
      <c r="A33" s="38">
        <v>45495</v>
      </c>
      <c r="B33" s="36" t="s">
        <v>14</v>
      </c>
      <c r="C33" s="39">
        <v>9734</v>
      </c>
      <c r="D33" s="39">
        <v>652</v>
      </c>
      <c r="E33" s="39">
        <f t="shared" si="0"/>
        <v>9082</v>
      </c>
      <c r="F33" s="39">
        <v>289283</v>
      </c>
      <c r="G33" s="30">
        <v>3.1394862470314498E-2</v>
      </c>
      <c r="H33" s="36">
        <v>49.647922622483861</v>
      </c>
      <c r="I33" s="40">
        <v>25379</v>
      </c>
    </row>
    <row r="34" spans="1:9" x14ac:dyDescent="0.3">
      <c r="A34" s="38">
        <v>45502</v>
      </c>
      <c r="B34" s="36" t="s">
        <v>19</v>
      </c>
      <c r="C34" s="39">
        <v>1845</v>
      </c>
      <c r="D34" s="39">
        <v>104</v>
      </c>
      <c r="E34" s="39">
        <f t="shared" si="0"/>
        <v>1741</v>
      </c>
      <c r="F34" s="39">
        <v>291024</v>
      </c>
      <c r="G34" s="30">
        <v>5.9823244818296801E-3</v>
      </c>
      <c r="H34" s="36">
        <v>28.158158777282971</v>
      </c>
      <c r="I34" s="40">
        <v>37766</v>
      </c>
    </row>
    <row r="35" spans="1:9" x14ac:dyDescent="0.3">
      <c r="A35" s="38">
        <v>45502</v>
      </c>
      <c r="B35" s="36" t="s">
        <v>19</v>
      </c>
      <c r="C35" s="39">
        <v>6777</v>
      </c>
      <c r="D35" s="39">
        <v>981</v>
      </c>
      <c r="E35" s="39">
        <f t="shared" si="0"/>
        <v>5796</v>
      </c>
      <c r="F35" s="39">
        <v>296820</v>
      </c>
      <c r="G35" s="30">
        <v>1.9526986052152799E-2</v>
      </c>
      <c r="H35" s="36">
        <v>23.920557913887201</v>
      </c>
      <c r="I35" s="40">
        <v>53590</v>
      </c>
    </row>
    <row r="36" spans="1:9" x14ac:dyDescent="0.3">
      <c r="A36" s="38">
        <v>45502</v>
      </c>
      <c r="B36" s="36" t="s">
        <v>14</v>
      </c>
      <c r="C36" s="39">
        <v>4036</v>
      </c>
      <c r="D36" s="39">
        <v>591</v>
      </c>
      <c r="E36" s="39">
        <f t="shared" si="0"/>
        <v>3445</v>
      </c>
      <c r="F36" s="39">
        <v>300265</v>
      </c>
      <c r="G36" s="30">
        <v>1.1473198674504199E-2</v>
      </c>
      <c r="H36" s="36">
        <v>44.219272975538267</v>
      </c>
      <c r="I36" s="40">
        <v>12563</v>
      </c>
    </row>
    <row r="37" spans="1:9" x14ac:dyDescent="0.3">
      <c r="A37" s="38">
        <v>45502</v>
      </c>
      <c r="B37" s="36" t="s">
        <v>41</v>
      </c>
      <c r="C37" s="39">
        <v>6947</v>
      </c>
      <c r="D37" s="39">
        <v>908</v>
      </c>
      <c r="E37" s="39">
        <f t="shared" si="0"/>
        <v>6039</v>
      </c>
      <c r="F37" s="39">
        <v>306304</v>
      </c>
      <c r="G37" s="30">
        <v>1.9715707271207701E-2</v>
      </c>
      <c r="H37" s="36">
        <v>14.117673944839121</v>
      </c>
      <c r="I37" s="40">
        <v>46060</v>
      </c>
    </row>
    <row r="38" spans="1:9" x14ac:dyDescent="0.3">
      <c r="A38" s="38">
        <v>45509</v>
      </c>
      <c r="B38" s="36" t="s">
        <v>23</v>
      </c>
      <c r="C38" s="39">
        <v>3494</v>
      </c>
      <c r="D38" s="39">
        <v>281</v>
      </c>
      <c r="E38" s="39">
        <f t="shared" si="0"/>
        <v>3213</v>
      </c>
      <c r="F38" s="39">
        <v>309517</v>
      </c>
      <c r="G38" s="30">
        <v>1.03806899136396E-2</v>
      </c>
      <c r="H38" s="36">
        <v>27.765518533715429</v>
      </c>
      <c r="I38" s="40">
        <v>39197</v>
      </c>
    </row>
    <row r="39" spans="1:9" x14ac:dyDescent="0.3">
      <c r="A39" s="38">
        <v>45509</v>
      </c>
      <c r="B39" s="36" t="s">
        <v>41</v>
      </c>
      <c r="C39" s="39">
        <v>3719</v>
      </c>
      <c r="D39" s="39">
        <v>222</v>
      </c>
      <c r="E39" s="39">
        <f t="shared" si="0"/>
        <v>3497</v>
      </c>
      <c r="F39" s="39">
        <v>313014</v>
      </c>
      <c r="G39" s="30">
        <v>1.11720242545062E-2</v>
      </c>
      <c r="H39" s="36">
        <v>21.669318305251519</v>
      </c>
      <c r="I39" s="40">
        <v>13586</v>
      </c>
    </row>
    <row r="40" spans="1:9" x14ac:dyDescent="0.3">
      <c r="A40" s="38">
        <v>45509</v>
      </c>
      <c r="B40" s="36" t="s">
        <v>14</v>
      </c>
      <c r="C40" s="39">
        <v>2884</v>
      </c>
      <c r="D40" s="39">
        <v>341</v>
      </c>
      <c r="E40" s="39">
        <f t="shared" si="0"/>
        <v>2543</v>
      </c>
      <c r="F40" s="39">
        <v>315557</v>
      </c>
      <c r="G40" s="30">
        <v>8.0587659281841292E-3</v>
      </c>
      <c r="H40" s="36">
        <v>46.999749649033298</v>
      </c>
      <c r="I40" s="40">
        <v>26087</v>
      </c>
    </row>
    <row r="41" spans="1:9" x14ac:dyDescent="0.3">
      <c r="A41" s="38">
        <v>45509</v>
      </c>
      <c r="B41" s="36" t="s">
        <v>19</v>
      </c>
      <c r="C41" s="39">
        <v>5349</v>
      </c>
      <c r="D41" s="39">
        <v>502</v>
      </c>
      <c r="E41" s="39">
        <f t="shared" si="0"/>
        <v>4847</v>
      </c>
      <c r="F41" s="39">
        <v>320404</v>
      </c>
      <c r="G41" s="30">
        <v>1.51277761825695E-2</v>
      </c>
      <c r="H41" s="36">
        <v>5.2152906954969351</v>
      </c>
      <c r="I41" s="40">
        <v>58868</v>
      </c>
    </row>
    <row r="42" spans="1:9" x14ac:dyDescent="0.3">
      <c r="A42" s="38">
        <v>45516</v>
      </c>
      <c r="B42" s="36" t="s">
        <v>41</v>
      </c>
      <c r="C42" s="39">
        <v>6179</v>
      </c>
      <c r="D42" s="39">
        <v>384</v>
      </c>
      <c r="E42" s="39">
        <f t="shared" si="0"/>
        <v>5795</v>
      </c>
      <c r="F42" s="39">
        <v>326199</v>
      </c>
      <c r="G42" s="30">
        <v>1.7765229200580001E-2</v>
      </c>
      <c r="H42" s="36">
        <v>14.71218489327067</v>
      </c>
      <c r="I42" s="40">
        <v>33225</v>
      </c>
    </row>
    <row r="43" spans="1:9" x14ac:dyDescent="0.3">
      <c r="A43" s="38">
        <v>45516</v>
      </c>
      <c r="B43" s="36" t="s">
        <v>23</v>
      </c>
      <c r="C43" s="39">
        <v>7610</v>
      </c>
      <c r="D43" s="39">
        <v>757</v>
      </c>
      <c r="E43" s="39">
        <f t="shared" si="0"/>
        <v>6853</v>
      </c>
      <c r="F43" s="39">
        <v>333052</v>
      </c>
      <c r="G43" s="30">
        <v>2.0576366453286601E-2</v>
      </c>
      <c r="H43" s="36">
        <v>44.450416151231643</v>
      </c>
      <c r="I43" s="40">
        <v>39750</v>
      </c>
    </row>
    <row r="44" spans="1:9" x14ac:dyDescent="0.3">
      <c r="A44" s="38">
        <v>45516</v>
      </c>
      <c r="B44" s="36" t="s">
        <v>14</v>
      </c>
      <c r="C44" s="39">
        <v>7430</v>
      </c>
      <c r="D44" s="39">
        <v>397</v>
      </c>
      <c r="E44" s="39">
        <f t="shared" si="0"/>
        <v>7033</v>
      </c>
      <c r="F44" s="39">
        <v>340085</v>
      </c>
      <c r="G44" s="30">
        <v>2.0680124086625399E-2</v>
      </c>
      <c r="H44" s="36">
        <v>28.065042562888689</v>
      </c>
      <c r="I44" s="40">
        <v>16643</v>
      </c>
    </row>
    <row r="45" spans="1:9" x14ac:dyDescent="0.3">
      <c r="A45" s="38">
        <v>45516</v>
      </c>
      <c r="B45" s="36" t="s">
        <v>41</v>
      </c>
      <c r="C45" s="39">
        <v>8154</v>
      </c>
      <c r="D45" s="39">
        <v>1149</v>
      </c>
      <c r="E45" s="39">
        <f t="shared" si="0"/>
        <v>7005</v>
      </c>
      <c r="F45" s="39">
        <v>347090</v>
      </c>
      <c r="G45" s="30">
        <v>2.0182085338096699E-2</v>
      </c>
      <c r="H45" s="36">
        <v>26.003918292085629</v>
      </c>
      <c r="I45" s="40">
        <v>37523</v>
      </c>
    </row>
    <row r="46" spans="1:9" x14ac:dyDescent="0.3">
      <c r="A46" s="38">
        <v>45523</v>
      </c>
      <c r="B46" s="36" t="s">
        <v>23</v>
      </c>
      <c r="C46" s="39">
        <v>7488</v>
      </c>
      <c r="D46" s="39">
        <v>568</v>
      </c>
      <c r="E46" s="39">
        <f t="shared" si="0"/>
        <v>6920</v>
      </c>
      <c r="F46" s="39">
        <v>354010</v>
      </c>
      <c r="G46" s="30">
        <v>1.9547470410440401E-2</v>
      </c>
      <c r="H46" s="36">
        <v>13.47730290104799</v>
      </c>
      <c r="I46" s="40">
        <v>46727</v>
      </c>
    </row>
    <row r="47" spans="1:9" x14ac:dyDescent="0.3">
      <c r="A47" s="38">
        <v>45523</v>
      </c>
      <c r="B47" s="36" t="s">
        <v>14</v>
      </c>
      <c r="C47" s="39">
        <v>5737</v>
      </c>
      <c r="D47" s="39">
        <v>666</v>
      </c>
      <c r="E47" s="39">
        <f t="shared" si="0"/>
        <v>5071</v>
      </c>
      <c r="F47" s="39">
        <v>359081</v>
      </c>
      <c r="G47" s="30">
        <v>1.4122161852061201E-2</v>
      </c>
      <c r="H47" s="36">
        <v>4.6034181702735593</v>
      </c>
      <c r="I47" s="40">
        <v>21005</v>
      </c>
    </row>
    <row r="48" spans="1:9" x14ac:dyDescent="0.3">
      <c r="A48" s="38">
        <v>45523</v>
      </c>
      <c r="B48" s="36" t="s">
        <v>23</v>
      </c>
      <c r="C48" s="39">
        <v>7525</v>
      </c>
      <c r="D48" s="39">
        <v>610</v>
      </c>
      <c r="E48" s="39">
        <f t="shared" si="0"/>
        <v>6915</v>
      </c>
      <c r="F48" s="39">
        <v>365996</v>
      </c>
      <c r="G48" s="30">
        <v>1.8893649110919199E-2</v>
      </c>
      <c r="H48" s="36">
        <v>5.7694619613329108</v>
      </c>
      <c r="I48" s="40">
        <v>53543</v>
      </c>
    </row>
    <row r="49" spans="1:9" x14ac:dyDescent="0.3">
      <c r="A49" s="38">
        <v>45523</v>
      </c>
      <c r="B49" s="36" t="s">
        <v>14</v>
      </c>
      <c r="C49" s="39">
        <v>4850</v>
      </c>
      <c r="D49" s="39">
        <v>494</v>
      </c>
      <c r="E49" s="39">
        <f t="shared" si="0"/>
        <v>4356</v>
      </c>
      <c r="F49" s="39">
        <v>370352</v>
      </c>
      <c r="G49" s="30">
        <v>1.1761783384455901E-2</v>
      </c>
      <c r="H49" s="36">
        <v>20.46539508359615</v>
      </c>
      <c r="I49" s="40">
        <v>10161</v>
      </c>
    </row>
    <row r="50" spans="1:9" x14ac:dyDescent="0.3">
      <c r="A50" s="38">
        <v>45530</v>
      </c>
      <c r="B50" s="36" t="s">
        <v>19</v>
      </c>
      <c r="C50" s="39">
        <v>1689</v>
      </c>
      <c r="D50" s="39">
        <v>176</v>
      </c>
      <c r="E50" s="39">
        <f t="shared" si="0"/>
        <v>1513</v>
      </c>
      <c r="F50" s="39">
        <v>371865</v>
      </c>
      <c r="G50" s="30">
        <v>4.0686808384763299E-3</v>
      </c>
      <c r="H50" s="36">
        <v>38.012181840183942</v>
      </c>
      <c r="I50" s="40">
        <v>26029</v>
      </c>
    </row>
    <row r="51" spans="1:9" x14ac:dyDescent="0.3">
      <c r="A51" s="38">
        <v>45530</v>
      </c>
      <c r="B51" s="36" t="s">
        <v>41</v>
      </c>
      <c r="C51" s="39">
        <v>6175</v>
      </c>
      <c r="D51" s="39">
        <v>422</v>
      </c>
      <c r="E51" s="39">
        <f t="shared" si="0"/>
        <v>5753</v>
      </c>
      <c r="F51" s="39">
        <v>377618</v>
      </c>
      <c r="G51" s="30">
        <v>1.5234972909130401E-2</v>
      </c>
      <c r="H51" s="36">
        <v>37.86101298137271</v>
      </c>
      <c r="I51" s="40">
        <v>59745</v>
      </c>
    </row>
    <row r="52" spans="1:9" x14ac:dyDescent="0.3">
      <c r="A52" s="38">
        <v>45530</v>
      </c>
      <c r="B52" s="36" t="s">
        <v>23</v>
      </c>
      <c r="C52" s="39">
        <v>9648</v>
      </c>
      <c r="D52" s="39">
        <v>1417</v>
      </c>
      <c r="E52" s="39">
        <f t="shared" si="0"/>
        <v>8231</v>
      </c>
      <c r="F52" s="39">
        <v>385849</v>
      </c>
      <c r="G52" s="30">
        <v>2.13321791685348E-2</v>
      </c>
      <c r="H52" s="36">
        <v>3.6633501706626168</v>
      </c>
      <c r="I52" s="40">
        <v>24226</v>
      </c>
    </row>
    <row r="53" spans="1:9" x14ac:dyDescent="0.3">
      <c r="A53" s="38">
        <v>45530</v>
      </c>
      <c r="B53" s="36" t="s">
        <v>14</v>
      </c>
      <c r="C53" s="39">
        <v>6078</v>
      </c>
      <c r="D53" s="39">
        <v>775</v>
      </c>
      <c r="E53" s="39">
        <f t="shared" si="0"/>
        <v>5303</v>
      </c>
      <c r="F53" s="39">
        <v>391152</v>
      </c>
      <c r="G53" s="30">
        <v>1.35573894547388E-2</v>
      </c>
      <c r="H53" s="36">
        <v>37.760512537325639</v>
      </c>
      <c r="I53" s="40">
        <v>38731</v>
      </c>
    </row>
    <row r="54" spans="1:9" x14ac:dyDescent="0.3">
      <c r="A54" s="38">
        <v>45537</v>
      </c>
      <c r="B54" s="36" t="s">
        <v>23</v>
      </c>
      <c r="C54" s="39">
        <v>6448</v>
      </c>
      <c r="D54" s="39">
        <v>928</v>
      </c>
      <c r="E54" s="39">
        <f t="shared" si="0"/>
        <v>5520</v>
      </c>
      <c r="F54" s="39">
        <v>396672</v>
      </c>
      <c r="G54" s="30">
        <v>1.3915779283639899E-2</v>
      </c>
      <c r="H54" s="36">
        <v>30.118586640851881</v>
      </c>
      <c r="I54" s="40">
        <v>53922</v>
      </c>
    </row>
    <row r="55" spans="1:9" x14ac:dyDescent="0.3">
      <c r="A55" s="38">
        <v>45537</v>
      </c>
      <c r="B55" s="36" t="s">
        <v>23</v>
      </c>
      <c r="C55" s="39">
        <v>2179</v>
      </c>
      <c r="D55" s="39">
        <v>303</v>
      </c>
      <c r="E55" s="39">
        <f t="shared" si="0"/>
        <v>1876</v>
      </c>
      <c r="F55" s="39">
        <v>398548</v>
      </c>
      <c r="G55" s="30">
        <v>4.7070867248110602E-3</v>
      </c>
      <c r="H55" s="36">
        <v>33.909842729106657</v>
      </c>
      <c r="I55" s="40">
        <v>54848</v>
      </c>
    </row>
    <row r="56" spans="1:9" x14ac:dyDescent="0.3">
      <c r="A56" s="38">
        <v>45537</v>
      </c>
      <c r="B56" s="36" t="s">
        <v>41</v>
      </c>
      <c r="C56" s="39">
        <v>7406</v>
      </c>
      <c r="D56" s="39">
        <v>813</v>
      </c>
      <c r="E56" s="39">
        <f t="shared" si="0"/>
        <v>6593</v>
      </c>
      <c r="F56" s="39">
        <v>405141</v>
      </c>
      <c r="G56" s="30">
        <v>1.62733468101229E-2</v>
      </c>
      <c r="H56" s="36">
        <v>24.457411123534769</v>
      </c>
      <c r="I56" s="40">
        <v>13390</v>
      </c>
    </row>
    <row r="57" spans="1:9" x14ac:dyDescent="0.3">
      <c r="A57" s="38">
        <v>45537</v>
      </c>
      <c r="B57" s="36" t="s">
        <v>19</v>
      </c>
      <c r="C57" s="39">
        <v>9591</v>
      </c>
      <c r="D57" s="39">
        <v>1363</v>
      </c>
      <c r="E57" s="39">
        <f t="shared" si="0"/>
        <v>8228</v>
      </c>
      <c r="F57" s="39">
        <v>413369</v>
      </c>
      <c r="G57" s="30">
        <v>1.9904734026983201E-2</v>
      </c>
      <c r="H57" s="36">
        <v>10.494255737609739</v>
      </c>
      <c r="I57" s="40">
        <v>15997</v>
      </c>
    </row>
    <row r="58" spans="1:9" x14ac:dyDescent="0.3">
      <c r="A58" s="38">
        <v>45544</v>
      </c>
      <c r="B58" s="36" t="s">
        <v>23</v>
      </c>
      <c r="C58" s="39">
        <v>7907</v>
      </c>
      <c r="D58" s="39">
        <v>465</v>
      </c>
      <c r="E58" s="39">
        <f t="shared" si="0"/>
        <v>7442</v>
      </c>
      <c r="F58" s="39">
        <v>420811</v>
      </c>
      <c r="G58" s="30">
        <v>1.76848989213685E-2</v>
      </c>
      <c r="H58" s="36">
        <v>33.257448118038738</v>
      </c>
      <c r="I58" s="40">
        <v>22693</v>
      </c>
    </row>
    <row r="59" spans="1:9" x14ac:dyDescent="0.3">
      <c r="A59" s="38">
        <v>45544</v>
      </c>
      <c r="B59" s="36" t="s">
        <v>14</v>
      </c>
      <c r="C59" s="39">
        <v>9800</v>
      </c>
      <c r="D59" s="39">
        <v>682</v>
      </c>
      <c r="E59" s="39">
        <f t="shared" si="0"/>
        <v>9118</v>
      </c>
      <c r="F59" s="39">
        <v>429929</v>
      </c>
      <c r="G59" s="30">
        <v>2.1208152974095701E-2</v>
      </c>
      <c r="H59" s="36">
        <v>6.2966210699906267</v>
      </c>
      <c r="I59" s="40">
        <v>59815</v>
      </c>
    </row>
    <row r="60" spans="1:9" x14ac:dyDescent="0.3">
      <c r="A60" s="38">
        <v>45544</v>
      </c>
      <c r="B60" s="36" t="s">
        <v>14</v>
      </c>
      <c r="C60" s="39">
        <v>2638</v>
      </c>
      <c r="D60" s="39">
        <v>143</v>
      </c>
      <c r="E60" s="39">
        <f t="shared" si="0"/>
        <v>2495</v>
      </c>
      <c r="F60" s="39">
        <v>432424</v>
      </c>
      <c r="G60" s="30">
        <v>5.76980001110022E-3</v>
      </c>
      <c r="H60" s="36">
        <v>6.9547481175882924</v>
      </c>
      <c r="I60" s="40">
        <v>52092</v>
      </c>
    </row>
    <row r="61" spans="1:9" x14ac:dyDescent="0.3">
      <c r="A61" s="38">
        <v>45544</v>
      </c>
      <c r="B61" s="36" t="s">
        <v>19</v>
      </c>
      <c r="C61" s="39">
        <v>6671</v>
      </c>
      <c r="D61" s="39">
        <v>550</v>
      </c>
      <c r="E61" s="39">
        <f t="shared" si="0"/>
        <v>6121</v>
      </c>
      <c r="F61" s="39">
        <v>438545</v>
      </c>
      <c r="G61" s="30">
        <v>1.3957518612685099E-2</v>
      </c>
      <c r="H61" s="36">
        <v>17.750287883797562</v>
      </c>
      <c r="I61" s="40">
        <v>10541</v>
      </c>
    </row>
    <row r="62" spans="1:9" x14ac:dyDescent="0.3">
      <c r="A62" s="38">
        <v>45551</v>
      </c>
      <c r="B62" s="36" t="s">
        <v>14</v>
      </c>
      <c r="C62" s="39">
        <v>7928</v>
      </c>
      <c r="D62" s="39">
        <v>704</v>
      </c>
      <c r="E62" s="39">
        <f t="shared" si="0"/>
        <v>7224</v>
      </c>
      <c r="F62" s="39">
        <v>445769</v>
      </c>
      <c r="G62" s="30">
        <v>1.6205702953772001E-2</v>
      </c>
      <c r="H62" s="36">
        <v>11.194362999670229</v>
      </c>
      <c r="I62" s="40">
        <v>31817</v>
      </c>
    </row>
    <row r="63" spans="1:9" x14ac:dyDescent="0.3">
      <c r="A63" s="38">
        <v>45551</v>
      </c>
      <c r="B63" s="36" t="s">
        <v>19</v>
      </c>
      <c r="C63" s="39">
        <v>2382</v>
      </c>
      <c r="D63" s="39">
        <v>183</v>
      </c>
      <c r="E63" s="39">
        <f t="shared" si="0"/>
        <v>2199</v>
      </c>
      <c r="F63" s="39">
        <v>447968</v>
      </c>
      <c r="G63" s="30">
        <v>4.9088327737695503E-3</v>
      </c>
      <c r="H63" s="36">
        <v>4.7335970426459033</v>
      </c>
      <c r="I63" s="40">
        <v>47861</v>
      </c>
    </row>
    <row r="64" spans="1:9" x14ac:dyDescent="0.3">
      <c r="A64" s="38">
        <v>45551</v>
      </c>
      <c r="B64" s="36" t="s">
        <v>14</v>
      </c>
      <c r="C64" s="39">
        <v>2403</v>
      </c>
      <c r="D64" s="39">
        <v>319</v>
      </c>
      <c r="E64" s="39">
        <f t="shared" si="0"/>
        <v>2084</v>
      </c>
      <c r="F64" s="39">
        <v>450052</v>
      </c>
      <c r="G64" s="30">
        <v>4.63057602232631E-3</v>
      </c>
      <c r="H64" s="36">
        <v>29.92120910472568</v>
      </c>
      <c r="I64" s="40">
        <v>23428</v>
      </c>
    </row>
    <row r="65" spans="1:9" x14ac:dyDescent="0.3">
      <c r="A65" s="38">
        <v>45551</v>
      </c>
      <c r="B65" s="36" t="s">
        <v>41</v>
      </c>
      <c r="C65" s="39">
        <v>4292</v>
      </c>
      <c r="D65" s="39">
        <v>367</v>
      </c>
      <c r="E65" s="39">
        <f t="shared" si="0"/>
        <v>3925</v>
      </c>
      <c r="F65" s="39">
        <v>453977</v>
      </c>
      <c r="G65" s="30">
        <v>8.6458124530537899E-3</v>
      </c>
      <c r="H65" s="36">
        <v>3.5037017293827661</v>
      </c>
      <c r="I65" s="40">
        <v>53934</v>
      </c>
    </row>
    <row r="66" spans="1:9" x14ac:dyDescent="0.3">
      <c r="A66" s="38">
        <v>45558</v>
      </c>
      <c r="B66" s="36" t="s">
        <v>23</v>
      </c>
      <c r="C66" s="39">
        <v>1419</v>
      </c>
      <c r="D66" s="39">
        <v>110</v>
      </c>
      <c r="E66" s="39">
        <f t="shared" si="0"/>
        <v>1309</v>
      </c>
      <c r="F66" s="39">
        <v>455286</v>
      </c>
      <c r="G66" s="30">
        <v>2.8751158612388699E-3</v>
      </c>
      <c r="H66" s="36">
        <v>31.554451487636339</v>
      </c>
      <c r="I66" s="40">
        <v>58831</v>
      </c>
    </row>
    <row r="67" spans="1:9" x14ac:dyDescent="0.3">
      <c r="A67" s="38">
        <v>45558</v>
      </c>
      <c r="B67" s="36" t="s">
        <v>41</v>
      </c>
      <c r="C67" s="39">
        <v>5517</v>
      </c>
      <c r="D67" s="39">
        <v>575</v>
      </c>
      <c r="E67" s="39">
        <f t="shared" ref="E67:E130" si="2">C67-D67</f>
        <v>4942</v>
      </c>
      <c r="F67" s="39">
        <v>460228</v>
      </c>
      <c r="G67" s="30">
        <v>1.07381558705685E-2</v>
      </c>
      <c r="H67" s="36">
        <v>29.45844233727631</v>
      </c>
      <c r="I67" s="40">
        <v>20258</v>
      </c>
    </row>
    <row r="68" spans="1:9" x14ac:dyDescent="0.3">
      <c r="A68" s="38">
        <v>45558</v>
      </c>
      <c r="B68" s="36" t="s">
        <v>23</v>
      </c>
      <c r="C68" s="39">
        <v>4302</v>
      </c>
      <c r="D68" s="39">
        <v>275</v>
      </c>
      <c r="E68" s="39">
        <f t="shared" si="2"/>
        <v>4027</v>
      </c>
      <c r="F68" s="39">
        <v>464255</v>
      </c>
      <c r="G68" s="30">
        <v>8.6741122874282404E-3</v>
      </c>
      <c r="H68" s="36">
        <v>15.72131694865968</v>
      </c>
      <c r="I68" s="40">
        <v>26044</v>
      </c>
    </row>
    <row r="69" spans="1:9" x14ac:dyDescent="0.3">
      <c r="A69" s="38">
        <v>45558</v>
      </c>
      <c r="B69" s="36" t="s">
        <v>23</v>
      </c>
      <c r="C69" s="39">
        <v>8857</v>
      </c>
      <c r="D69" s="39">
        <v>1153</v>
      </c>
      <c r="E69" s="39">
        <f t="shared" si="2"/>
        <v>7704</v>
      </c>
      <c r="F69" s="39">
        <v>471959</v>
      </c>
      <c r="G69" s="30">
        <v>1.6323451825264498E-2</v>
      </c>
      <c r="H69" s="36">
        <v>19.214592793018038</v>
      </c>
      <c r="I69" s="40">
        <v>39411</v>
      </c>
    </row>
    <row r="70" spans="1:9" x14ac:dyDescent="0.3">
      <c r="A70" s="38">
        <v>45565</v>
      </c>
      <c r="B70" s="36" t="s">
        <v>23</v>
      </c>
      <c r="C70" s="39">
        <v>8870</v>
      </c>
      <c r="D70" s="39">
        <v>509</v>
      </c>
      <c r="E70" s="39">
        <f t="shared" si="2"/>
        <v>8361</v>
      </c>
      <c r="F70" s="39">
        <v>480320</v>
      </c>
      <c r="G70" s="30">
        <v>1.7407145236508999E-2</v>
      </c>
      <c r="H70" s="36">
        <v>25.077864756828781</v>
      </c>
      <c r="I70" s="40">
        <v>15469</v>
      </c>
    </row>
    <row r="71" spans="1:9" x14ac:dyDescent="0.3">
      <c r="A71" s="38">
        <v>45565</v>
      </c>
      <c r="B71" s="36" t="s">
        <v>41</v>
      </c>
      <c r="C71" s="39">
        <v>6693</v>
      </c>
      <c r="D71" s="39">
        <v>995</v>
      </c>
      <c r="E71" s="39">
        <f t="shared" si="2"/>
        <v>5698</v>
      </c>
      <c r="F71" s="39">
        <v>486018</v>
      </c>
      <c r="G71" s="30">
        <v>1.1723845618886499E-2</v>
      </c>
      <c r="H71" s="36">
        <v>23.761877132122681</v>
      </c>
      <c r="I71" s="40">
        <v>38854</v>
      </c>
    </row>
    <row r="72" spans="1:9" x14ac:dyDescent="0.3">
      <c r="A72" s="38">
        <v>45565</v>
      </c>
      <c r="B72" s="36" t="s">
        <v>23</v>
      </c>
      <c r="C72" s="39">
        <v>1767</v>
      </c>
      <c r="D72" s="39">
        <v>224</v>
      </c>
      <c r="E72" s="39">
        <f t="shared" si="2"/>
        <v>1543</v>
      </c>
      <c r="F72" s="39">
        <v>487561</v>
      </c>
      <c r="G72" s="30">
        <v>3.1647322078673201E-3</v>
      </c>
      <c r="H72" s="36">
        <v>13.208603641390511</v>
      </c>
      <c r="I72" s="40">
        <v>16256</v>
      </c>
    </row>
    <row r="73" spans="1:9" x14ac:dyDescent="0.3">
      <c r="A73" s="38">
        <v>45565</v>
      </c>
      <c r="B73" s="36" t="s">
        <v>41</v>
      </c>
      <c r="C73" s="39">
        <v>3044</v>
      </c>
      <c r="D73" s="39">
        <v>212</v>
      </c>
      <c r="E73" s="39">
        <f t="shared" si="2"/>
        <v>2832</v>
      </c>
      <c r="F73" s="39">
        <v>490393</v>
      </c>
      <c r="G73" s="30">
        <v>5.7749600830354396E-3</v>
      </c>
      <c r="H73" s="36">
        <v>8.5343795690395261</v>
      </c>
      <c r="I73" s="40">
        <v>20720</v>
      </c>
    </row>
    <row r="74" spans="1:9" x14ac:dyDescent="0.3">
      <c r="A74" s="38">
        <v>45572</v>
      </c>
      <c r="B74" s="36" t="s">
        <v>19</v>
      </c>
      <c r="C74" s="39">
        <v>2549</v>
      </c>
      <c r="D74" s="39">
        <v>128</v>
      </c>
      <c r="E74" s="39">
        <f t="shared" si="2"/>
        <v>2421</v>
      </c>
      <c r="F74" s="39">
        <v>492814</v>
      </c>
      <c r="G74" s="30">
        <v>4.9126039438814597E-3</v>
      </c>
      <c r="H74" s="36">
        <v>12.734216154573531</v>
      </c>
      <c r="I74" s="40">
        <v>43937</v>
      </c>
    </row>
    <row r="75" spans="1:9" x14ac:dyDescent="0.3">
      <c r="A75" s="38">
        <v>45572</v>
      </c>
      <c r="B75" s="36" t="s">
        <v>14</v>
      </c>
      <c r="C75" s="39">
        <v>7140</v>
      </c>
      <c r="D75" s="39">
        <v>939</v>
      </c>
      <c r="E75" s="39">
        <f t="shared" si="2"/>
        <v>6201</v>
      </c>
      <c r="F75" s="39">
        <v>499015</v>
      </c>
      <c r="G75" s="30">
        <v>1.2426480165926901E-2</v>
      </c>
      <c r="H75" s="36">
        <v>25.120888149654821</v>
      </c>
      <c r="I75" s="40">
        <v>43598</v>
      </c>
    </row>
    <row r="76" spans="1:9" x14ac:dyDescent="0.3">
      <c r="A76" s="38">
        <v>45572</v>
      </c>
      <c r="B76" s="36" t="s">
        <v>14</v>
      </c>
      <c r="C76" s="39">
        <v>4716</v>
      </c>
      <c r="D76" s="39">
        <v>569</v>
      </c>
      <c r="E76" s="39">
        <f t="shared" si="2"/>
        <v>4147</v>
      </c>
      <c r="F76" s="39">
        <v>503162</v>
      </c>
      <c r="G76" s="30">
        <v>8.2418783612434997E-3</v>
      </c>
      <c r="H76" s="36">
        <v>25.64820077827817</v>
      </c>
      <c r="I76" s="40">
        <v>11651</v>
      </c>
    </row>
    <row r="77" spans="1:9" x14ac:dyDescent="0.3">
      <c r="A77" s="38">
        <v>45572</v>
      </c>
      <c r="B77" s="36" t="s">
        <v>23</v>
      </c>
      <c r="C77" s="39">
        <v>5481</v>
      </c>
      <c r="D77" s="39">
        <v>673</v>
      </c>
      <c r="E77" s="39">
        <f t="shared" si="2"/>
        <v>4808</v>
      </c>
      <c r="F77" s="39">
        <v>507970</v>
      </c>
      <c r="G77" s="30">
        <v>9.4651258932614106E-3</v>
      </c>
      <c r="H77" s="36">
        <v>13.08758391243577</v>
      </c>
      <c r="I77" s="40">
        <v>29194</v>
      </c>
    </row>
    <row r="78" spans="1:9" x14ac:dyDescent="0.3">
      <c r="A78" s="38">
        <v>45579</v>
      </c>
      <c r="B78" s="36" t="s">
        <v>41</v>
      </c>
      <c r="C78" s="39">
        <v>8898</v>
      </c>
      <c r="D78" s="39">
        <v>1131</v>
      </c>
      <c r="E78" s="39">
        <f t="shared" si="2"/>
        <v>7767</v>
      </c>
      <c r="F78" s="39">
        <v>515737</v>
      </c>
      <c r="G78" s="30">
        <v>1.50600015123988E-2</v>
      </c>
      <c r="H78" s="36">
        <v>2.1877429775253669</v>
      </c>
      <c r="I78" s="40">
        <v>35051</v>
      </c>
    </row>
    <row r="79" spans="1:9" x14ac:dyDescent="0.3">
      <c r="A79" s="38">
        <v>45579</v>
      </c>
      <c r="B79" s="36" t="s">
        <v>14</v>
      </c>
      <c r="C79" s="39">
        <v>7548</v>
      </c>
      <c r="D79" s="39">
        <v>433</v>
      </c>
      <c r="E79" s="39">
        <f t="shared" si="2"/>
        <v>7115</v>
      </c>
      <c r="F79" s="39">
        <v>522852</v>
      </c>
      <c r="G79" s="30">
        <v>1.36080573470122E-2</v>
      </c>
      <c r="H79" s="36">
        <v>8.3562843787534522</v>
      </c>
      <c r="I79" s="40">
        <v>37386</v>
      </c>
    </row>
    <row r="80" spans="1:9" x14ac:dyDescent="0.3">
      <c r="A80" s="38">
        <v>45579</v>
      </c>
      <c r="B80" s="36" t="s">
        <v>41</v>
      </c>
      <c r="C80" s="39">
        <v>3293</v>
      </c>
      <c r="D80" s="39">
        <v>282</v>
      </c>
      <c r="E80" s="39">
        <f t="shared" si="2"/>
        <v>3011</v>
      </c>
      <c r="F80" s="39">
        <v>525863</v>
      </c>
      <c r="G80" s="30">
        <v>5.7258259280459E-3</v>
      </c>
      <c r="H80" s="36">
        <v>27.040693108281051</v>
      </c>
      <c r="I80" s="40">
        <v>19518</v>
      </c>
    </row>
    <row r="81" spans="1:9" x14ac:dyDescent="0.3">
      <c r="A81" s="38">
        <v>45579</v>
      </c>
      <c r="B81" s="36" t="s">
        <v>41</v>
      </c>
      <c r="C81" s="39">
        <v>5837</v>
      </c>
      <c r="D81" s="39">
        <v>359</v>
      </c>
      <c r="E81" s="39">
        <f t="shared" si="2"/>
        <v>5478</v>
      </c>
      <c r="F81" s="39">
        <v>531341</v>
      </c>
      <c r="G81" s="30">
        <v>1.03097634099383E-2</v>
      </c>
      <c r="H81" s="36">
        <v>6.8073045370110723</v>
      </c>
      <c r="I81" s="40">
        <v>56026</v>
      </c>
    </row>
    <row r="82" spans="1:9" x14ac:dyDescent="0.3">
      <c r="A82" s="38">
        <v>45586</v>
      </c>
      <c r="B82" s="36" t="s">
        <v>23</v>
      </c>
      <c r="C82" s="39">
        <v>8758</v>
      </c>
      <c r="D82" s="39">
        <v>1193</v>
      </c>
      <c r="E82" s="39">
        <f t="shared" si="2"/>
        <v>7565</v>
      </c>
      <c r="F82" s="39">
        <v>538906</v>
      </c>
      <c r="G82" s="30">
        <v>1.40376985967868E-2</v>
      </c>
      <c r="H82" s="36">
        <v>3.4213758985797149</v>
      </c>
      <c r="I82" s="40">
        <v>26184</v>
      </c>
    </row>
    <row r="83" spans="1:9" x14ac:dyDescent="0.3">
      <c r="A83" s="38">
        <v>45586</v>
      </c>
      <c r="B83" s="36" t="s">
        <v>14</v>
      </c>
      <c r="C83" s="39">
        <v>7793</v>
      </c>
      <c r="D83" s="39">
        <v>875</v>
      </c>
      <c r="E83" s="39">
        <f t="shared" si="2"/>
        <v>6918</v>
      </c>
      <c r="F83" s="39">
        <v>545824</v>
      </c>
      <c r="G83" s="30">
        <v>1.26744151961072E-2</v>
      </c>
      <c r="H83" s="36">
        <v>5.5136820660139527</v>
      </c>
      <c r="I83" s="40">
        <v>43787</v>
      </c>
    </row>
    <row r="84" spans="1:9" x14ac:dyDescent="0.3">
      <c r="A84" s="38">
        <v>45586</v>
      </c>
      <c r="B84" s="36" t="s">
        <v>23</v>
      </c>
      <c r="C84" s="39">
        <v>8638</v>
      </c>
      <c r="D84" s="39">
        <v>717</v>
      </c>
      <c r="E84" s="39">
        <f t="shared" si="2"/>
        <v>7921</v>
      </c>
      <c r="F84" s="39">
        <v>553745</v>
      </c>
      <c r="G84" s="30">
        <v>1.4304418098583301E-2</v>
      </c>
      <c r="H84" s="36">
        <v>26.921416897669499</v>
      </c>
      <c r="I84" s="40">
        <v>31621</v>
      </c>
    </row>
    <row r="85" spans="1:9" x14ac:dyDescent="0.3">
      <c r="A85" s="38">
        <v>45586</v>
      </c>
      <c r="B85" s="36" t="s">
        <v>23</v>
      </c>
      <c r="C85" s="39">
        <v>8993</v>
      </c>
      <c r="D85" s="39">
        <v>506</v>
      </c>
      <c r="E85" s="39">
        <f t="shared" si="2"/>
        <v>8487</v>
      </c>
      <c r="F85" s="39">
        <v>562232</v>
      </c>
      <c r="G85" s="30">
        <v>1.5095192020375899E-2</v>
      </c>
      <c r="H85" s="36">
        <v>3.5131404829323132</v>
      </c>
      <c r="I85" s="40">
        <v>20028</v>
      </c>
    </row>
    <row r="86" spans="1:9" x14ac:dyDescent="0.3">
      <c r="A86" s="38">
        <v>45593</v>
      </c>
      <c r="B86" s="36" t="s">
        <v>14</v>
      </c>
      <c r="C86" s="39">
        <v>7007</v>
      </c>
      <c r="D86" s="39">
        <v>568</v>
      </c>
      <c r="E86" s="39">
        <f t="shared" si="2"/>
        <v>6439</v>
      </c>
      <c r="F86" s="39">
        <v>568671</v>
      </c>
      <c r="G86" s="30">
        <v>1.13228914433829E-2</v>
      </c>
      <c r="H86" s="36">
        <v>11.50507059442103</v>
      </c>
      <c r="I86" s="40">
        <v>22448</v>
      </c>
    </row>
    <row r="87" spans="1:9" x14ac:dyDescent="0.3">
      <c r="A87" s="38">
        <v>45593</v>
      </c>
      <c r="B87" s="36" t="s">
        <v>14</v>
      </c>
      <c r="C87" s="39">
        <v>6542</v>
      </c>
      <c r="D87" s="39">
        <v>539</v>
      </c>
      <c r="E87" s="39">
        <f t="shared" si="2"/>
        <v>6003</v>
      </c>
      <c r="F87" s="39">
        <v>574674</v>
      </c>
      <c r="G87" s="30">
        <v>1.04459223838211E-2</v>
      </c>
      <c r="H87" s="36">
        <v>6.4069368024305948</v>
      </c>
      <c r="I87" s="40">
        <v>55253</v>
      </c>
    </row>
    <row r="88" spans="1:9" x14ac:dyDescent="0.3">
      <c r="A88" s="38">
        <v>45593</v>
      </c>
      <c r="B88" s="36" t="s">
        <v>19</v>
      </c>
      <c r="C88" s="39">
        <v>7356</v>
      </c>
      <c r="D88" s="39">
        <v>904</v>
      </c>
      <c r="E88" s="39">
        <f t="shared" si="2"/>
        <v>6452</v>
      </c>
      <c r="F88" s="39">
        <v>581126</v>
      </c>
      <c r="G88" s="30">
        <v>1.1102583604932501E-2</v>
      </c>
      <c r="H88" s="36">
        <v>17.560907617280929</v>
      </c>
      <c r="I88" s="40">
        <v>44051</v>
      </c>
    </row>
    <row r="89" spans="1:9" x14ac:dyDescent="0.3">
      <c r="A89" s="38">
        <v>45593</v>
      </c>
      <c r="B89" s="36" t="s">
        <v>19</v>
      </c>
      <c r="C89" s="39">
        <v>9433</v>
      </c>
      <c r="D89" s="39">
        <v>1073</v>
      </c>
      <c r="E89" s="39">
        <f t="shared" si="2"/>
        <v>8360</v>
      </c>
      <c r="F89" s="39">
        <v>589486</v>
      </c>
      <c r="G89" s="30">
        <v>1.4181846557848699E-2</v>
      </c>
      <c r="H89" s="36">
        <v>7.2934726185185053</v>
      </c>
      <c r="I89" s="40">
        <v>59811</v>
      </c>
    </row>
    <row r="90" spans="1:9" x14ac:dyDescent="0.3">
      <c r="A90" s="38">
        <v>45600</v>
      </c>
      <c r="B90" s="36" t="s">
        <v>41</v>
      </c>
      <c r="C90" s="39">
        <v>8380</v>
      </c>
      <c r="D90" s="39">
        <v>1162</v>
      </c>
      <c r="E90" s="39">
        <f t="shared" si="2"/>
        <v>7218</v>
      </c>
      <c r="F90" s="39">
        <v>596704</v>
      </c>
      <c r="G90" s="30">
        <v>1.2096449831072E-2</v>
      </c>
      <c r="H90" s="36">
        <v>18.05853488496809</v>
      </c>
      <c r="I90" s="40">
        <v>40447</v>
      </c>
    </row>
    <row r="91" spans="1:9" x14ac:dyDescent="0.3">
      <c r="A91" s="38">
        <v>45600</v>
      </c>
      <c r="B91" s="36" t="s">
        <v>14</v>
      </c>
      <c r="C91" s="39">
        <v>3385</v>
      </c>
      <c r="D91" s="39">
        <v>329</v>
      </c>
      <c r="E91" s="39">
        <f t="shared" si="2"/>
        <v>3056</v>
      </c>
      <c r="F91" s="39">
        <v>599760</v>
      </c>
      <c r="G91" s="30">
        <v>5.0953714819261002E-3</v>
      </c>
      <c r="H91" s="36">
        <v>17.61788048552755</v>
      </c>
      <c r="I91" s="40">
        <v>28394</v>
      </c>
    </row>
    <row r="92" spans="1:9" x14ac:dyDescent="0.3">
      <c r="A92" s="38">
        <v>45600</v>
      </c>
      <c r="B92" s="36" t="s">
        <v>19</v>
      </c>
      <c r="C92" s="39">
        <v>5268</v>
      </c>
      <c r="D92" s="39">
        <v>326</v>
      </c>
      <c r="E92" s="39">
        <f t="shared" si="2"/>
        <v>4942</v>
      </c>
      <c r="F92" s="39">
        <v>604702</v>
      </c>
      <c r="G92" s="30">
        <v>8.17262056351724E-3</v>
      </c>
      <c r="H92" s="36">
        <v>23.435841125050029</v>
      </c>
      <c r="I92" s="40">
        <v>44501</v>
      </c>
    </row>
    <row r="93" spans="1:9" x14ac:dyDescent="0.3">
      <c r="A93" s="38">
        <v>45600</v>
      </c>
      <c r="B93" s="36" t="s">
        <v>41</v>
      </c>
      <c r="C93" s="39">
        <v>1671</v>
      </c>
      <c r="D93" s="39">
        <v>202</v>
      </c>
      <c r="E93" s="39">
        <f t="shared" si="2"/>
        <v>1469</v>
      </c>
      <c r="F93" s="39">
        <v>606171</v>
      </c>
      <c r="G93" s="30">
        <v>2.42340857612786E-3</v>
      </c>
      <c r="H93" s="36">
        <v>15.150015424690389</v>
      </c>
      <c r="I93" s="40">
        <v>40254</v>
      </c>
    </row>
    <row r="94" spans="1:9" x14ac:dyDescent="0.3">
      <c r="A94" s="38">
        <v>45607</v>
      </c>
      <c r="B94" s="36" t="s">
        <v>41</v>
      </c>
      <c r="C94" s="39">
        <v>1163</v>
      </c>
      <c r="D94" s="39">
        <v>146</v>
      </c>
      <c r="E94" s="39">
        <f t="shared" si="2"/>
        <v>1017</v>
      </c>
      <c r="F94" s="39">
        <v>607188</v>
      </c>
      <c r="G94" s="30">
        <v>1.6749342872388799E-3</v>
      </c>
      <c r="H94" s="36">
        <v>21.77776899411715</v>
      </c>
      <c r="I94" s="40">
        <v>28509</v>
      </c>
    </row>
    <row r="95" spans="1:9" x14ac:dyDescent="0.3">
      <c r="A95" s="38">
        <v>45607</v>
      </c>
      <c r="B95" s="36" t="s">
        <v>41</v>
      </c>
      <c r="C95" s="39">
        <v>9656</v>
      </c>
      <c r="D95" s="39">
        <v>1024</v>
      </c>
      <c r="E95" s="39">
        <f t="shared" si="2"/>
        <v>8632</v>
      </c>
      <c r="F95" s="39">
        <v>615820</v>
      </c>
      <c r="G95" s="30">
        <v>1.40170829138385E-2</v>
      </c>
      <c r="H95" s="36">
        <v>8.7252768666168681</v>
      </c>
      <c r="I95" s="40">
        <v>58998</v>
      </c>
    </row>
    <row r="96" spans="1:9" x14ac:dyDescent="0.3">
      <c r="A96" s="38">
        <v>45607</v>
      </c>
      <c r="B96" s="36" t="s">
        <v>19</v>
      </c>
      <c r="C96" s="39">
        <v>5592</v>
      </c>
      <c r="D96" s="39">
        <v>710</v>
      </c>
      <c r="E96" s="39">
        <f t="shared" si="2"/>
        <v>4882</v>
      </c>
      <c r="F96" s="39">
        <v>620702</v>
      </c>
      <c r="G96" s="30">
        <v>7.86528801260508E-3</v>
      </c>
      <c r="H96" s="36">
        <v>9.07118069540617</v>
      </c>
      <c r="I96" s="40">
        <v>24472</v>
      </c>
    </row>
    <row r="97" spans="1:9" x14ac:dyDescent="0.3">
      <c r="A97" s="38">
        <v>45607</v>
      </c>
      <c r="B97" s="36" t="s">
        <v>14</v>
      </c>
      <c r="C97" s="39">
        <v>5795</v>
      </c>
      <c r="D97" s="39">
        <v>575</v>
      </c>
      <c r="E97" s="39">
        <f t="shared" si="2"/>
        <v>5220</v>
      </c>
      <c r="F97" s="39">
        <v>625922</v>
      </c>
      <c r="G97" s="30">
        <v>8.3396972785746391E-3</v>
      </c>
      <c r="H97" s="36">
        <v>3.0908004511744269</v>
      </c>
      <c r="I97" s="40">
        <v>55657</v>
      </c>
    </row>
    <row r="98" spans="1:9" x14ac:dyDescent="0.3">
      <c r="A98" s="38">
        <v>45614</v>
      </c>
      <c r="B98" s="36" t="s">
        <v>23</v>
      </c>
      <c r="C98" s="39">
        <v>5798</v>
      </c>
      <c r="D98" s="39">
        <v>592</v>
      </c>
      <c r="E98" s="39">
        <f t="shared" si="2"/>
        <v>5206</v>
      </c>
      <c r="F98" s="39">
        <v>631128</v>
      </c>
      <c r="G98" s="30">
        <v>8.2487229214992797E-3</v>
      </c>
      <c r="H98" s="36">
        <v>1.6774727155188811</v>
      </c>
      <c r="I98" s="40">
        <v>13471</v>
      </c>
    </row>
    <row r="99" spans="1:9" x14ac:dyDescent="0.3">
      <c r="A99" s="38">
        <v>45614</v>
      </c>
      <c r="B99" s="36" t="s">
        <v>41</v>
      </c>
      <c r="C99" s="39">
        <v>7036</v>
      </c>
      <c r="D99" s="39">
        <v>652</v>
      </c>
      <c r="E99" s="39">
        <f t="shared" si="2"/>
        <v>6384</v>
      </c>
      <c r="F99" s="39">
        <v>637512</v>
      </c>
      <c r="G99" s="30">
        <v>1.00139291495689E-2</v>
      </c>
      <c r="H99" s="36">
        <v>3.5705994553828009</v>
      </c>
      <c r="I99" s="40">
        <v>51796</v>
      </c>
    </row>
    <row r="100" spans="1:9" x14ac:dyDescent="0.3">
      <c r="A100" s="38">
        <v>45614</v>
      </c>
      <c r="B100" s="36" t="s">
        <v>19</v>
      </c>
      <c r="C100" s="39">
        <v>3355</v>
      </c>
      <c r="D100" s="39">
        <v>176</v>
      </c>
      <c r="E100" s="39">
        <f t="shared" si="2"/>
        <v>3179</v>
      </c>
      <c r="F100" s="39">
        <v>640691</v>
      </c>
      <c r="G100" s="30">
        <v>4.96183027387618E-3</v>
      </c>
      <c r="H100" s="36">
        <v>12.426427091999111</v>
      </c>
      <c r="I100" s="40">
        <v>40268</v>
      </c>
    </row>
    <row r="101" spans="1:9" x14ac:dyDescent="0.3">
      <c r="A101" s="38">
        <v>45614</v>
      </c>
      <c r="B101" s="36" t="s">
        <v>19</v>
      </c>
      <c r="C101" s="39">
        <v>6887</v>
      </c>
      <c r="D101" s="39">
        <v>418</v>
      </c>
      <c r="E101" s="39">
        <f t="shared" si="2"/>
        <v>6469</v>
      </c>
      <c r="F101" s="39">
        <v>647160</v>
      </c>
      <c r="G101" s="30">
        <v>9.9959824463811096E-3</v>
      </c>
      <c r="H101" s="36">
        <v>20.240280610668151</v>
      </c>
      <c r="I101" s="40">
        <v>18329</v>
      </c>
    </row>
    <row r="102" spans="1:9" x14ac:dyDescent="0.3">
      <c r="A102" s="38">
        <v>45621</v>
      </c>
      <c r="B102" s="36" t="s">
        <v>23</v>
      </c>
      <c r="C102" s="39">
        <v>8961</v>
      </c>
      <c r="D102" s="39">
        <v>476</v>
      </c>
      <c r="E102" s="39">
        <f t="shared" si="2"/>
        <v>8485</v>
      </c>
      <c r="F102" s="39">
        <v>655645</v>
      </c>
      <c r="G102" s="30">
        <v>1.29414545981438E-2</v>
      </c>
      <c r="H102" s="36">
        <v>15.458517947974901</v>
      </c>
      <c r="I102" s="40">
        <v>44865</v>
      </c>
    </row>
    <row r="103" spans="1:9" x14ac:dyDescent="0.3">
      <c r="A103" s="38">
        <v>45621</v>
      </c>
      <c r="B103" s="36" t="s">
        <v>23</v>
      </c>
      <c r="C103" s="39">
        <v>6827</v>
      </c>
      <c r="D103" s="39">
        <v>775</v>
      </c>
      <c r="E103" s="39">
        <f t="shared" si="2"/>
        <v>6052</v>
      </c>
      <c r="F103" s="39">
        <v>661697</v>
      </c>
      <c r="G103" s="30">
        <v>9.1461802003031598E-3</v>
      </c>
      <c r="H103" s="36">
        <v>15.96622018839439</v>
      </c>
      <c r="I103" s="40">
        <v>56850</v>
      </c>
    </row>
    <row r="104" spans="1:9" x14ac:dyDescent="0.3">
      <c r="A104" s="38">
        <v>45621</v>
      </c>
      <c r="B104" s="36" t="s">
        <v>19</v>
      </c>
      <c r="C104" s="39">
        <v>9737</v>
      </c>
      <c r="D104" s="39">
        <v>792</v>
      </c>
      <c r="E104" s="39">
        <f t="shared" si="2"/>
        <v>8945</v>
      </c>
      <c r="F104" s="39">
        <v>670642</v>
      </c>
      <c r="G104" s="30">
        <v>1.33379657104685E-2</v>
      </c>
      <c r="H104" s="36">
        <v>5.301785453341723</v>
      </c>
      <c r="I104" s="40">
        <v>56698</v>
      </c>
    </row>
    <row r="105" spans="1:9" x14ac:dyDescent="0.3">
      <c r="A105" s="38">
        <v>45621</v>
      </c>
      <c r="B105" s="36" t="s">
        <v>14</v>
      </c>
      <c r="C105" s="39">
        <v>5719</v>
      </c>
      <c r="D105" s="39">
        <v>576</v>
      </c>
      <c r="E105" s="39">
        <f t="shared" si="2"/>
        <v>5143</v>
      </c>
      <c r="F105" s="39">
        <v>675785</v>
      </c>
      <c r="G105" s="30">
        <v>7.6104086358827197E-3</v>
      </c>
      <c r="H105" s="36">
        <v>10.21656296011305</v>
      </c>
      <c r="I105" s="40">
        <v>38272</v>
      </c>
    </row>
    <row r="106" spans="1:9" x14ac:dyDescent="0.3">
      <c r="A106" s="38">
        <v>45628</v>
      </c>
      <c r="B106" s="36" t="s">
        <v>23</v>
      </c>
      <c r="C106" s="39">
        <v>1593</v>
      </c>
      <c r="D106" s="39">
        <v>224</v>
      </c>
      <c r="E106" s="39">
        <f t="shared" si="2"/>
        <v>1369</v>
      </c>
      <c r="F106" s="39">
        <v>677154</v>
      </c>
      <c r="G106" s="30">
        <v>2.0216966893793699E-3</v>
      </c>
      <c r="H106" s="36">
        <v>4.1495730660972248</v>
      </c>
      <c r="I106" s="40">
        <v>52845</v>
      </c>
    </row>
    <row r="107" spans="1:9" x14ac:dyDescent="0.3">
      <c r="A107" s="38">
        <v>45628</v>
      </c>
      <c r="B107" s="36" t="s">
        <v>19</v>
      </c>
      <c r="C107" s="39">
        <v>5839</v>
      </c>
      <c r="D107" s="39">
        <v>437</v>
      </c>
      <c r="E107" s="39">
        <f t="shared" si="2"/>
        <v>5402</v>
      </c>
      <c r="F107" s="39">
        <v>682556</v>
      </c>
      <c r="G107" s="30">
        <v>7.9143689309009099E-3</v>
      </c>
      <c r="H107" s="36">
        <v>17.44750613869045</v>
      </c>
      <c r="I107" s="40">
        <v>16397</v>
      </c>
    </row>
    <row r="108" spans="1:9" x14ac:dyDescent="0.3">
      <c r="A108" s="38">
        <v>45628</v>
      </c>
      <c r="B108" s="36" t="s">
        <v>23</v>
      </c>
      <c r="C108" s="39">
        <v>8394</v>
      </c>
      <c r="D108" s="39">
        <v>764</v>
      </c>
      <c r="E108" s="39">
        <f t="shared" si="2"/>
        <v>7630</v>
      </c>
      <c r="F108" s="39">
        <v>690186</v>
      </c>
      <c r="G108" s="30">
        <v>1.10549909734477E-2</v>
      </c>
      <c r="H108" s="36">
        <v>6.3556780346167558</v>
      </c>
      <c r="I108" s="40">
        <v>42373</v>
      </c>
    </row>
    <row r="109" spans="1:9" x14ac:dyDescent="0.3">
      <c r="A109" s="38">
        <v>45628</v>
      </c>
      <c r="B109" s="36" t="s">
        <v>14</v>
      </c>
      <c r="C109" s="39">
        <v>4493</v>
      </c>
      <c r="D109" s="39">
        <v>564</v>
      </c>
      <c r="E109" s="39">
        <f t="shared" si="2"/>
        <v>3929</v>
      </c>
      <c r="F109" s="39">
        <v>694115</v>
      </c>
      <c r="G109" s="30">
        <v>5.6604453152575597E-3</v>
      </c>
      <c r="H109" s="36">
        <v>16.625487131094989</v>
      </c>
      <c r="I109" s="40">
        <v>45525</v>
      </c>
    </row>
    <row r="110" spans="1:9" x14ac:dyDescent="0.3">
      <c r="A110" s="38">
        <v>45635</v>
      </c>
      <c r="B110" s="36" t="s">
        <v>41</v>
      </c>
      <c r="C110" s="39">
        <v>7164</v>
      </c>
      <c r="D110" s="39">
        <v>522</v>
      </c>
      <c r="E110" s="39">
        <f t="shared" si="2"/>
        <v>6642</v>
      </c>
      <c r="F110" s="39">
        <v>700757</v>
      </c>
      <c r="G110" s="30">
        <v>9.4783213011072308E-3</v>
      </c>
      <c r="H110" s="36">
        <v>13.449169969047761</v>
      </c>
      <c r="I110" s="40">
        <v>34570</v>
      </c>
    </row>
    <row r="111" spans="1:9" x14ac:dyDescent="0.3">
      <c r="A111" s="38">
        <v>45635</v>
      </c>
      <c r="B111" s="36" t="s">
        <v>23</v>
      </c>
      <c r="C111" s="39">
        <v>3672</v>
      </c>
      <c r="D111" s="39">
        <v>211</v>
      </c>
      <c r="E111" s="39">
        <f t="shared" si="2"/>
        <v>3461</v>
      </c>
      <c r="F111" s="39">
        <v>704218</v>
      </c>
      <c r="G111" s="30">
        <v>4.9146713091684701E-3</v>
      </c>
      <c r="H111" s="36">
        <v>12.35057894004413</v>
      </c>
      <c r="I111" s="40">
        <v>28284</v>
      </c>
    </row>
    <row r="112" spans="1:9" x14ac:dyDescent="0.3">
      <c r="A112" s="38">
        <v>45635</v>
      </c>
      <c r="B112" s="36" t="s">
        <v>14</v>
      </c>
      <c r="C112" s="39">
        <v>5200</v>
      </c>
      <c r="D112" s="39">
        <v>410</v>
      </c>
      <c r="E112" s="39">
        <f t="shared" si="2"/>
        <v>4790</v>
      </c>
      <c r="F112" s="39">
        <v>709008</v>
      </c>
      <c r="G112" s="30">
        <v>6.7559181278631598E-3</v>
      </c>
      <c r="H112" s="36">
        <v>12.913394489201821</v>
      </c>
      <c r="I112" s="40">
        <v>28994</v>
      </c>
    </row>
    <row r="113" spans="1:9" x14ac:dyDescent="0.3">
      <c r="A113" s="38">
        <v>45635</v>
      </c>
      <c r="B113" s="36" t="s">
        <v>19</v>
      </c>
      <c r="C113" s="39">
        <v>1016</v>
      </c>
      <c r="D113" s="39">
        <v>67</v>
      </c>
      <c r="E113" s="39">
        <f t="shared" si="2"/>
        <v>949</v>
      </c>
      <c r="F113" s="39">
        <v>709957</v>
      </c>
      <c r="G113" s="30">
        <v>1.3367006734210699E-3</v>
      </c>
      <c r="H113" s="36">
        <v>20.774215903216671</v>
      </c>
      <c r="I113" s="40">
        <v>33284</v>
      </c>
    </row>
    <row r="114" spans="1:9" x14ac:dyDescent="0.3">
      <c r="A114" s="38">
        <v>45642</v>
      </c>
      <c r="B114" s="36" t="s">
        <v>23</v>
      </c>
      <c r="C114" s="39">
        <v>4191</v>
      </c>
      <c r="D114" s="39">
        <v>599</v>
      </c>
      <c r="E114" s="39">
        <f t="shared" si="2"/>
        <v>3592</v>
      </c>
      <c r="F114" s="39">
        <v>713549</v>
      </c>
      <c r="G114" s="30">
        <v>5.0339920594100803E-3</v>
      </c>
      <c r="H114" s="36">
        <v>11.56416728213479</v>
      </c>
      <c r="I114" s="40">
        <v>27833</v>
      </c>
    </row>
    <row r="115" spans="1:9" x14ac:dyDescent="0.3">
      <c r="A115" s="38">
        <v>45642</v>
      </c>
      <c r="B115" s="36" t="s">
        <v>23</v>
      </c>
      <c r="C115" s="39">
        <v>1392</v>
      </c>
      <c r="D115" s="39">
        <v>182</v>
      </c>
      <c r="E115" s="39">
        <f t="shared" si="2"/>
        <v>1210</v>
      </c>
      <c r="F115" s="39">
        <v>714759</v>
      </c>
      <c r="G115" s="30">
        <v>1.69287829883919E-3</v>
      </c>
      <c r="H115" s="36">
        <v>5.9603306848881932</v>
      </c>
      <c r="I115" s="40">
        <v>35122</v>
      </c>
    </row>
    <row r="116" spans="1:9" x14ac:dyDescent="0.3">
      <c r="A116" s="38">
        <v>45642</v>
      </c>
      <c r="B116" s="36" t="s">
        <v>19</v>
      </c>
      <c r="C116" s="39">
        <v>9616</v>
      </c>
      <c r="D116" s="39">
        <v>1089</v>
      </c>
      <c r="E116" s="39">
        <f t="shared" si="2"/>
        <v>8527</v>
      </c>
      <c r="F116" s="39">
        <v>723286</v>
      </c>
      <c r="G116" s="30">
        <v>1.17892507251627E-2</v>
      </c>
      <c r="H116" s="36">
        <v>19.25863351426683</v>
      </c>
      <c r="I116" s="40">
        <v>15017</v>
      </c>
    </row>
    <row r="117" spans="1:9" x14ac:dyDescent="0.3">
      <c r="A117" s="38">
        <v>45642</v>
      </c>
      <c r="B117" s="36" t="s">
        <v>41</v>
      </c>
      <c r="C117" s="39">
        <v>7272</v>
      </c>
      <c r="D117" s="39">
        <v>997</v>
      </c>
      <c r="E117" s="39">
        <f t="shared" si="2"/>
        <v>6275</v>
      </c>
      <c r="F117" s="39">
        <v>729561</v>
      </c>
      <c r="G117" s="30">
        <v>8.6010628309353201E-3</v>
      </c>
      <c r="H117" s="36">
        <v>13.428486445958599</v>
      </c>
      <c r="I117" s="40">
        <v>26370</v>
      </c>
    </row>
    <row r="118" spans="1:9" x14ac:dyDescent="0.3">
      <c r="A118" s="38">
        <v>45649</v>
      </c>
      <c r="B118" s="36" t="s">
        <v>19</v>
      </c>
      <c r="C118" s="39">
        <v>1571</v>
      </c>
      <c r="D118" s="39">
        <v>204</v>
      </c>
      <c r="E118" s="39">
        <f t="shared" si="2"/>
        <v>1367</v>
      </c>
      <c r="F118" s="39">
        <v>730928</v>
      </c>
      <c r="G118" s="30">
        <v>1.8702252479040301E-3</v>
      </c>
      <c r="H118" s="36">
        <v>19.449384891535139</v>
      </c>
      <c r="I118" s="40">
        <v>39252</v>
      </c>
    </row>
    <row r="119" spans="1:9" x14ac:dyDescent="0.3">
      <c r="A119" s="38">
        <v>45649</v>
      </c>
      <c r="B119" s="36" t="s">
        <v>23</v>
      </c>
      <c r="C119" s="39">
        <v>4631</v>
      </c>
      <c r="D119" s="39">
        <v>317</v>
      </c>
      <c r="E119" s="39">
        <f t="shared" si="2"/>
        <v>4314</v>
      </c>
      <c r="F119" s="39">
        <v>735242</v>
      </c>
      <c r="G119" s="30">
        <v>5.8674558852731496E-3</v>
      </c>
      <c r="H119" s="36">
        <v>1.381177897889402</v>
      </c>
      <c r="I119" s="40">
        <v>17999</v>
      </c>
    </row>
    <row r="120" spans="1:9" x14ac:dyDescent="0.3">
      <c r="A120" s="38">
        <v>45649</v>
      </c>
      <c r="B120" s="36" t="s">
        <v>19</v>
      </c>
      <c r="C120" s="39">
        <v>7172</v>
      </c>
      <c r="D120" s="39">
        <v>998</v>
      </c>
      <c r="E120" s="39">
        <f t="shared" si="2"/>
        <v>6174</v>
      </c>
      <c r="F120" s="39">
        <v>741416</v>
      </c>
      <c r="G120" s="30">
        <v>8.32730882527488E-3</v>
      </c>
      <c r="H120" s="36">
        <v>18.0667803230575</v>
      </c>
      <c r="I120" s="40">
        <v>32436</v>
      </c>
    </row>
    <row r="121" spans="1:9" x14ac:dyDescent="0.3">
      <c r="A121" s="38">
        <v>45649</v>
      </c>
      <c r="B121" s="36" t="s">
        <v>14</v>
      </c>
      <c r="C121" s="39">
        <v>8177</v>
      </c>
      <c r="D121" s="39">
        <v>849</v>
      </c>
      <c r="E121" s="39">
        <f t="shared" si="2"/>
        <v>7328</v>
      </c>
      <c r="F121" s="39">
        <v>748744</v>
      </c>
      <c r="G121" s="30">
        <v>9.78705672432768E-3</v>
      </c>
      <c r="H121" s="36">
        <v>10.34986590877523</v>
      </c>
      <c r="I121" s="40">
        <v>52963</v>
      </c>
    </row>
    <row r="122" spans="1:9" x14ac:dyDescent="0.3">
      <c r="A122" s="38">
        <v>45656</v>
      </c>
      <c r="B122" s="36" t="s">
        <v>19</v>
      </c>
      <c r="C122" s="39">
        <v>9433</v>
      </c>
      <c r="D122" s="39">
        <v>1233</v>
      </c>
      <c r="E122" s="39">
        <f t="shared" si="2"/>
        <v>8200</v>
      </c>
      <c r="F122" s="39">
        <v>756944</v>
      </c>
      <c r="G122" s="30">
        <v>1.08330338836162E-2</v>
      </c>
      <c r="H122" s="36">
        <v>11.391727789638329</v>
      </c>
      <c r="I122" s="40">
        <v>12096</v>
      </c>
    </row>
    <row r="123" spans="1:9" x14ac:dyDescent="0.3">
      <c r="A123" s="38">
        <v>45656</v>
      </c>
      <c r="B123" s="36" t="s">
        <v>23</v>
      </c>
      <c r="C123" s="39">
        <v>4897</v>
      </c>
      <c r="D123" s="39">
        <v>683</v>
      </c>
      <c r="E123" s="39">
        <f t="shared" si="2"/>
        <v>4214</v>
      </c>
      <c r="F123" s="39">
        <v>761158</v>
      </c>
      <c r="G123" s="30">
        <v>5.5363012672795904E-3</v>
      </c>
      <c r="H123" s="36">
        <v>15.06231294947961</v>
      </c>
      <c r="I123" s="40">
        <v>58201</v>
      </c>
    </row>
    <row r="124" spans="1:9" x14ac:dyDescent="0.3">
      <c r="A124" s="38">
        <v>45656</v>
      </c>
      <c r="B124" s="36" t="s">
        <v>19</v>
      </c>
      <c r="C124" s="39">
        <v>9123</v>
      </c>
      <c r="D124" s="39">
        <v>746</v>
      </c>
      <c r="E124" s="39">
        <f t="shared" si="2"/>
        <v>8377</v>
      </c>
      <c r="F124" s="39">
        <v>769535</v>
      </c>
      <c r="G124" s="30">
        <v>1.0885794668208699E-2</v>
      </c>
      <c r="H124" s="36">
        <v>6.3086149427901264</v>
      </c>
      <c r="I124" s="40">
        <v>35279</v>
      </c>
    </row>
    <row r="125" spans="1:9" x14ac:dyDescent="0.3">
      <c r="A125" s="38">
        <v>45656</v>
      </c>
      <c r="B125" s="36" t="s">
        <v>41</v>
      </c>
      <c r="C125" s="39">
        <v>3279</v>
      </c>
      <c r="D125" s="39">
        <v>200</v>
      </c>
      <c r="E125" s="39">
        <f t="shared" si="2"/>
        <v>3079</v>
      </c>
      <c r="F125" s="39">
        <v>772614</v>
      </c>
      <c r="G125" s="30">
        <v>3.9851724146857297E-3</v>
      </c>
      <c r="H125" s="36">
        <v>5.0212654702089274</v>
      </c>
      <c r="I125" s="40">
        <v>53363</v>
      </c>
    </row>
    <row r="126" spans="1:9" x14ac:dyDescent="0.3">
      <c r="A126" s="38">
        <v>45663</v>
      </c>
      <c r="B126" s="36" t="s">
        <v>19</v>
      </c>
      <c r="C126" s="39">
        <v>9980</v>
      </c>
      <c r="D126" s="39">
        <v>726</v>
      </c>
      <c r="E126" s="39">
        <f t="shared" si="2"/>
        <v>9254</v>
      </c>
      <c r="F126" s="39">
        <v>781868</v>
      </c>
      <c r="G126" s="30">
        <v>1.18357574424327E-2</v>
      </c>
      <c r="H126" s="36">
        <v>4.0220344099003924</v>
      </c>
      <c r="I126" s="40">
        <v>58709</v>
      </c>
    </row>
    <row r="127" spans="1:9" x14ac:dyDescent="0.3">
      <c r="A127" s="38">
        <v>45663</v>
      </c>
      <c r="B127" s="36" t="s">
        <v>41</v>
      </c>
      <c r="C127" s="39">
        <v>8451</v>
      </c>
      <c r="D127" s="39">
        <v>783</v>
      </c>
      <c r="E127" s="39">
        <f t="shared" si="2"/>
        <v>7668</v>
      </c>
      <c r="F127" s="39">
        <v>789536</v>
      </c>
      <c r="G127" s="30">
        <v>9.7120333968305408E-3</v>
      </c>
      <c r="H127" s="36">
        <v>12.407287318121019</v>
      </c>
      <c r="I127" s="40">
        <v>36201</v>
      </c>
    </row>
    <row r="128" spans="1:9" x14ac:dyDescent="0.3">
      <c r="A128" s="38">
        <v>45663</v>
      </c>
      <c r="B128" s="36" t="s">
        <v>14</v>
      </c>
      <c r="C128" s="39">
        <v>9906</v>
      </c>
      <c r="D128" s="39">
        <v>1305</v>
      </c>
      <c r="E128" s="39">
        <f t="shared" si="2"/>
        <v>8601</v>
      </c>
      <c r="F128" s="39">
        <v>798137</v>
      </c>
      <c r="G128" s="30">
        <v>1.0776345414383701E-2</v>
      </c>
      <c r="H128" s="36">
        <v>9.1811305577864442</v>
      </c>
      <c r="I128" s="40">
        <v>29715</v>
      </c>
    </row>
    <row r="129" spans="1:9" x14ac:dyDescent="0.3">
      <c r="A129" s="38">
        <v>45663</v>
      </c>
      <c r="B129" s="36" t="s">
        <v>41</v>
      </c>
      <c r="C129" s="39">
        <v>1775</v>
      </c>
      <c r="D129" s="39">
        <v>241</v>
      </c>
      <c r="E129" s="39">
        <f t="shared" si="2"/>
        <v>1534</v>
      </c>
      <c r="F129" s="39">
        <v>799671</v>
      </c>
      <c r="G129" s="30">
        <v>1.91828889630861E-3</v>
      </c>
      <c r="H129" s="36">
        <v>8.1379717408784362</v>
      </c>
      <c r="I129" s="40">
        <v>39309</v>
      </c>
    </row>
    <row r="130" spans="1:9" x14ac:dyDescent="0.3">
      <c r="A130" s="38">
        <v>45670</v>
      </c>
      <c r="B130" s="36" t="s">
        <v>19</v>
      </c>
      <c r="C130" s="39">
        <v>7869</v>
      </c>
      <c r="D130" s="39">
        <v>398</v>
      </c>
      <c r="E130" s="39">
        <f t="shared" si="2"/>
        <v>7471</v>
      </c>
      <c r="F130" s="39">
        <v>807142</v>
      </c>
      <c r="G130" s="30">
        <v>9.2561160241940096E-3</v>
      </c>
      <c r="H130" s="36">
        <v>15.211945357818079</v>
      </c>
      <c r="I130" s="40">
        <v>25078</v>
      </c>
    </row>
    <row r="131" spans="1:9" x14ac:dyDescent="0.3">
      <c r="A131" s="38">
        <v>45670</v>
      </c>
      <c r="B131" s="36" t="s">
        <v>23</v>
      </c>
      <c r="C131" s="39">
        <v>3247</v>
      </c>
      <c r="D131" s="39">
        <v>328</v>
      </c>
      <c r="E131" s="39">
        <f t="shared" ref="E131:E194" si="3">C131-D131</f>
        <v>2919</v>
      </c>
      <c r="F131" s="39">
        <v>810061</v>
      </c>
      <c r="G131" s="30">
        <v>3.6034323341081701E-3</v>
      </c>
      <c r="H131" s="36">
        <v>13.941172331466399</v>
      </c>
      <c r="I131" s="40">
        <v>15105</v>
      </c>
    </row>
    <row r="132" spans="1:9" x14ac:dyDescent="0.3">
      <c r="A132" s="38">
        <v>45670</v>
      </c>
      <c r="B132" s="36" t="s">
        <v>41</v>
      </c>
      <c r="C132" s="39">
        <v>8088</v>
      </c>
      <c r="D132" s="39">
        <v>742</v>
      </c>
      <c r="E132" s="39">
        <f t="shared" si="3"/>
        <v>7346</v>
      </c>
      <c r="F132" s="39">
        <v>817407</v>
      </c>
      <c r="G132" s="30">
        <v>8.9869550909155403E-3</v>
      </c>
      <c r="H132" s="36">
        <v>14.664542877660701</v>
      </c>
      <c r="I132" s="40">
        <v>39312</v>
      </c>
    </row>
    <row r="133" spans="1:9" x14ac:dyDescent="0.3">
      <c r="A133" s="38">
        <v>45670</v>
      </c>
      <c r="B133" s="36" t="s">
        <v>14</v>
      </c>
      <c r="C133" s="39">
        <v>1078</v>
      </c>
      <c r="D133" s="39">
        <v>77</v>
      </c>
      <c r="E133" s="39">
        <f t="shared" si="3"/>
        <v>1001</v>
      </c>
      <c r="F133" s="39">
        <v>818408</v>
      </c>
      <c r="G133" s="30">
        <v>1.22310632349635E-3</v>
      </c>
      <c r="H133" s="36">
        <v>18.236747441373989</v>
      </c>
      <c r="I133" s="40">
        <v>12839</v>
      </c>
    </row>
    <row r="134" spans="1:9" x14ac:dyDescent="0.3">
      <c r="A134" s="38">
        <v>45677</v>
      </c>
      <c r="B134" s="36" t="s">
        <v>41</v>
      </c>
      <c r="C134" s="39">
        <v>9080</v>
      </c>
      <c r="D134" s="39">
        <v>562</v>
      </c>
      <c r="E134" s="39">
        <f t="shared" si="3"/>
        <v>8518</v>
      </c>
      <c r="F134" s="39">
        <v>826926</v>
      </c>
      <c r="G134" s="30">
        <v>1.03008007971693E-2</v>
      </c>
      <c r="H134" s="36">
        <v>7.1083748727213809</v>
      </c>
      <c r="I134" s="40">
        <v>13384</v>
      </c>
    </row>
    <row r="135" spans="1:9" x14ac:dyDescent="0.3">
      <c r="A135" s="38">
        <v>45677</v>
      </c>
      <c r="B135" s="36" t="s">
        <v>41</v>
      </c>
      <c r="C135" s="39">
        <v>8099</v>
      </c>
      <c r="D135" s="39">
        <v>678</v>
      </c>
      <c r="E135" s="39">
        <f t="shared" si="3"/>
        <v>7421</v>
      </c>
      <c r="F135" s="39">
        <v>834347</v>
      </c>
      <c r="G135" s="30">
        <v>8.8943808751035195E-3</v>
      </c>
      <c r="H135" s="36">
        <v>7.6464588474579518</v>
      </c>
      <c r="I135" s="40">
        <v>53619</v>
      </c>
    </row>
    <row r="136" spans="1:9" x14ac:dyDescent="0.3">
      <c r="A136" s="38">
        <v>45677</v>
      </c>
      <c r="B136" s="36" t="s">
        <v>41</v>
      </c>
      <c r="C136" s="39">
        <v>4926</v>
      </c>
      <c r="D136" s="39">
        <v>710</v>
      </c>
      <c r="E136" s="39">
        <f t="shared" si="3"/>
        <v>4216</v>
      </c>
      <c r="F136" s="39">
        <v>838563</v>
      </c>
      <c r="G136" s="30">
        <v>5.0276484891415398E-3</v>
      </c>
      <c r="H136" s="36">
        <v>12.96217457722318</v>
      </c>
      <c r="I136" s="40">
        <v>52821</v>
      </c>
    </row>
    <row r="137" spans="1:9" x14ac:dyDescent="0.3">
      <c r="A137" s="38">
        <v>45677</v>
      </c>
      <c r="B137" s="36" t="s">
        <v>14</v>
      </c>
      <c r="C137" s="39">
        <v>8340</v>
      </c>
      <c r="D137" s="39">
        <v>686</v>
      </c>
      <c r="E137" s="39">
        <f t="shared" si="3"/>
        <v>7654</v>
      </c>
      <c r="F137" s="39">
        <v>846217</v>
      </c>
      <c r="G137" s="30">
        <v>9.04496128061715E-3</v>
      </c>
      <c r="H137" s="36">
        <v>7.201344336027284</v>
      </c>
      <c r="I137" s="40">
        <v>23493</v>
      </c>
    </row>
    <row r="138" spans="1:9" x14ac:dyDescent="0.3">
      <c r="A138" s="38">
        <v>45684</v>
      </c>
      <c r="B138" s="36" t="s">
        <v>19</v>
      </c>
      <c r="C138" s="39">
        <v>8083</v>
      </c>
      <c r="D138" s="39">
        <v>823</v>
      </c>
      <c r="E138" s="39">
        <f t="shared" si="3"/>
        <v>7260</v>
      </c>
      <c r="F138" s="39">
        <v>853477</v>
      </c>
      <c r="G138" s="30">
        <v>8.5063803711172108E-3</v>
      </c>
      <c r="H138" s="36">
        <v>4.6300017457998282</v>
      </c>
      <c r="I138" s="40">
        <v>27069</v>
      </c>
    </row>
    <row r="139" spans="1:9" x14ac:dyDescent="0.3">
      <c r="A139" s="38">
        <v>45684</v>
      </c>
      <c r="B139" s="36" t="s">
        <v>41</v>
      </c>
      <c r="C139" s="39">
        <v>7230</v>
      </c>
      <c r="D139" s="39">
        <v>869</v>
      </c>
      <c r="E139" s="39">
        <f t="shared" si="3"/>
        <v>6361</v>
      </c>
      <c r="F139" s="39">
        <v>859838</v>
      </c>
      <c r="G139" s="30">
        <v>7.397905186791E-3</v>
      </c>
      <c r="H139" s="36">
        <v>7.0117859410726204</v>
      </c>
      <c r="I139" s="40">
        <v>56907</v>
      </c>
    </row>
    <row r="140" spans="1:9" x14ac:dyDescent="0.3">
      <c r="A140" s="38">
        <v>45684</v>
      </c>
      <c r="B140" s="36" t="s">
        <v>41</v>
      </c>
      <c r="C140" s="39">
        <v>5940</v>
      </c>
      <c r="D140" s="39">
        <v>512</v>
      </c>
      <c r="E140" s="39">
        <f t="shared" si="3"/>
        <v>5428</v>
      </c>
      <c r="F140" s="39">
        <v>865266</v>
      </c>
      <c r="G140" s="30">
        <v>6.2732154042802997E-3</v>
      </c>
      <c r="H140" s="36">
        <v>15.7972230504839</v>
      </c>
      <c r="I140" s="40">
        <v>17531</v>
      </c>
    </row>
    <row r="141" spans="1:9" x14ac:dyDescent="0.3">
      <c r="A141" s="38">
        <v>45684</v>
      </c>
      <c r="B141" s="36" t="s">
        <v>23</v>
      </c>
      <c r="C141" s="39">
        <v>4271</v>
      </c>
      <c r="D141" s="39">
        <v>628</v>
      </c>
      <c r="E141" s="39">
        <f t="shared" si="3"/>
        <v>3643</v>
      </c>
      <c r="F141" s="39">
        <v>868909</v>
      </c>
      <c r="G141" s="30">
        <v>4.1926139561219902E-3</v>
      </c>
      <c r="H141" s="36">
        <v>11.124410036033691</v>
      </c>
      <c r="I141" s="40">
        <v>47051</v>
      </c>
    </row>
    <row r="142" spans="1:9" x14ac:dyDescent="0.3">
      <c r="A142" s="38">
        <v>45691</v>
      </c>
      <c r="B142" s="36" t="s">
        <v>14</v>
      </c>
      <c r="C142" s="39">
        <v>4456</v>
      </c>
      <c r="D142" s="39">
        <v>651</v>
      </c>
      <c r="E142" s="39">
        <f t="shared" si="3"/>
        <v>3805</v>
      </c>
      <c r="F142" s="39">
        <v>872714</v>
      </c>
      <c r="G142" s="30">
        <v>4.3599621410908996E-3</v>
      </c>
      <c r="H142" s="36">
        <v>9.5052903929580594</v>
      </c>
      <c r="I142" s="40">
        <v>17736</v>
      </c>
    </row>
    <row r="143" spans="1:9" x14ac:dyDescent="0.3">
      <c r="A143" s="38">
        <v>45691</v>
      </c>
      <c r="B143" s="36" t="s">
        <v>41</v>
      </c>
      <c r="C143" s="39">
        <v>8788</v>
      </c>
      <c r="D143" s="39">
        <v>660</v>
      </c>
      <c r="E143" s="39">
        <f t="shared" si="3"/>
        <v>8128</v>
      </c>
      <c r="F143" s="39">
        <v>880842</v>
      </c>
      <c r="G143" s="30">
        <v>9.2275345635198999E-3</v>
      </c>
      <c r="H143" s="36">
        <v>3.7175793161543158</v>
      </c>
      <c r="I143" s="40">
        <v>17710</v>
      </c>
    </row>
    <row r="144" spans="1:9" x14ac:dyDescent="0.3">
      <c r="A144" s="38">
        <v>45691</v>
      </c>
      <c r="B144" s="36" t="s">
        <v>14</v>
      </c>
      <c r="C144" s="39">
        <v>9599</v>
      </c>
      <c r="D144" s="39">
        <v>957</v>
      </c>
      <c r="E144" s="39">
        <f t="shared" si="3"/>
        <v>8642</v>
      </c>
      <c r="F144" s="39">
        <v>889484</v>
      </c>
      <c r="G144" s="30">
        <v>9.7157453085159502E-3</v>
      </c>
      <c r="H144" s="36">
        <v>8.768004820772493</v>
      </c>
      <c r="I144" s="40">
        <v>11619</v>
      </c>
    </row>
    <row r="145" spans="1:9" x14ac:dyDescent="0.3">
      <c r="A145" s="38">
        <v>45691</v>
      </c>
      <c r="B145" s="36" t="s">
        <v>41</v>
      </c>
      <c r="C145" s="39">
        <v>8650</v>
      </c>
      <c r="D145" s="39">
        <v>692</v>
      </c>
      <c r="E145" s="39">
        <f t="shared" si="3"/>
        <v>7958</v>
      </c>
      <c r="F145" s="39">
        <v>897442</v>
      </c>
      <c r="G145" s="30">
        <v>8.8674254157928897E-3</v>
      </c>
      <c r="H145" s="36">
        <v>7.6673478620345374</v>
      </c>
      <c r="I145" s="40">
        <v>23975</v>
      </c>
    </row>
    <row r="146" spans="1:9" x14ac:dyDescent="0.3">
      <c r="A146" s="38">
        <v>45698</v>
      </c>
      <c r="B146" s="36" t="s">
        <v>19</v>
      </c>
      <c r="C146" s="39">
        <v>3711</v>
      </c>
      <c r="D146" s="39">
        <v>291</v>
      </c>
      <c r="E146" s="39">
        <f t="shared" si="3"/>
        <v>3420</v>
      </c>
      <c r="F146" s="39">
        <v>900862</v>
      </c>
      <c r="G146" s="30">
        <v>3.7963639269943698E-3</v>
      </c>
      <c r="H146" s="36">
        <v>14.24879726306582</v>
      </c>
      <c r="I146" s="40">
        <v>55603</v>
      </c>
    </row>
    <row r="147" spans="1:9" x14ac:dyDescent="0.3">
      <c r="A147" s="38">
        <v>45698</v>
      </c>
      <c r="B147" s="36" t="s">
        <v>19</v>
      </c>
      <c r="C147" s="39">
        <v>2668</v>
      </c>
      <c r="D147" s="39">
        <v>143</v>
      </c>
      <c r="E147" s="39">
        <f t="shared" si="3"/>
        <v>2525</v>
      </c>
      <c r="F147" s="39">
        <v>903387</v>
      </c>
      <c r="G147" s="30">
        <v>2.79503690002181E-3</v>
      </c>
      <c r="H147" s="36">
        <v>15.903372530266649</v>
      </c>
      <c r="I147" s="40">
        <v>33252</v>
      </c>
    </row>
    <row r="148" spans="1:9" x14ac:dyDescent="0.3">
      <c r="A148" s="38">
        <v>45698</v>
      </c>
      <c r="B148" s="36" t="s">
        <v>41</v>
      </c>
      <c r="C148" s="39">
        <v>1147</v>
      </c>
      <c r="D148" s="39">
        <v>127</v>
      </c>
      <c r="E148" s="39">
        <f t="shared" si="3"/>
        <v>1020</v>
      </c>
      <c r="F148" s="39">
        <v>904407</v>
      </c>
      <c r="G148" s="30">
        <v>1.12781081968627E-3</v>
      </c>
      <c r="H148" s="36">
        <v>1.3997016829812241</v>
      </c>
      <c r="I148" s="40">
        <v>25261</v>
      </c>
    </row>
    <row r="149" spans="1:9" x14ac:dyDescent="0.3">
      <c r="A149" s="38">
        <v>45698</v>
      </c>
      <c r="B149" s="36" t="s">
        <v>19</v>
      </c>
      <c r="C149" s="39">
        <v>7420</v>
      </c>
      <c r="D149" s="39">
        <v>743</v>
      </c>
      <c r="E149" s="39">
        <f t="shared" si="3"/>
        <v>6677</v>
      </c>
      <c r="F149" s="39">
        <v>911084</v>
      </c>
      <c r="G149" s="30">
        <v>7.3286327056561202E-3</v>
      </c>
      <c r="H149" s="36">
        <v>10.593534734448189</v>
      </c>
      <c r="I149" s="40">
        <v>11431</v>
      </c>
    </row>
    <row r="150" spans="1:9" x14ac:dyDescent="0.3">
      <c r="A150" s="38">
        <v>45705</v>
      </c>
      <c r="B150" s="36" t="s">
        <v>41</v>
      </c>
      <c r="C150" s="39">
        <v>1365</v>
      </c>
      <c r="D150" s="39">
        <v>75</v>
      </c>
      <c r="E150" s="39">
        <f t="shared" si="3"/>
        <v>1290</v>
      </c>
      <c r="F150" s="39">
        <v>912374</v>
      </c>
      <c r="G150" s="30">
        <v>1.4138938637006299E-3</v>
      </c>
      <c r="H150" s="36">
        <v>9.2688963078737441</v>
      </c>
      <c r="I150" s="40">
        <v>19067</v>
      </c>
    </row>
    <row r="151" spans="1:9" x14ac:dyDescent="0.3">
      <c r="A151" s="38">
        <v>45705</v>
      </c>
      <c r="B151" s="36" t="s">
        <v>19</v>
      </c>
      <c r="C151" s="39">
        <v>5531</v>
      </c>
      <c r="D151" s="39">
        <v>430</v>
      </c>
      <c r="E151" s="39">
        <f t="shared" si="3"/>
        <v>5101</v>
      </c>
      <c r="F151" s="39">
        <v>917475</v>
      </c>
      <c r="G151" s="30">
        <v>5.5598245183792498E-3</v>
      </c>
      <c r="H151" s="36">
        <v>2.7289026948963189</v>
      </c>
      <c r="I151" s="40">
        <v>47481</v>
      </c>
    </row>
    <row r="152" spans="1:9" x14ac:dyDescent="0.3">
      <c r="A152" s="38">
        <v>45705</v>
      </c>
      <c r="B152" s="36" t="s">
        <v>23</v>
      </c>
      <c r="C152" s="39">
        <v>6330</v>
      </c>
      <c r="D152" s="39">
        <v>891</v>
      </c>
      <c r="E152" s="39">
        <f t="shared" si="3"/>
        <v>5439</v>
      </c>
      <c r="F152" s="39">
        <v>922914</v>
      </c>
      <c r="G152" s="30">
        <v>5.8932901657142503E-3</v>
      </c>
      <c r="H152" s="36">
        <v>14.789893749580139</v>
      </c>
      <c r="I152" s="40">
        <v>37037</v>
      </c>
    </row>
    <row r="153" spans="1:9" x14ac:dyDescent="0.3">
      <c r="A153" s="38">
        <v>45705</v>
      </c>
      <c r="B153" s="36" t="s">
        <v>23</v>
      </c>
      <c r="C153" s="39">
        <v>6510</v>
      </c>
      <c r="D153" s="39">
        <v>481</v>
      </c>
      <c r="E153" s="39">
        <f t="shared" si="3"/>
        <v>6029</v>
      </c>
      <c r="F153" s="39">
        <v>928943</v>
      </c>
      <c r="G153" s="30">
        <v>6.4901721634158397E-3</v>
      </c>
      <c r="H153" s="36">
        <v>2.3800168578696428</v>
      </c>
      <c r="I153" s="40">
        <v>19557</v>
      </c>
    </row>
    <row r="154" spans="1:9" x14ac:dyDescent="0.3">
      <c r="A154" s="38">
        <v>45712</v>
      </c>
      <c r="B154" s="36" t="s">
        <v>23</v>
      </c>
      <c r="C154" s="39">
        <v>9754</v>
      </c>
      <c r="D154" s="39">
        <v>629</v>
      </c>
      <c r="E154" s="39">
        <f t="shared" si="3"/>
        <v>9125</v>
      </c>
      <c r="F154" s="39">
        <v>938068</v>
      </c>
      <c r="G154" s="30">
        <v>9.7274398018054094E-3</v>
      </c>
      <c r="H154" s="36">
        <v>3.4123325814333292</v>
      </c>
      <c r="I154" s="40">
        <v>19435</v>
      </c>
    </row>
    <row r="155" spans="1:9" x14ac:dyDescent="0.3">
      <c r="A155" s="38">
        <v>45712</v>
      </c>
      <c r="B155" s="36" t="s">
        <v>14</v>
      </c>
      <c r="C155" s="39">
        <v>9964</v>
      </c>
      <c r="D155" s="39">
        <v>985</v>
      </c>
      <c r="E155" s="39">
        <f t="shared" si="3"/>
        <v>8979</v>
      </c>
      <c r="F155" s="39">
        <v>947047</v>
      </c>
      <c r="G155" s="30">
        <v>9.4810500429228992E-3</v>
      </c>
      <c r="H155" s="36">
        <v>1.9837452629066989</v>
      </c>
      <c r="I155" s="40">
        <v>47766</v>
      </c>
    </row>
    <row r="156" spans="1:9" x14ac:dyDescent="0.3">
      <c r="A156" s="38">
        <v>45712</v>
      </c>
      <c r="B156" s="36" t="s">
        <v>14</v>
      </c>
      <c r="C156" s="39">
        <v>7493</v>
      </c>
      <c r="D156" s="39">
        <v>1113</v>
      </c>
      <c r="E156" s="39">
        <f t="shared" si="3"/>
        <v>6380</v>
      </c>
      <c r="F156" s="39">
        <v>953427</v>
      </c>
      <c r="G156" s="30">
        <v>6.6916502259743004E-3</v>
      </c>
      <c r="H156" s="36">
        <v>15.684892498324469</v>
      </c>
      <c r="I156" s="40">
        <v>10162</v>
      </c>
    </row>
    <row r="157" spans="1:9" x14ac:dyDescent="0.3">
      <c r="A157" s="38">
        <v>45712</v>
      </c>
      <c r="B157" s="36" t="s">
        <v>23</v>
      </c>
      <c r="C157" s="39">
        <v>6439</v>
      </c>
      <c r="D157" s="39">
        <v>477</v>
      </c>
      <c r="E157" s="39">
        <f t="shared" si="3"/>
        <v>5962</v>
      </c>
      <c r="F157" s="39">
        <v>959389</v>
      </c>
      <c r="G157" s="30">
        <v>6.2143718554204799E-3</v>
      </c>
      <c r="H157" s="36">
        <v>7.4744446725989153</v>
      </c>
      <c r="I157" s="40">
        <v>44742</v>
      </c>
    </row>
    <row r="158" spans="1:9" x14ac:dyDescent="0.3">
      <c r="A158" s="38">
        <v>45719</v>
      </c>
      <c r="B158" s="36" t="s">
        <v>14</v>
      </c>
      <c r="C158" s="39">
        <v>7511</v>
      </c>
      <c r="D158" s="39">
        <v>880</v>
      </c>
      <c r="E158" s="39">
        <f t="shared" si="3"/>
        <v>6631</v>
      </c>
      <c r="F158" s="39">
        <v>966020</v>
      </c>
      <c r="G158" s="30">
        <v>6.8642471170369196E-3</v>
      </c>
      <c r="H158" s="36">
        <v>4.6083932009689246</v>
      </c>
      <c r="I158" s="40">
        <v>29675</v>
      </c>
    </row>
    <row r="159" spans="1:9" x14ac:dyDescent="0.3">
      <c r="A159" s="38">
        <v>45719</v>
      </c>
      <c r="B159" s="36" t="s">
        <v>19</v>
      </c>
      <c r="C159" s="39">
        <v>8504</v>
      </c>
      <c r="D159" s="39">
        <v>1072</v>
      </c>
      <c r="E159" s="39">
        <f t="shared" si="3"/>
        <v>7432</v>
      </c>
      <c r="F159" s="39">
        <v>973452</v>
      </c>
      <c r="G159" s="30">
        <v>7.6346856342172E-3</v>
      </c>
      <c r="H159" s="36">
        <v>6.5651927367759271</v>
      </c>
      <c r="I159" s="40">
        <v>18461</v>
      </c>
    </row>
    <row r="160" spans="1:9" x14ac:dyDescent="0.3">
      <c r="A160" s="38">
        <v>45719</v>
      </c>
      <c r="B160" s="36" t="s">
        <v>41</v>
      </c>
      <c r="C160" s="39">
        <v>2246</v>
      </c>
      <c r="D160" s="39">
        <v>165</v>
      </c>
      <c r="E160" s="39">
        <f t="shared" si="3"/>
        <v>2081</v>
      </c>
      <c r="F160" s="39">
        <v>975533</v>
      </c>
      <c r="G160" s="30">
        <v>2.1331928289458199E-3</v>
      </c>
      <c r="H160" s="36">
        <v>2.9062061457685191</v>
      </c>
      <c r="I160" s="40">
        <v>27015</v>
      </c>
    </row>
    <row r="161" spans="1:9" x14ac:dyDescent="0.3">
      <c r="A161" s="38">
        <v>45719</v>
      </c>
      <c r="B161" s="36" t="s">
        <v>41</v>
      </c>
      <c r="C161" s="39">
        <v>4839</v>
      </c>
      <c r="D161" s="39">
        <v>594</v>
      </c>
      <c r="E161" s="39">
        <f t="shared" si="3"/>
        <v>4245</v>
      </c>
      <c r="F161" s="39">
        <v>979778</v>
      </c>
      <c r="G161" s="30">
        <v>4.3326141227910796E-3</v>
      </c>
      <c r="H161" s="36">
        <v>2.5803804535313102</v>
      </c>
      <c r="I161" s="40">
        <v>42591</v>
      </c>
    </row>
    <row r="162" spans="1:9" x14ac:dyDescent="0.3">
      <c r="A162" s="38">
        <v>45726</v>
      </c>
      <c r="B162" s="36" t="s">
        <v>41</v>
      </c>
      <c r="C162" s="39">
        <v>9551</v>
      </c>
      <c r="D162" s="39">
        <v>828</v>
      </c>
      <c r="E162" s="39">
        <f t="shared" si="3"/>
        <v>8723</v>
      </c>
      <c r="F162" s="39">
        <v>988501</v>
      </c>
      <c r="G162" s="30">
        <v>8.8244726105487E-3</v>
      </c>
      <c r="H162" s="36">
        <v>1.525036393488727</v>
      </c>
      <c r="I162" s="40">
        <v>38047</v>
      </c>
    </row>
    <row r="163" spans="1:9" x14ac:dyDescent="0.3">
      <c r="A163" s="38">
        <v>45726</v>
      </c>
      <c r="B163" s="36" t="s">
        <v>23</v>
      </c>
      <c r="C163" s="39">
        <v>3376</v>
      </c>
      <c r="D163" s="39">
        <v>382</v>
      </c>
      <c r="E163" s="39">
        <f t="shared" si="3"/>
        <v>2994</v>
      </c>
      <c r="F163" s="39">
        <v>991495</v>
      </c>
      <c r="G163" s="30">
        <v>3.0196823988018098E-3</v>
      </c>
      <c r="H163" s="36">
        <v>3.8694093263203548</v>
      </c>
      <c r="I163" s="40">
        <v>44782</v>
      </c>
    </row>
    <row r="164" spans="1:9" x14ac:dyDescent="0.3">
      <c r="A164" s="38">
        <v>45726</v>
      </c>
      <c r="B164" s="36" t="s">
        <v>14</v>
      </c>
      <c r="C164" s="39">
        <v>4009</v>
      </c>
      <c r="D164" s="39">
        <v>454</v>
      </c>
      <c r="E164" s="39">
        <f t="shared" si="3"/>
        <v>3555</v>
      </c>
      <c r="F164" s="39">
        <v>995050</v>
      </c>
      <c r="G164" s="30">
        <v>3.5726847897090599E-3</v>
      </c>
      <c r="H164" s="36">
        <v>2.1106477061454201</v>
      </c>
      <c r="I164" s="40">
        <v>19833</v>
      </c>
    </row>
    <row r="165" spans="1:9" x14ac:dyDescent="0.3">
      <c r="A165" s="38">
        <v>45726</v>
      </c>
      <c r="B165" s="36" t="s">
        <v>19</v>
      </c>
      <c r="C165" s="39">
        <v>2827</v>
      </c>
      <c r="D165" s="39">
        <v>292</v>
      </c>
      <c r="E165" s="39">
        <f t="shared" si="3"/>
        <v>2535</v>
      </c>
      <c r="F165" s="39">
        <v>997585</v>
      </c>
      <c r="G165" s="30">
        <v>2.5411368454818402E-3</v>
      </c>
      <c r="H165" s="36">
        <v>2.4004972007397871</v>
      </c>
      <c r="I165" s="40">
        <v>17896</v>
      </c>
    </row>
    <row r="166" spans="1:9" x14ac:dyDescent="0.3">
      <c r="A166" s="38">
        <v>45733</v>
      </c>
      <c r="B166" s="36" t="s">
        <v>19</v>
      </c>
      <c r="C166" s="39">
        <v>7979</v>
      </c>
      <c r="D166" s="39">
        <v>470</v>
      </c>
      <c r="E166" s="39">
        <f t="shared" si="3"/>
        <v>7509</v>
      </c>
      <c r="F166" s="39">
        <v>1005094</v>
      </c>
      <c r="G166" s="30">
        <v>7.4709430162751E-3</v>
      </c>
      <c r="H166" s="36">
        <v>10.43086517280971</v>
      </c>
      <c r="I166" s="40">
        <v>42972</v>
      </c>
    </row>
    <row r="167" spans="1:9" x14ac:dyDescent="0.3">
      <c r="A167" s="38">
        <v>45733</v>
      </c>
      <c r="B167" s="36" t="s">
        <v>23</v>
      </c>
      <c r="C167" s="39">
        <v>9569</v>
      </c>
      <c r="D167" s="39">
        <v>1277</v>
      </c>
      <c r="E167" s="39">
        <f t="shared" si="3"/>
        <v>8292</v>
      </c>
      <c r="F167" s="39">
        <v>1013386</v>
      </c>
      <c r="G167" s="30">
        <v>8.1824694637581408E-3</v>
      </c>
      <c r="H167" s="36">
        <v>12.45517502708741</v>
      </c>
      <c r="I167" s="40">
        <v>59733</v>
      </c>
    </row>
    <row r="168" spans="1:9" x14ac:dyDescent="0.3">
      <c r="A168" s="38">
        <v>45733</v>
      </c>
      <c r="B168" s="36" t="s">
        <v>19</v>
      </c>
      <c r="C168" s="39">
        <v>5285</v>
      </c>
      <c r="D168" s="39">
        <v>433</v>
      </c>
      <c r="E168" s="39">
        <f t="shared" si="3"/>
        <v>4852</v>
      </c>
      <c r="F168" s="39">
        <v>1018238</v>
      </c>
      <c r="G168" s="30">
        <v>4.7650942117658203E-3</v>
      </c>
      <c r="H168" s="36">
        <v>8.7022876773406619</v>
      </c>
      <c r="I168" s="40">
        <v>51800</v>
      </c>
    </row>
    <row r="169" spans="1:9" x14ac:dyDescent="0.3">
      <c r="A169" s="38">
        <v>45733</v>
      </c>
      <c r="B169" s="36" t="s">
        <v>19</v>
      </c>
      <c r="C169" s="39">
        <v>7910</v>
      </c>
      <c r="D169" s="39">
        <v>543</v>
      </c>
      <c r="E169" s="39">
        <f t="shared" si="3"/>
        <v>7367</v>
      </c>
      <c r="F169" s="39">
        <v>1025605</v>
      </c>
      <c r="G169" s="30">
        <v>7.1830773055903598E-3</v>
      </c>
      <c r="H169" s="36">
        <v>6.0590578244060822</v>
      </c>
      <c r="I169" s="40">
        <v>40508</v>
      </c>
    </row>
    <row r="170" spans="1:9" x14ac:dyDescent="0.3">
      <c r="A170" s="38">
        <v>45740</v>
      </c>
      <c r="B170" s="36" t="s">
        <v>19</v>
      </c>
      <c r="C170" s="39">
        <v>9561</v>
      </c>
      <c r="D170" s="39">
        <v>517</v>
      </c>
      <c r="E170" s="39">
        <f t="shared" si="3"/>
        <v>9044</v>
      </c>
      <c r="F170" s="39">
        <v>1034649</v>
      </c>
      <c r="G170" s="30">
        <v>8.7411286339618595E-3</v>
      </c>
      <c r="H170" s="36">
        <v>6.4086467971263694</v>
      </c>
      <c r="I170" s="40">
        <v>15347</v>
      </c>
    </row>
    <row r="171" spans="1:9" x14ac:dyDescent="0.3">
      <c r="A171" s="38">
        <v>45740</v>
      </c>
      <c r="B171" s="36" t="s">
        <v>19</v>
      </c>
      <c r="C171" s="39">
        <v>3196</v>
      </c>
      <c r="D171" s="39">
        <v>348</v>
      </c>
      <c r="E171" s="39">
        <f t="shared" si="3"/>
        <v>2848</v>
      </c>
      <c r="F171" s="39">
        <v>1037497</v>
      </c>
      <c r="G171" s="30">
        <v>2.7450681785103999E-3</v>
      </c>
      <c r="H171" s="36">
        <v>14.03040201562029</v>
      </c>
      <c r="I171" s="40">
        <v>40314</v>
      </c>
    </row>
    <row r="172" spans="1:9" x14ac:dyDescent="0.3">
      <c r="A172" s="38">
        <v>45740</v>
      </c>
      <c r="B172" s="36" t="s">
        <v>14</v>
      </c>
      <c r="C172" s="39">
        <v>4747</v>
      </c>
      <c r="D172" s="39">
        <v>558</v>
      </c>
      <c r="E172" s="39">
        <f t="shared" si="3"/>
        <v>4189</v>
      </c>
      <c r="F172" s="39">
        <v>1041686</v>
      </c>
      <c r="G172" s="30">
        <v>4.0213653634588497E-3</v>
      </c>
      <c r="H172" s="36">
        <v>5.7680529449373434</v>
      </c>
      <c r="I172" s="40">
        <v>12643</v>
      </c>
    </row>
    <row r="173" spans="1:9" x14ac:dyDescent="0.3">
      <c r="A173" s="38">
        <v>45740</v>
      </c>
      <c r="B173" s="36" t="s">
        <v>19</v>
      </c>
      <c r="C173" s="39">
        <v>9843</v>
      </c>
      <c r="D173" s="39">
        <v>508</v>
      </c>
      <c r="E173" s="39">
        <f t="shared" si="3"/>
        <v>9335</v>
      </c>
      <c r="F173" s="39">
        <v>1051021</v>
      </c>
      <c r="G173" s="30">
        <v>8.8818396587699005E-3</v>
      </c>
      <c r="H173" s="36">
        <v>4.2080986012648651</v>
      </c>
      <c r="I173" s="40">
        <v>50785</v>
      </c>
    </row>
    <row r="174" spans="1:9" x14ac:dyDescent="0.3">
      <c r="A174" s="38">
        <v>45747</v>
      </c>
      <c r="B174" s="36" t="s">
        <v>41</v>
      </c>
      <c r="C174" s="39">
        <v>6978</v>
      </c>
      <c r="D174" s="39">
        <v>706</v>
      </c>
      <c r="E174" s="39">
        <f t="shared" si="3"/>
        <v>6272</v>
      </c>
      <c r="F174" s="39">
        <v>1057293</v>
      </c>
      <c r="G174" s="30">
        <v>5.9321304501212101E-3</v>
      </c>
      <c r="H174" s="36">
        <v>5.057443868445171</v>
      </c>
      <c r="I174" s="40">
        <v>28681</v>
      </c>
    </row>
    <row r="175" spans="1:9" x14ac:dyDescent="0.3">
      <c r="A175" s="38">
        <v>45747</v>
      </c>
      <c r="B175" s="36" t="s">
        <v>23</v>
      </c>
      <c r="C175" s="39">
        <v>6607</v>
      </c>
      <c r="D175" s="39">
        <v>479</v>
      </c>
      <c r="E175" s="39">
        <f t="shared" si="3"/>
        <v>6128</v>
      </c>
      <c r="F175" s="39">
        <v>1063421</v>
      </c>
      <c r="G175" s="30">
        <v>5.7625343114345098E-3</v>
      </c>
      <c r="H175" s="36">
        <v>5.5892257158735816</v>
      </c>
      <c r="I175" s="40">
        <v>48328</v>
      </c>
    </row>
    <row r="176" spans="1:9" x14ac:dyDescent="0.3">
      <c r="A176" s="38">
        <v>45747</v>
      </c>
      <c r="B176" s="36" t="s">
        <v>14</v>
      </c>
      <c r="C176" s="39">
        <v>1769</v>
      </c>
      <c r="D176" s="39">
        <v>202</v>
      </c>
      <c r="E176" s="39">
        <f t="shared" si="3"/>
        <v>1567</v>
      </c>
      <c r="F176" s="39">
        <v>1064988</v>
      </c>
      <c r="G176" s="30">
        <v>1.47137808125538E-3</v>
      </c>
      <c r="H176" s="36">
        <v>6.5457075572682513</v>
      </c>
      <c r="I176" s="40">
        <v>25892</v>
      </c>
    </row>
    <row r="177" spans="1:9" x14ac:dyDescent="0.3">
      <c r="A177" s="38">
        <v>45747</v>
      </c>
      <c r="B177" s="36" t="s">
        <v>19</v>
      </c>
      <c r="C177" s="39">
        <v>1780</v>
      </c>
      <c r="D177" s="39">
        <v>120</v>
      </c>
      <c r="E177" s="39">
        <f t="shared" si="3"/>
        <v>1660</v>
      </c>
      <c r="F177" s="39">
        <v>1066648</v>
      </c>
      <c r="G177" s="30">
        <v>1.55627723485161E-3</v>
      </c>
      <c r="H177" s="36">
        <v>13.86474263299608</v>
      </c>
      <c r="I177" s="40">
        <v>57299</v>
      </c>
    </row>
    <row r="178" spans="1:9" x14ac:dyDescent="0.3">
      <c r="A178" s="38">
        <v>45754</v>
      </c>
      <c r="B178" s="36" t="s">
        <v>14</v>
      </c>
      <c r="C178" s="39">
        <v>7303</v>
      </c>
      <c r="D178" s="39">
        <v>869</v>
      </c>
      <c r="E178" s="39">
        <f t="shared" si="3"/>
        <v>6434</v>
      </c>
      <c r="F178" s="39">
        <v>1073082</v>
      </c>
      <c r="G178" s="30">
        <v>5.9958139266151197E-3</v>
      </c>
      <c r="H178" s="36">
        <v>8.1237966902808925</v>
      </c>
      <c r="I178" s="40">
        <v>27073</v>
      </c>
    </row>
    <row r="179" spans="1:9" x14ac:dyDescent="0.3">
      <c r="A179" s="38">
        <v>45754</v>
      </c>
      <c r="B179" s="36" t="s">
        <v>19</v>
      </c>
      <c r="C179" s="39">
        <v>4983</v>
      </c>
      <c r="D179" s="39">
        <v>441</v>
      </c>
      <c r="E179" s="39">
        <f t="shared" si="3"/>
        <v>4542</v>
      </c>
      <c r="F179" s="39">
        <v>1077624</v>
      </c>
      <c r="G179" s="30">
        <v>4.2148281775461604E-3</v>
      </c>
      <c r="H179" s="36">
        <v>6.8954477628560609</v>
      </c>
      <c r="I179" s="40">
        <v>46768</v>
      </c>
    </row>
    <row r="180" spans="1:9" x14ac:dyDescent="0.3">
      <c r="A180" s="38">
        <v>45754</v>
      </c>
      <c r="B180" s="36" t="s">
        <v>41</v>
      </c>
      <c r="C180" s="39">
        <v>9714</v>
      </c>
      <c r="D180" s="39">
        <v>1395</v>
      </c>
      <c r="E180" s="39">
        <f t="shared" si="3"/>
        <v>8319</v>
      </c>
      <c r="F180" s="39">
        <v>1085943</v>
      </c>
      <c r="G180" s="30">
        <v>7.6606230713766798E-3</v>
      </c>
      <c r="H180" s="36">
        <v>5.2243073531483697</v>
      </c>
      <c r="I180" s="40">
        <v>40682</v>
      </c>
    </row>
    <row r="181" spans="1:9" x14ac:dyDescent="0.3">
      <c r="A181" s="38">
        <v>45754</v>
      </c>
      <c r="B181" s="36" t="s">
        <v>23</v>
      </c>
      <c r="C181" s="39">
        <v>1521</v>
      </c>
      <c r="D181" s="39">
        <v>96</v>
      </c>
      <c r="E181" s="39">
        <f t="shared" si="3"/>
        <v>1425</v>
      </c>
      <c r="F181" s="39">
        <v>1087368</v>
      </c>
      <c r="G181" s="30">
        <v>1.31050389564526E-3</v>
      </c>
      <c r="H181" s="36">
        <v>12.709772588488899</v>
      </c>
      <c r="I181" s="40">
        <v>42262</v>
      </c>
    </row>
    <row r="182" spans="1:9" x14ac:dyDescent="0.3">
      <c r="A182" s="38">
        <v>45761</v>
      </c>
      <c r="B182" s="36" t="s">
        <v>19</v>
      </c>
      <c r="C182" s="39">
        <v>8569</v>
      </c>
      <c r="D182" s="39">
        <v>720</v>
      </c>
      <c r="E182" s="39">
        <f t="shared" si="3"/>
        <v>7849</v>
      </c>
      <c r="F182" s="39">
        <v>1095217</v>
      </c>
      <c r="G182" s="30">
        <v>7.1666162961312703E-3</v>
      </c>
      <c r="H182" s="36">
        <v>9.589697749395782</v>
      </c>
      <c r="I182" s="40">
        <v>41358</v>
      </c>
    </row>
    <row r="183" spans="1:9" x14ac:dyDescent="0.3">
      <c r="A183" s="38">
        <v>45761</v>
      </c>
      <c r="B183" s="36" t="s">
        <v>19</v>
      </c>
      <c r="C183" s="39">
        <v>6784</v>
      </c>
      <c r="D183" s="39">
        <v>416</v>
      </c>
      <c r="E183" s="39">
        <f t="shared" si="3"/>
        <v>6368</v>
      </c>
      <c r="F183" s="39">
        <v>1101585</v>
      </c>
      <c r="G183" s="30">
        <v>5.7807613574985097E-3</v>
      </c>
      <c r="H183" s="36">
        <v>9.3041390360253633</v>
      </c>
      <c r="I183" s="40">
        <v>24289</v>
      </c>
    </row>
    <row r="184" spans="1:9" x14ac:dyDescent="0.3">
      <c r="A184" s="38">
        <v>45761</v>
      </c>
      <c r="B184" s="36" t="s">
        <v>19</v>
      </c>
      <c r="C184" s="39">
        <v>5583</v>
      </c>
      <c r="D184" s="39">
        <v>795</v>
      </c>
      <c r="E184" s="39">
        <f t="shared" si="3"/>
        <v>4788</v>
      </c>
      <c r="F184" s="39">
        <v>1106373</v>
      </c>
      <c r="G184" s="30">
        <v>4.3276544167292598E-3</v>
      </c>
      <c r="H184" s="36">
        <v>12.21550055903389</v>
      </c>
      <c r="I184" s="40">
        <v>59823</v>
      </c>
    </row>
    <row r="185" spans="1:9" x14ac:dyDescent="0.3">
      <c r="A185" s="38">
        <v>45761</v>
      </c>
      <c r="B185" s="36" t="s">
        <v>19</v>
      </c>
      <c r="C185" s="39">
        <v>6946</v>
      </c>
      <c r="D185" s="39">
        <v>956</v>
      </c>
      <c r="E185" s="39">
        <f t="shared" si="3"/>
        <v>5990</v>
      </c>
      <c r="F185" s="39">
        <v>1112363</v>
      </c>
      <c r="G185" s="30">
        <v>5.3849327962185002E-3</v>
      </c>
      <c r="H185" s="36">
        <v>1.64146056637986</v>
      </c>
      <c r="I185" s="40">
        <v>17927</v>
      </c>
    </row>
    <row r="186" spans="1:9" x14ac:dyDescent="0.3">
      <c r="A186" s="38">
        <v>45768</v>
      </c>
      <c r="B186" s="36" t="s">
        <v>23</v>
      </c>
      <c r="C186" s="39">
        <v>5941</v>
      </c>
      <c r="D186" s="39">
        <v>450</v>
      </c>
      <c r="E186" s="39">
        <f t="shared" si="3"/>
        <v>5491</v>
      </c>
      <c r="F186" s="39">
        <v>1117854</v>
      </c>
      <c r="G186" s="30">
        <v>4.9120904876665504E-3</v>
      </c>
      <c r="H186" s="36">
        <v>12.414411899944</v>
      </c>
      <c r="I186" s="40">
        <v>58330</v>
      </c>
    </row>
    <row r="187" spans="1:9" x14ac:dyDescent="0.3">
      <c r="A187" s="38">
        <v>45768</v>
      </c>
      <c r="B187" s="36" t="s">
        <v>23</v>
      </c>
      <c r="C187" s="39">
        <v>7267</v>
      </c>
      <c r="D187" s="39">
        <v>842</v>
      </c>
      <c r="E187" s="39">
        <f t="shared" si="3"/>
        <v>6425</v>
      </c>
      <c r="F187" s="39">
        <v>1124279</v>
      </c>
      <c r="G187" s="30">
        <v>5.7147736460433796E-3</v>
      </c>
      <c r="H187" s="36">
        <v>2.2102165031989389</v>
      </c>
      <c r="I187" s="40">
        <v>11171</v>
      </c>
    </row>
    <row r="188" spans="1:9" x14ac:dyDescent="0.3">
      <c r="A188" s="38">
        <v>45768</v>
      </c>
      <c r="B188" s="36" t="s">
        <v>41</v>
      </c>
      <c r="C188" s="39">
        <v>8128</v>
      </c>
      <c r="D188" s="39">
        <v>1070</v>
      </c>
      <c r="E188" s="39">
        <f t="shared" si="3"/>
        <v>7058</v>
      </c>
      <c r="F188" s="39">
        <v>1131337</v>
      </c>
      <c r="G188" s="30">
        <v>6.2386362330587603E-3</v>
      </c>
      <c r="H188" s="36">
        <v>8.1114645768679008</v>
      </c>
      <c r="I188" s="40">
        <v>21918</v>
      </c>
    </row>
    <row r="189" spans="1:9" x14ac:dyDescent="0.3">
      <c r="A189" s="38">
        <v>45768</v>
      </c>
      <c r="B189" s="36" t="s">
        <v>23</v>
      </c>
      <c r="C189" s="39">
        <v>3461</v>
      </c>
      <c r="D189" s="39">
        <v>365</v>
      </c>
      <c r="E189" s="39">
        <f t="shared" si="3"/>
        <v>3096</v>
      </c>
      <c r="F189" s="39">
        <v>1134433</v>
      </c>
      <c r="G189" s="30">
        <v>2.7291166600407401E-3</v>
      </c>
      <c r="H189" s="36">
        <v>10.23489267325616</v>
      </c>
      <c r="I189" s="40">
        <v>51903</v>
      </c>
    </row>
    <row r="190" spans="1:9" x14ac:dyDescent="0.3">
      <c r="A190" s="38">
        <v>45775</v>
      </c>
      <c r="B190" s="36" t="s">
        <v>19</v>
      </c>
      <c r="C190" s="39">
        <v>1685</v>
      </c>
      <c r="D190" s="39">
        <v>173</v>
      </c>
      <c r="E190" s="39">
        <f t="shared" si="3"/>
        <v>1512</v>
      </c>
      <c r="F190" s="39">
        <v>1135945</v>
      </c>
      <c r="G190" s="30">
        <v>1.33105035895224E-3</v>
      </c>
      <c r="H190" s="36">
        <v>8.7776256772995165</v>
      </c>
      <c r="I190" s="40">
        <v>49110</v>
      </c>
    </row>
    <row r="191" spans="1:9" x14ac:dyDescent="0.3">
      <c r="A191" s="38">
        <v>45775</v>
      </c>
      <c r="B191" s="36" t="s">
        <v>41</v>
      </c>
      <c r="C191" s="39">
        <v>3160</v>
      </c>
      <c r="D191" s="39">
        <v>234</v>
      </c>
      <c r="E191" s="39">
        <f t="shared" si="3"/>
        <v>2926</v>
      </c>
      <c r="F191" s="39">
        <v>1138871</v>
      </c>
      <c r="G191" s="30">
        <v>2.5692110871204901E-3</v>
      </c>
      <c r="H191" s="36">
        <v>5.6959041015180816</v>
      </c>
      <c r="I191" s="40">
        <v>21929</v>
      </c>
    </row>
    <row r="192" spans="1:9" x14ac:dyDescent="0.3">
      <c r="A192" s="38">
        <v>45775</v>
      </c>
      <c r="B192" s="36" t="s">
        <v>41</v>
      </c>
      <c r="C192" s="39">
        <v>8031</v>
      </c>
      <c r="D192" s="39">
        <v>476</v>
      </c>
      <c r="E192" s="39">
        <f t="shared" si="3"/>
        <v>7555</v>
      </c>
      <c r="F192" s="39">
        <v>1146426</v>
      </c>
      <c r="G192" s="30">
        <v>6.5900459340594202E-3</v>
      </c>
      <c r="H192" s="36">
        <v>11.940413075069831</v>
      </c>
      <c r="I192" s="40">
        <v>12539</v>
      </c>
    </row>
    <row r="193" spans="1:9" x14ac:dyDescent="0.3">
      <c r="A193" s="38">
        <v>45775</v>
      </c>
      <c r="B193" s="36" t="s">
        <v>41</v>
      </c>
      <c r="C193" s="39">
        <v>6341</v>
      </c>
      <c r="D193" s="39">
        <v>885</v>
      </c>
      <c r="E193" s="39">
        <f t="shared" si="3"/>
        <v>5456</v>
      </c>
      <c r="F193" s="39">
        <v>1151882</v>
      </c>
      <c r="G193" s="30">
        <v>4.7365962832998498E-3</v>
      </c>
      <c r="H193" s="36">
        <v>6.3457020771224837</v>
      </c>
      <c r="I193" s="40">
        <v>46727</v>
      </c>
    </row>
    <row r="194" spans="1:9" x14ac:dyDescent="0.3">
      <c r="A194" s="38">
        <v>45782</v>
      </c>
      <c r="B194" s="36" t="s">
        <v>19</v>
      </c>
      <c r="C194" s="39">
        <v>1038</v>
      </c>
      <c r="D194" s="39">
        <v>145</v>
      </c>
      <c r="E194" s="39">
        <f t="shared" si="3"/>
        <v>893</v>
      </c>
      <c r="F194" s="39">
        <v>1152775</v>
      </c>
      <c r="G194" s="30">
        <v>7.7465246904209403E-4</v>
      </c>
      <c r="H194" s="36">
        <v>11.093752033137431</v>
      </c>
      <c r="I194" s="40">
        <v>55951</v>
      </c>
    </row>
    <row r="195" spans="1:9" x14ac:dyDescent="0.3">
      <c r="A195" s="38">
        <v>45782</v>
      </c>
      <c r="B195" s="36" t="s">
        <v>14</v>
      </c>
      <c r="C195" s="39">
        <v>5875</v>
      </c>
      <c r="D195" s="39">
        <v>665</v>
      </c>
      <c r="E195" s="39">
        <f t="shared" ref="E195:E201" si="4">C195-D195</f>
        <v>5210</v>
      </c>
      <c r="F195" s="39">
        <v>1157985</v>
      </c>
      <c r="G195" s="30">
        <v>4.4991947218659999E-3</v>
      </c>
      <c r="H195" s="36">
        <v>6.9871371390821126</v>
      </c>
      <c r="I195" s="40">
        <v>32669</v>
      </c>
    </row>
    <row r="196" spans="1:9" x14ac:dyDescent="0.3">
      <c r="A196" s="38">
        <v>45782</v>
      </c>
      <c r="B196" s="36" t="s">
        <v>19</v>
      </c>
      <c r="C196" s="39">
        <v>2256</v>
      </c>
      <c r="D196" s="39">
        <v>189</v>
      </c>
      <c r="E196" s="39">
        <f t="shared" si="4"/>
        <v>2067</v>
      </c>
      <c r="F196" s="39">
        <v>1160052</v>
      </c>
      <c r="G196" s="30">
        <v>1.7818166771834401E-3</v>
      </c>
      <c r="H196" s="36">
        <v>2.8935771844710412</v>
      </c>
      <c r="I196" s="40">
        <v>15432</v>
      </c>
    </row>
    <row r="197" spans="1:9" x14ac:dyDescent="0.3">
      <c r="A197" s="38">
        <v>45782</v>
      </c>
      <c r="B197" s="36" t="s">
        <v>23</v>
      </c>
      <c r="C197" s="39">
        <v>8697</v>
      </c>
      <c r="D197" s="39">
        <v>738</v>
      </c>
      <c r="E197" s="39">
        <f t="shared" si="4"/>
        <v>7959</v>
      </c>
      <c r="F197" s="39">
        <v>1168011</v>
      </c>
      <c r="G197" s="30">
        <v>6.8141481544266302E-3</v>
      </c>
      <c r="H197" s="36">
        <v>3.8777032065622672</v>
      </c>
      <c r="I197" s="40">
        <v>30644</v>
      </c>
    </row>
    <row r="198" spans="1:9" x14ac:dyDescent="0.3">
      <c r="A198" s="38">
        <v>45789</v>
      </c>
      <c r="B198" s="36" t="s">
        <v>23</v>
      </c>
      <c r="C198" s="39">
        <v>3196</v>
      </c>
      <c r="D198" s="39">
        <v>391</v>
      </c>
      <c r="E198" s="39">
        <f t="shared" si="4"/>
        <v>2805</v>
      </c>
      <c r="F198" s="39">
        <v>1170816</v>
      </c>
      <c r="G198" s="30">
        <v>2.39576500491965E-3</v>
      </c>
      <c r="H198" s="36">
        <v>7.2439221876024931</v>
      </c>
      <c r="I198" s="40">
        <v>28745</v>
      </c>
    </row>
    <row r="199" spans="1:9" x14ac:dyDescent="0.3">
      <c r="A199" s="38">
        <v>45789</v>
      </c>
      <c r="B199" s="36" t="s">
        <v>19</v>
      </c>
      <c r="C199" s="39">
        <v>8165</v>
      </c>
      <c r="D199" s="39">
        <v>1140</v>
      </c>
      <c r="E199" s="39">
        <f t="shared" si="4"/>
        <v>7025</v>
      </c>
      <c r="F199" s="39">
        <v>1177841</v>
      </c>
      <c r="G199" s="30">
        <v>5.9643024822535499E-3</v>
      </c>
      <c r="H199" s="36">
        <v>9.095964565675672</v>
      </c>
      <c r="I199" s="40">
        <v>38228</v>
      </c>
    </row>
    <row r="200" spans="1:9" x14ac:dyDescent="0.3">
      <c r="A200" s="38">
        <v>45789</v>
      </c>
      <c r="B200" s="36" t="s">
        <v>19</v>
      </c>
      <c r="C200" s="39">
        <v>1301</v>
      </c>
      <c r="D200" s="39">
        <v>180</v>
      </c>
      <c r="E200" s="39">
        <f t="shared" si="4"/>
        <v>1121</v>
      </c>
      <c r="F200" s="39">
        <v>1178962</v>
      </c>
      <c r="G200" s="30">
        <v>9.5083641372665096E-4</v>
      </c>
      <c r="H200" s="36">
        <v>5.2275645864752214</v>
      </c>
      <c r="I200" s="40">
        <v>44521</v>
      </c>
    </row>
    <row r="201" spans="1:9" x14ac:dyDescent="0.3">
      <c r="A201" s="41">
        <v>45789</v>
      </c>
      <c r="B201" s="37" t="s">
        <v>41</v>
      </c>
      <c r="C201" s="42">
        <v>8527</v>
      </c>
      <c r="D201" s="42">
        <v>1091</v>
      </c>
      <c r="E201" s="39">
        <f t="shared" si="4"/>
        <v>7436</v>
      </c>
      <c r="F201" s="42">
        <v>1186398</v>
      </c>
      <c r="G201" s="33">
        <v>6.2677111728104704E-3</v>
      </c>
      <c r="H201" s="37">
        <v>1.676081719625286</v>
      </c>
      <c r="I201" s="43">
        <v>41703</v>
      </c>
    </row>
  </sheetData>
  <sortState xmlns:xlrd2="http://schemas.microsoft.com/office/spreadsheetml/2017/richdata2" ref="K12:L15">
    <sortCondition descending="1" ref="L12:L15"/>
  </sortState>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32524E2-2FAE-45CA-B7AF-6BAEBF13312C}">
  <ds:schemaRefs/>
</ds:datastoreItem>
</file>

<file path=customXml/itemProps2.xml><?xml version="1.0" encoding="utf-8"?>
<ds:datastoreItem xmlns:ds="http://schemas.openxmlformats.org/officeDocument/2006/customXml" ds:itemID="{3A74AECB-0B53-4982-927C-12B9E244D61E}">
  <ds:schemaRefs/>
</ds:datastoreItem>
</file>

<file path=customXml/itemProps3.xml><?xml version="1.0" encoding="utf-8"?>
<ds:datastoreItem xmlns:ds="http://schemas.openxmlformats.org/officeDocument/2006/customXml" ds:itemID="{75FE20B4-CE2F-47DD-800F-9D324B07D692}">
  <ds:schemaRefs/>
</ds:datastoreItem>
</file>

<file path=customXml/itemProps4.xml><?xml version="1.0" encoding="utf-8"?>
<ds:datastoreItem xmlns:ds="http://schemas.openxmlformats.org/officeDocument/2006/customXml" ds:itemID="{AF77FE57-6804-4594-8283-90449082BFCB}">
  <ds:schemaRefs/>
</ds:datastoreItem>
</file>

<file path=customXml/itemProps5.xml><?xml version="1.0" encoding="utf-8"?>
<ds:datastoreItem xmlns:ds="http://schemas.openxmlformats.org/officeDocument/2006/customXml" ds:itemID="{D1C3B189-2143-40A3-931A-613C814F7633}">
  <ds:schemaRefs/>
</ds:datastoreItem>
</file>

<file path=customXml/itemProps6.xml><?xml version="1.0" encoding="utf-8"?>
<ds:datastoreItem xmlns:ds="http://schemas.openxmlformats.org/officeDocument/2006/customXml" ds:itemID="{754DCE9B-0F4A-49FF-94AA-F3D77ADA993E}">
  <ds:schemaRefs/>
</ds:datastoreItem>
</file>

<file path=customXml/itemProps7.xml><?xml version="1.0" encoding="utf-8"?>
<ds:datastoreItem xmlns:ds="http://schemas.openxmlformats.org/officeDocument/2006/customXml" ds:itemID="{893EECCF-9EA0-4D81-97CE-59D6425D1BB6}">
  <ds:schemaRefs/>
</ds:datastoreItem>
</file>

<file path=customXml/itemProps8.xml><?xml version="1.0" encoding="utf-8"?>
<ds:datastoreItem xmlns:ds="http://schemas.openxmlformats.org/officeDocument/2006/customXml" ds:itemID="{6DB25FBA-015D-471C-8E73-40FD719180F7}">
  <ds:schemaRefs/>
</ds:datastoreItem>
</file>

<file path=customXml/itemProps9.xml><?xml version="1.0" encoding="utf-8"?>
<ds:datastoreItem xmlns:ds="http://schemas.openxmlformats.org/officeDocument/2006/customXml" ds:itemID="{1D652B01-2A1A-4CCE-AFC9-987827523AC4}">
  <ds:schemaRefs/>
</ds:datastoreItem>
</file>

<file path=customXml/itemProps10.xml><?xml version="1.0" encoding="utf-8"?>
<ds:datastoreItem xmlns:ds="http://schemas.openxmlformats.org/officeDocument/2006/customXml" ds:itemID="{38B15A41-4FEE-4F8B-8687-237F3A7BEF59}">
  <ds:schemaRefs/>
</ds:datastoreItem>
</file>

<file path=customXml/itemProps11.xml><?xml version="1.0" encoding="utf-8"?>
<ds:datastoreItem xmlns:ds="http://schemas.openxmlformats.org/officeDocument/2006/customXml" ds:itemID="{69B01593-9A15-44DB-A7F1-432C1A3583CE}">
  <ds:schemaRefs/>
</ds:datastoreItem>
</file>

<file path=customXml/itemProps12.xml><?xml version="1.0" encoding="utf-8"?>
<ds:datastoreItem xmlns:ds="http://schemas.openxmlformats.org/officeDocument/2006/customXml" ds:itemID="{C2A32917-BEEA-4614-A9A4-3AD8DA40CC3C}">
  <ds:schemaRefs/>
</ds:datastoreItem>
</file>

<file path=customXml/itemProps13.xml><?xml version="1.0" encoding="utf-8"?>
<ds:datastoreItem xmlns:ds="http://schemas.openxmlformats.org/officeDocument/2006/customXml" ds:itemID="{A01199FF-1813-49CC-9B62-1DB7B425C1AE}">
  <ds:schemaRefs/>
</ds:datastoreItem>
</file>

<file path=customXml/itemProps14.xml><?xml version="1.0" encoding="utf-8"?>
<ds:datastoreItem xmlns:ds="http://schemas.openxmlformats.org/officeDocument/2006/customXml" ds:itemID="{ED4215E2-2FDB-4F02-8511-DE01CF28782C}">
  <ds:schemaRefs/>
</ds:datastoreItem>
</file>

<file path=customXml/itemProps15.xml><?xml version="1.0" encoding="utf-8"?>
<ds:datastoreItem xmlns:ds="http://schemas.openxmlformats.org/officeDocument/2006/customXml" ds:itemID="{C3AE1285-93D0-4E7C-84EF-3688614EF8C9}">
  <ds:schemaRefs/>
</ds:datastoreItem>
</file>

<file path=customXml/itemProps16.xml><?xml version="1.0" encoding="utf-8"?>
<ds:datastoreItem xmlns:ds="http://schemas.openxmlformats.org/officeDocument/2006/customXml" ds:itemID="{A074E163-6744-4C41-99FE-55F178F11AA6}">
  <ds:schemaRefs/>
</ds:datastoreItem>
</file>

<file path=customXml/itemProps17.xml><?xml version="1.0" encoding="utf-8"?>
<ds:datastoreItem xmlns:ds="http://schemas.openxmlformats.org/officeDocument/2006/customXml" ds:itemID="{841B50A8-6668-46A3-AF6B-B311B0D51B36}">
  <ds:schemaRefs/>
</ds:datastoreItem>
</file>

<file path=customXml/itemProps18.xml><?xml version="1.0" encoding="utf-8"?>
<ds:datastoreItem xmlns:ds="http://schemas.openxmlformats.org/officeDocument/2006/customXml" ds:itemID="{60BAB070-34D7-4B53-99FE-C444CFBD0F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Post</vt:lpstr>
      <vt:lpstr>Engagement</vt:lpstr>
      <vt:lpstr>Campaign</vt:lpstr>
      <vt:lpstr>Task 6.1</vt:lpstr>
      <vt:lpstr>Task 6.2</vt:lpstr>
      <vt:lpstr>Insta</vt:lpstr>
      <vt:lpstr>Twitter</vt:lpstr>
      <vt:lpstr>YouTube</vt:lpstr>
      <vt:lpstr>LinkdIn</vt:lpstr>
      <vt:lpstr>Task 6.3</vt:lpstr>
      <vt:lpstr>Task 6.3.</vt:lpstr>
      <vt:lpstr>Task 6.4.</vt:lpstr>
      <vt:lpstr>Task 6.4</vt:lpstr>
      <vt:lpstr>Video Link</vt:lpstr>
      <vt:lpstr>Task 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Mahto</dc:creator>
  <cp:lastModifiedBy>Nihal Mahto</cp:lastModifiedBy>
  <dcterms:created xsi:type="dcterms:W3CDTF">2025-11-11T18:49:48Z</dcterms:created>
  <dcterms:modified xsi:type="dcterms:W3CDTF">2025-11-17T19:11:24Z</dcterms:modified>
</cp:coreProperties>
</file>