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1BE867CD8ECC0/Documents/"/>
    </mc:Choice>
  </mc:AlternateContent>
  <xr:revisionPtr revIDLastSave="1215" documentId="8_{506F4125-3A9F-4232-84B5-9F30AB1B9F1E}" xr6:coauthVersionLast="47" xr6:coauthVersionMax="47" xr10:uidLastSave="{8D5AC2DD-BE80-4F49-80E0-2086B070A995}"/>
  <bookViews>
    <workbookView xWindow="-108" yWindow="-108" windowWidth="23256" windowHeight="12456" firstSheet="1" activeTab="6" xr2:uid="{B2D02AC6-3761-4C3C-AE02-B0AD485A41EF}"/>
  </bookViews>
  <sheets>
    <sheet name="DataSets" sheetId="1" r:id="rId1"/>
    <sheet name="Posts" sheetId="9" r:id="rId2"/>
    <sheet name="Campaign" sheetId="10" r:id="rId3"/>
    <sheet name="Task 3.1" sheetId="14" r:id="rId4"/>
    <sheet name="Task 3.2" sheetId="6" r:id="rId5"/>
    <sheet name="Task 3.3" sheetId="7" r:id="rId6"/>
    <sheet name="Task 3.4" sheetId="8" r:id="rId7"/>
  </sheets>
  <definedNames>
    <definedName name="ExternalData_1" localSheetId="0" hidden="1">DataSets!$A$1:$M$301</definedName>
    <definedName name="ExternalData_1" localSheetId="1" hidden="1">Posts!$A$1:$M$301</definedName>
    <definedName name="ExternalData_1" localSheetId="4" hidden="1">'Task 3.2'!$A$1:$H$201</definedName>
    <definedName name="ExternalData_1" localSheetId="5" hidden="1">'Task 3.3'!$A$1:$H$201</definedName>
  </definedNames>
  <calcPr calcId="191029"/>
  <pivotCaches>
    <pivotCache cacheId="24" r:id="rId8"/>
    <pivotCache cacheId="5" r:id="rId9"/>
    <pivotCache cacheId="11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_876560e8-c08f-46bd-8840-afc58de87dd6" name="Campaign" connection="Query - Campaign"/>
          <x15:modelTable id="Posts_b9bfafbb-0245-46ac-a0d1-18d83607df21" name="Posts" connection="Query - Posts"/>
        </x15:modelTables>
        <x15:modelRelationships>
          <x15:modelRelationship fromTable="Posts" fromColumn="Campaign" toTable="Campaign" toColumn="Campaig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4" l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O3" i="7"/>
  <c r="O4" i="7"/>
  <c r="O5" i="7"/>
  <c r="O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0394B4-3B2D-45FD-8B8D-4493655A07E8}" name="Query - Campaign" description="Connection to the 'Campaign' query in the workbook." type="100" refreshedVersion="8" minRefreshableVersion="5">
    <extLst>
      <ext xmlns:x15="http://schemas.microsoft.com/office/spreadsheetml/2010/11/main" uri="{DE250136-89BD-433C-8126-D09CA5730AF9}">
        <x15:connection id="488d9126-c3e7-400b-840a-29a790d4c0a1"/>
      </ext>
    </extLst>
  </connection>
  <connection id="2" xr16:uid="{445F523C-758A-4C20-9F23-DF783463CE93}" name="Query - Posts" description="Connection to the 'Posts' query in the workbook." type="100" refreshedVersion="8" minRefreshableVersion="5">
    <extLst>
      <ext xmlns:x15="http://schemas.microsoft.com/office/spreadsheetml/2010/11/main" uri="{DE250136-89BD-433C-8126-D09CA5730AF9}">
        <x15:connection id="d2d35bb4-9385-4db8-bc2e-4fdc1d8b08b2"/>
      </ext>
    </extLst>
  </connection>
  <connection id="3" xr16:uid="{97E5D8CF-46F2-4D20-966D-604D205B86F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<sst xmlns="http://schemas.openxmlformats.org/spreadsheetml/2006/main" count="5305" uniqueCount="410">
  <si>
    <t>A1</t>
  </si>
  <si>
    <t>YouTube</t>
  </si>
  <si>
    <t>Image</t>
  </si>
  <si>
    <t>#AppleWatchUltra2,#HealthTech</t>
  </si>
  <si>
    <t>Apple Watch Ultra 2 Launch</t>
  </si>
  <si>
    <t>A2</t>
  </si>
  <si>
    <t>LinkedIn</t>
  </si>
  <si>
    <t>#MacBookAirM3,#AppleInnovation</t>
  </si>
  <si>
    <t>Apple Event September 2025</t>
  </si>
  <si>
    <t>A3</t>
  </si>
  <si>
    <t>Instagram</t>
  </si>
  <si>
    <t>Tweet</t>
  </si>
  <si>
    <t>#AppleDesign,#Innovation</t>
  </si>
  <si>
    <t>Sustainability Awareness Drive</t>
  </si>
  <si>
    <t>A4</t>
  </si>
  <si>
    <t>Video</t>
  </si>
  <si>
    <t>#AppleEvent,#iPadPro</t>
  </si>
  <si>
    <t>iPhone 16 Launch</t>
  </si>
  <si>
    <t>A5</t>
  </si>
  <si>
    <t>A6</t>
  </si>
  <si>
    <t>#ShotOniPhone</t>
  </si>
  <si>
    <t>A7</t>
  </si>
  <si>
    <t>Carousel</t>
  </si>
  <si>
    <t>#AppleMusic,#AppleLifestyle</t>
  </si>
  <si>
    <t>A8</t>
  </si>
  <si>
    <t>#AppleWatch,#Health</t>
  </si>
  <si>
    <t>A9</t>
  </si>
  <si>
    <t>A10</t>
  </si>
  <si>
    <t>Twitter</t>
  </si>
  <si>
    <t>#iPhone16Launch,#AppleEvent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</si>
  <si>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</si>
  <si>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</si>
  <si>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</si>
  <si>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</si>
  <si>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</si>
  <si>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</si>
  <si>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</si>
  <si>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</si>
  <si>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#AppleEvent,#iPhone16</t>
  </si>
  <si>
    <t>A18</t>
  </si>
  <si>
    <t>A19</t>
  </si>
  <si>
    <t>A20</t>
  </si>
  <si>
    <t>A21</t>
  </si>
  <si>
    <t>#iPhonePhotography,#ShotOniPhone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</si>
  <si>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</si>
  <si>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</si>
  <si>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</si>
  <si>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</si>
  <si>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</si>
  <si>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</si>
  <si>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</si>
  <si>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</si>
  <si>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</si>
  <si>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</si>
  <si>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</si>
  <si>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</si>
  <si>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</si>
  <si>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</si>
  <si>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</si>
  <si>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</si>
  <si>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</si>
  <si>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</si>
  <si>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</si>
  <si>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</si>
  <si>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</si>
  <si>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</si>
  <si>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</si>
  <si>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</si>
  <si>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</si>
  <si>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</si>
  <si>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</si>
  <si>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</si>
  <si>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</si>
  <si>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</si>
  <si>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</si>
  <si>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</si>
  <si>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</si>
  <si>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</si>
  <si>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</si>
  <si>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</si>
  <si>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</si>
  <si>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</si>
  <si>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</si>
  <si>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</si>
  <si>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</si>
  <si>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</si>
  <si>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</si>
  <si>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</si>
  <si>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</si>
  <si>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</si>
  <si>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</si>
  <si>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</si>
  <si>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</si>
  <si>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</si>
  <si>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</si>
  <si>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</si>
  <si>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</si>
  <si>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</si>
  <si>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</si>
  <si>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</si>
  <si>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</si>
  <si>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</si>
  <si>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</si>
  <si>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</si>
  <si>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</si>
  <si>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</si>
  <si>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</si>
  <si>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</si>
  <si>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</si>
  <si>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</si>
  <si>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</si>
  <si>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</si>
  <si>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</si>
  <si>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</si>
  <si>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</si>
  <si>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</si>
  <si>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</si>
  <si>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</si>
  <si>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</si>
  <si>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</si>
  <si>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</si>
  <si>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</si>
  <si>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</si>
  <si>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</si>
  <si>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</si>
  <si>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</si>
  <si>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</si>
  <si>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</si>
  <si>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</si>
  <si>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</si>
  <si>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</si>
  <si>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</si>
  <si>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</si>
  <si>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</si>
  <si>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</si>
  <si>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</si>
  <si>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</si>
  <si>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</si>
  <si>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</si>
  <si>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</si>
  <si>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</si>
  <si>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</si>
  <si>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</si>
  <si>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</si>
  <si>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</si>
  <si>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</si>
  <si>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</si>
  <si>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</si>
  <si>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</si>
  <si>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</si>
  <si>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</si>
  <si>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</si>
  <si>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</si>
  <si>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</si>
  <si>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</si>
  <si>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</si>
  <si>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</si>
  <si>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</si>
  <si>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</si>
  <si>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</si>
  <si>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</si>
  <si>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</si>
  <si>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</si>
  <si>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</si>
  <si>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</si>
  <si>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</si>
  <si>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</si>
  <si>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</si>
  <si>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</si>
  <si>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</si>
  <si>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</si>
  <si>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</si>
  <si>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</si>
  <si>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</si>
  <si>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</si>
  <si>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</si>
  <si>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</si>
  <si>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</si>
  <si>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</si>
  <si>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</si>
  <si>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</si>
  <si>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</si>
  <si>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</si>
  <si>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</si>
  <si>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</si>
  <si>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</si>
  <si>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</si>
  <si>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</si>
  <si>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</si>
  <si>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</si>
  <si>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</si>
  <si>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</si>
  <si>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</si>
  <si>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</si>
  <si>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</si>
  <si>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</si>
  <si>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</si>
  <si>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</si>
  <si>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</si>
  <si>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</si>
  <si>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</si>
  <si>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</si>
  <si>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</si>
  <si>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</si>
  <si>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</si>
  <si>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</si>
  <si>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</si>
  <si>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</si>
  <si>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</si>
  <si>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</si>
  <si>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</si>
  <si>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</si>
  <si>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</si>
  <si>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</si>
  <si>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</si>
  <si>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</si>
  <si>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</si>
  <si>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</si>
  <si>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</si>
  <si>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</si>
  <si>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</si>
  <si>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</si>
  <si>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</si>
  <si>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</si>
  <si>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</si>
  <si>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</si>
  <si>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</si>
  <si>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</si>
  <si>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</si>
  <si>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</si>
  <si>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</si>
  <si>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</si>
  <si>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</si>
  <si>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</si>
  <si>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</si>
  <si>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</si>
  <si>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</si>
  <si>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</si>
  <si>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</si>
  <si>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</si>
  <si>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</si>
  <si>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</si>
  <si>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</si>
  <si>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</si>
  <si>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</si>
  <si>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</si>
  <si>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</si>
  <si>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</si>
  <si>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</si>
  <si>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</si>
  <si>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</si>
  <si>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</si>
  <si>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</si>
  <si>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</si>
  <si>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</si>
  <si>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</si>
  <si>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</si>
  <si>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</si>
  <si>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</si>
  <si>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</si>
  <si>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</si>
  <si>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</si>
  <si>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</si>
  <si>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</si>
  <si>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</si>
  <si>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</si>
  <si>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</si>
  <si>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</si>
  <si>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</si>
  <si>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</si>
  <si>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</si>
  <si>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</si>
  <si>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</si>
  <si>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</si>
  <si>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</si>
  <si>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</si>
  <si>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</si>
  <si>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</si>
  <si>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</si>
  <si>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</si>
  <si>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</si>
  <si>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</si>
  <si>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</si>
  <si>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</si>
  <si>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</si>
  <si>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</si>
  <si>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</si>
  <si>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</si>
  <si>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</si>
  <si>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</si>
  <si>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</si>
  <si>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</si>
  <si>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</si>
  <si>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</si>
  <si>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</si>
  <si>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</si>
  <si>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</si>
  <si>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</si>
  <si>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</si>
  <si>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</si>
  <si>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</si>
  <si>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</si>
  <si>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</si>
  <si>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</si>
  <si>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</si>
  <si>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</si>
  <si>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</si>
  <si>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</si>
  <si>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</si>
  <si>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</si>
  <si>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</si>
  <si>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</si>
  <si>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</si>
  <si>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</si>
  <si>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</si>
  <si>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</si>
  <si>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</si>
  <si>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</si>
  <si>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</si>
  <si>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</si>
  <si>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</si>
  <si>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</si>
  <si>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</si>
  <si>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</si>
  <si>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</si>
  <si>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</si>
  <si>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</si>
  <si>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</si>
  <si>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</si>
  <si>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</si>
  <si>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</si>
  <si>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</si>
  <si>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</si>
  <si>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</si>
  <si>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</si>
  <si>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</si>
  <si>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Engagement Rate</t>
  </si>
  <si>
    <t>Campaign</t>
  </si>
  <si>
    <t>Percentage(%) --&gt; Set 2 decimal places</t>
  </si>
  <si>
    <t>Click any cells --&gt; Insert --&gt; Pivot table --&gt; Existing  WorkSheet --&gt;</t>
  </si>
  <si>
    <t>value field setting --&gt; average</t>
  </si>
  <si>
    <t xml:space="preserve">Task 3: Platform Analysis </t>
  </si>
  <si>
    <t>3.1)   Identify the platform with highest engagement</t>
  </si>
  <si>
    <t>(e.g., Twitter for announcements vs. 
YouTube for product demos)</t>
  </si>
  <si>
    <t>Week_Start_Date</t>
  </si>
  <si>
    <t>New_Followers</t>
  </si>
  <si>
    <t>Unfollows</t>
  </si>
  <si>
    <t>Total_Followers</t>
  </si>
  <si>
    <t>Engagement_Rate</t>
  </si>
  <si>
    <t>Ad_Spend</t>
  </si>
  <si>
    <t>Sustainability Branding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</si>
  <si>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</si>
  <si>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</si>
  <si>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</si>
  <si>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</si>
  <si>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</si>
  <si>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</si>
  <si>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</si>
  <si>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</si>
  <si>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Brand Engagement</t>
  </si>
  <si>
    <t>Row Labels</t>
  </si>
  <si>
    <t>Grand Total</t>
  </si>
  <si>
    <t>Average of Engagement Rate</t>
  </si>
  <si>
    <t>Average of Engagement_Rate</t>
  </si>
  <si>
    <t>Column Labels</t>
  </si>
  <si>
    <t>3.2)   Compare follower growth rates across platforms</t>
  </si>
  <si>
    <t>Follower Growth Rate</t>
  </si>
  <si>
    <t>Average of Follower Growth Rate</t>
  </si>
  <si>
    <t>Power Query --&gt; Add Column --&gt; Custom Column --&gt;</t>
  </si>
  <si>
    <t>Follower Growth Rate = (New Followers - Unfollows) / Total Followers</t>
  </si>
  <si>
    <t>Follower Growth Rate--&gt; Home --&gt;</t>
  </si>
  <si>
    <t>Drag Platform to rows &amp; Follower Growth Rate rate to values --&gt;</t>
  </si>
  <si>
    <t>3.3)   Visualize Engagement vs. Ad Spend per platform.</t>
  </si>
  <si>
    <t>Average of Ad_Spend</t>
  </si>
  <si>
    <t>Pivot table --&gt;</t>
  </si>
  <si>
    <t>Drag Platform to rows &amp; engagement rate and ad spend  to values --&gt;</t>
  </si>
  <si>
    <t>Insert --&gt; Pivot Chart --&gt; Line Chart</t>
  </si>
  <si>
    <t>Should they focus on YouTube + Instagram (videos + visuals) or</t>
  </si>
  <si>
    <t xml:space="preserve">continue a multi-platform strategy? </t>
  </si>
  <si>
    <t xml:space="preserve">3.4)   Advise Apple’s team:  </t>
  </si>
  <si>
    <t>value field setting --&gt; average for both engegement rate and ad spend --&gt;</t>
  </si>
  <si>
    <t>Select Avg enagement rate--&gt; sort&amp;filter --&gt; largest to smallest</t>
  </si>
  <si>
    <t xml:space="preserve">YouTube and Twitter has performed better than Instagram &amp; LinkdIn </t>
  </si>
  <si>
    <t xml:space="preserve">So if we conclude </t>
  </si>
  <si>
    <t xml:space="preserve">1)   Apple should increase their budget for you tube platform </t>
  </si>
  <si>
    <t xml:space="preserve">2)   Apple should decrease their budget for LinkdIn platform </t>
  </si>
  <si>
    <t>_If we talk about which platform has better engagement in terms of posting , it is twitter</t>
  </si>
  <si>
    <t>_If we comapre follower growth rates across platforms :</t>
  </si>
  <si>
    <t xml:space="preserve">_YouTube Has the highest ROI in term of engagement  where as </t>
  </si>
  <si>
    <t xml:space="preserve">_LinkdIn has the lowest ROI in term of engagement </t>
  </si>
  <si>
    <t>5)   For Twitter they should post less image and more Carousel&gt;Tweet&gt;video</t>
  </si>
  <si>
    <t>4)   For you tube they should post more videos and  Carousel</t>
  </si>
  <si>
    <t>3)   Apple should post more on You Tube and  twiter</t>
  </si>
  <si>
    <t>6)  as for instgram apple should continue with the previous strategies with same budget</t>
  </si>
  <si>
    <t>Ad Spend per Engagment</t>
  </si>
  <si>
    <t>Brand Engagement Total</t>
  </si>
  <si>
    <t>Health &amp; Fitness Awareness Total</t>
  </si>
  <si>
    <t>Product Launch Total</t>
  </si>
  <si>
    <t>Product Promotion Total</t>
  </si>
  <si>
    <t>Sustainability Branding Total</t>
  </si>
  <si>
    <t>Create in column in post dataset --&gt;Name  obejctive  --&gt;</t>
  </si>
  <si>
    <t xml:space="preserve">Use XLOOKUP fuction --&gt; </t>
  </si>
  <si>
    <t>Pivot table --&gt; Platform in rows  &amp; obejective in column   --&gt;</t>
  </si>
  <si>
    <t>Avg Engagement Ratein values</t>
  </si>
  <si>
    <t>Twitter for Brand Enagagement</t>
  </si>
  <si>
    <t>You tube for Health &amp; fitness awareness and product launch</t>
  </si>
  <si>
    <t>LindkIn for Health &amp; Fitness awarness</t>
  </si>
  <si>
    <t>instgram for Health &amp; Fitness awarness</t>
  </si>
  <si>
    <t>Using Post &amp; Campaign Dataset</t>
  </si>
  <si>
    <t>Using Engagement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</si>
</sst>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3" fillId="2" borderId="1" xfId="0" applyFont="1" applyFill="1" applyBorder="1" applyAlignment="1">
      <alignment horizontal="center" vertical="top"/>
    </xf>
    <xf numFmtId="14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 vertical="top"/>
    </xf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3" fontId="0" fillId="5" borderId="0" xfId="0" applyNumberFormat="1" applyFill="1"/>
  </cellXfs>
  <cellStyles count="2">
    <cellStyle name="Normal" xfId="0" builtinId="0"/>
    <cellStyle name="Percent" xfId="1" builtinId="5"/>
  </cellStyles>
  <dxfs count="60">
    <dxf>
      <numFmt numFmtId="3" formatCode="#,##0"/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" formatCode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[$$-409]#,##0"/>
    </dxf>
    <dxf>
      <numFmt numFmtId="2" formatCode="0.0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[$$-409]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3).xlsx]Task 3.1!PivotTable39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Platform</a:t>
            </a:r>
            <a:r>
              <a:rPr lang="en-IN" b="1" baseline="0">
                <a:solidFill>
                  <a:schemeClr val="tx1"/>
                </a:solidFill>
              </a:rPr>
              <a:t> with highest Engagement &amp; Objective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3.1'!$R$10:$R$12</c:f>
              <c:strCache>
                <c:ptCount val="1"/>
                <c:pt idx="0">
                  <c:v>Brand Engagement - Apple Event September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3.1'!$Q$13:$Q$17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3.1'!$R$13:$R$17</c:f>
              <c:numCache>
                <c:formatCode>0.00%</c:formatCode>
                <c:ptCount val="4"/>
                <c:pt idx="0">
                  <c:v>0.13193785434850411</c:v>
                </c:pt>
                <c:pt idx="1">
                  <c:v>0.11210848008990094</c:v>
                </c:pt>
                <c:pt idx="2">
                  <c:v>0.14856462389631164</c:v>
                </c:pt>
                <c:pt idx="3">
                  <c:v>0.10380076283527792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0-4AA9-BC30-3534E6BFCFD1}"/>
            </c:ext>
          </c:extLst>
        </c:ser>
        <c:ser>
          <c:idx val="1"/>
          <c:order val="1"/>
          <c:tx>
            <c:strRef>
              <c:f>'Task 3.1'!$T$10:$T$12</c:f>
              <c:strCache>
                <c:ptCount val="1"/>
                <c:pt idx="0">
                  <c:v>Health &amp; Fitness Awareness - Apple Watch Ultra 2 Launch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3.1'!$Q$13:$Q$17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3.1'!$T$13:$T$17</c:f>
              <c:numCache>
                <c:formatCode>0.00%</c:formatCode>
                <c:ptCount val="4"/>
                <c:pt idx="0">
                  <c:v>0.13679934102902538</c:v>
                </c:pt>
                <c:pt idx="1">
                  <c:v>0.14411910434722347</c:v>
                </c:pt>
                <c:pt idx="2">
                  <c:v>0.14307309794424525</c:v>
                </c:pt>
                <c:pt idx="3">
                  <c:v>0.11973747697801151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A0-4AA9-BC30-3534E6BFCFD1}"/>
            </c:ext>
          </c:extLst>
        </c:ser>
        <c:ser>
          <c:idx val="2"/>
          <c:order val="2"/>
          <c:tx>
            <c:strRef>
              <c:f>'Task 3.1'!$V$10:$V$12</c:f>
              <c:strCache>
                <c:ptCount val="1"/>
                <c:pt idx="0">
                  <c:v>Product Launch - iPhone 16 Launch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3.1'!$Q$13:$Q$17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3.1'!$V$13:$V$17</c:f>
              <c:numCache>
                <c:formatCode>0.00%</c:formatCode>
                <c:ptCount val="4"/>
                <c:pt idx="0">
                  <c:v>9.6402731063359948E-2</c:v>
                </c:pt>
                <c:pt idx="1">
                  <c:v>0.12843164970490334</c:v>
                </c:pt>
                <c:pt idx="2">
                  <c:v>0.13526760440979543</c:v>
                </c:pt>
                <c:pt idx="3">
                  <c:v>0.11995588178006254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A0-4AA9-BC30-3534E6BFCFD1}"/>
            </c:ext>
          </c:extLst>
        </c:ser>
        <c:ser>
          <c:idx val="3"/>
          <c:order val="3"/>
          <c:tx>
            <c:strRef>
              <c:f>'Task 3.1'!$X$10:$X$12</c:f>
              <c:strCache>
                <c:ptCount val="1"/>
                <c:pt idx="0">
                  <c:v>Product Promotion - MacBook Air M3 Campaign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3.1'!$Q$13:$Q$17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3.1'!$X$13:$X$17</c:f>
              <c:numCache>
                <c:formatCode>0.00%</c:formatCode>
                <c:ptCount val="4"/>
                <c:pt idx="0">
                  <c:v>9.5602169814834631E-2</c:v>
                </c:pt>
                <c:pt idx="1">
                  <c:v>0.12478605127228276</c:v>
                </c:pt>
                <c:pt idx="2">
                  <c:v>0.14429364934468705</c:v>
                </c:pt>
                <c:pt idx="3">
                  <c:v>0.1155935295499342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A0-4AA9-BC30-3534E6BFCFD1}"/>
            </c:ext>
          </c:extLst>
        </c:ser>
        <c:ser>
          <c:idx val="4"/>
          <c:order val="4"/>
          <c:tx>
            <c:strRef>
              <c:f>'Task 3.1'!$Z$10:$Z$12</c:f>
              <c:strCache>
                <c:ptCount val="1"/>
                <c:pt idx="0">
                  <c:v>Sustainability Branding - Sustainability Awareness 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3.1'!$Q$13:$Q$17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3.1'!$Z$13:$Z$17</c:f>
              <c:numCache>
                <c:formatCode>0.00%</c:formatCode>
                <c:ptCount val="4"/>
                <c:pt idx="0">
                  <c:v>0.11414924007707976</c:v>
                </c:pt>
                <c:pt idx="1">
                  <c:v>0.10208449749241441</c:v>
                </c:pt>
                <c:pt idx="2">
                  <c:v>0.1271869444053508</c:v>
                </c:pt>
                <c:pt idx="3">
                  <c:v>0.10497763485843795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A0-4AA9-BC30-3534E6BF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944927"/>
        <c:axId val="908961727"/>
      </c:barChart>
      <c:catAx>
        <c:axId val="90894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61727"/>
        <c:crosses val="autoZero"/>
        <c:auto val="1"/>
        <c:lblAlgn val="ctr"/>
        <c:lblOffset val="100"/>
        <c:noMultiLvlLbl val="0"/>
      </c:catAx>
      <c:valAx>
        <c:axId val="9089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</a:t>
                </a:r>
                <a:r>
                  <a:rPr lang="en-IN" b="1" baseline="0">
                    <a:solidFill>
                      <a:schemeClr val="tx1"/>
                    </a:solidFill>
                  </a:rPr>
                  <a:t> Engagement Rate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4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3).xlsx]Task 3.2!PivotTable13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Avg</a:t>
            </a:r>
            <a:r>
              <a:rPr lang="en-US" b="1" baseline="0">
                <a:solidFill>
                  <a:schemeClr val="tx1"/>
                </a:solidFill>
              </a:rPr>
              <a:t> Follower Growth Rate Per Platform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1851851851851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7267E-3"/>
              <c:y val="-0.324074074074074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33CC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10892388451443"/>
          <c:y val="0.13467592592592592"/>
          <c:w val="0.82533552055992998"/>
          <c:h val="0.697160615339749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'Task 3.2'!$M$3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45-48B0-AD2D-FD097151399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5-48B0-AD2D-FD0971513994}"/>
              </c:ext>
            </c:extLst>
          </c:dPt>
          <c:dPt>
            <c:idx val="2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45-48B0-AD2D-FD0971513994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5-48B0-AD2D-FD0971513994}"/>
              </c:ext>
            </c:extLst>
          </c:dPt>
          <c:dLbls>
            <c:dLbl>
              <c:idx val="0"/>
              <c:layout>
                <c:manualLayout>
                  <c:x val="-2.5462668816039986E-17"/>
                  <c:y val="-0.351851851851851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5-48B0-AD2D-FD0971513994}"/>
                </c:ext>
              </c:extLst>
            </c:dLbl>
            <c:dLbl>
              <c:idx val="1"/>
              <c:layout>
                <c:manualLayout>
                  <c:x val="2.7777777777777267E-3"/>
                  <c:y val="-0.324074074074074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5-48B0-AD2D-FD0971513994}"/>
                </c:ext>
              </c:extLst>
            </c:dLbl>
            <c:dLbl>
              <c:idx val="2"/>
              <c:layout>
                <c:manualLayout>
                  <c:x val="-1.0185067526415994E-16"/>
                  <c:y val="-0.296296296296296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5-48B0-AD2D-FD0971513994}"/>
                </c:ext>
              </c:extLst>
            </c:dLbl>
            <c:dLbl>
              <c:idx val="3"/>
              <c:layout>
                <c:manualLayout>
                  <c:x val="-1.0185067526415994E-16"/>
                  <c:y val="-0.240740740740740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45-48B0-AD2D-FD0971513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3.2'!$L$4:$L$8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3.2'!$M$4:$M$8</c:f>
              <c:numCache>
                <c:formatCode>0.00%</c:formatCode>
                <c:ptCount val="4"/>
                <c:pt idx="0">
                  <c:v>1.4194033565547484E-2</c:v>
                </c:pt>
                <c:pt idx="1">
                  <c:v>1.3764361711969261E-2</c:v>
                </c:pt>
                <c:pt idx="2">
                  <c:v>1.2030686217981614E-2</c:v>
                </c:pt>
                <c:pt idx="3">
                  <c:v>9.4286447506565681E-3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5-48B0-AD2D-FD09715139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5547791"/>
        <c:axId val="1775530031"/>
      </c:barChart>
      <c:catAx>
        <c:axId val="177554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Platform</a:t>
                </a:r>
              </a:p>
            </c:rich>
          </c:tx>
          <c:layout>
            <c:manualLayout>
              <c:xMode val="edge"/>
              <c:yMode val="edge"/>
              <c:x val="0.44938779527559053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30031"/>
        <c:crosses val="autoZero"/>
        <c:auto val="1"/>
        <c:lblAlgn val="ctr"/>
        <c:lblOffset val="100"/>
        <c:noMultiLvlLbl val="0"/>
      </c:catAx>
      <c:valAx>
        <c:axId val="1775530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</a:t>
                </a:r>
                <a:r>
                  <a:rPr lang="en-IN" b="1" baseline="0">
                    <a:solidFill>
                      <a:schemeClr val="tx1"/>
                    </a:solidFill>
                  </a:rPr>
                  <a:t> Follower Growth Rate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23219123651210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4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3).xlsx]Task 3.3!PivotTable15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Engagement vs</a:t>
            </a:r>
            <a:r>
              <a:rPr lang="en-IN" b="1" baseline="0">
                <a:solidFill>
                  <a:schemeClr val="tx1"/>
                </a:solidFill>
              </a:rPr>
              <a:t> Ad Spend per Platform</a:t>
            </a:r>
          </a:p>
        </c:rich>
      </c:tx>
      <c:layout>
        <c:manualLayout>
          <c:xMode val="edge"/>
          <c:yMode val="edge"/>
          <c:x val="0.22286975065616799"/>
          <c:y val="2.3282887077997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rgbClr val="FF0000"/>
          </a:solidFill>
          <a:ln>
            <a:noFill/>
          </a:ln>
          <a:effectLst/>
        </c:spPr>
      </c:pivotFmt>
      <c:pivotFmt>
        <c:idx val="20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8840579710144928E-2"/>
              <c:y val="7.37291424136592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rgbClr val="FF33CC"/>
          </a:solidFill>
          <a:ln>
            <a:noFill/>
          </a:ln>
          <a:effectLst/>
        </c:spPr>
        <c:dLbl>
          <c:idx val="0"/>
          <c:layout>
            <c:manualLayout>
              <c:x val="-6.8840579710144997E-2"/>
              <c:y val="6.9848661233992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rgbClr val="00B0F0"/>
          </a:solidFill>
          <a:ln>
            <a:noFill/>
          </a:ln>
          <a:effectLst/>
        </c:spPr>
      </c:pivotFmt>
      <c:pivotFmt>
        <c:idx val="20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8985507246376812E-2"/>
              <c:y val="-3.88048117966628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362318840579743E-2"/>
              <c:y val="-3.49243306169965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855072463768182E-2"/>
              <c:y val="-4.26852929763291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355072463768116E-2"/>
              <c:y val="-7.11413331297973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15452755905512"/>
          <c:y val="0.15944897167248739"/>
          <c:w val="0.79162713254593176"/>
          <c:h val="0.71124056233366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3.3'!$M$1</c:f>
              <c:strCache>
                <c:ptCount val="1"/>
                <c:pt idx="0">
                  <c:v>Average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E27-4AE6-94B3-2F5215685A9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7-4AE6-94B3-2F5215685A9C}"/>
              </c:ext>
            </c:extLst>
          </c:dPt>
          <c:dPt>
            <c:idx val="2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27-4AE6-94B3-2F5215685A9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7-4AE6-94B3-2F5215685A9C}"/>
              </c:ext>
            </c:extLst>
          </c:dPt>
          <c:dLbls>
            <c:dLbl>
              <c:idx val="1"/>
              <c:layout>
                <c:manualLayout>
                  <c:x val="-6.8840579710144928E-2"/>
                  <c:y val="7.37291424136592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27-4AE6-94B3-2F5215685A9C}"/>
                </c:ext>
              </c:extLst>
            </c:dLbl>
            <c:dLbl>
              <c:idx val="2"/>
              <c:layout>
                <c:manualLayout>
                  <c:x val="-6.8840579710144997E-2"/>
                  <c:y val="6.9848661233992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27-4AE6-94B3-2F5215685A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3.3'!$L$2:$L$5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3.3'!$M$2:$M$5</c:f>
              <c:numCache>
                <c:formatCode>[$$-409]#,##0</c:formatCode>
                <c:ptCount val="4"/>
                <c:pt idx="0">
                  <c:v>31374.90243902439</c:v>
                </c:pt>
                <c:pt idx="1">
                  <c:v>35360.056603773584</c:v>
                </c:pt>
                <c:pt idx="2">
                  <c:v>34821.23529411765</c:v>
                </c:pt>
                <c:pt idx="3">
                  <c:v>36191.327272727271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A-45D5-864E-EDD513E94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46358975"/>
        <c:axId val="446359455"/>
      </c:barChart>
      <c:lineChart>
        <c:grouping val="standard"/>
        <c:varyColors val="0"/>
        <c:ser>
          <c:idx val="1"/>
          <c:order val="1"/>
          <c:tx>
            <c:strRef>
              <c:f>'Task 3.3'!$N$1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362318840579743E-2"/>
                  <c:y val="-3.4924330616996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27-4AE6-94B3-2F5215685A9C}"/>
                </c:ext>
              </c:extLst>
            </c:dLbl>
            <c:dLbl>
              <c:idx val="1"/>
              <c:layout>
                <c:manualLayout>
                  <c:x val="-2.8985507246376812E-2"/>
                  <c:y val="-3.8804811796662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27-4AE6-94B3-2F5215685A9C}"/>
                </c:ext>
              </c:extLst>
            </c:dLbl>
            <c:dLbl>
              <c:idx val="2"/>
              <c:layout>
                <c:manualLayout>
                  <c:x val="-3.9855072463768182E-2"/>
                  <c:y val="-4.2685292976329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27-4AE6-94B3-2F5215685A9C}"/>
                </c:ext>
              </c:extLst>
            </c:dLbl>
            <c:dLbl>
              <c:idx val="3"/>
              <c:layout>
                <c:manualLayout>
                  <c:x val="2.355072463768116E-2"/>
                  <c:y val="-7.11413331297973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27-4AE6-94B3-2F5215685A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3.3'!$L$2:$L$5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3.3'!$N$2:$N$5</c:f>
              <c:numCache>
                <c:formatCode>0.00</c:formatCode>
                <c:ptCount val="4"/>
                <c:pt idx="0">
                  <c:v>17.599262914182141</c:v>
                </c:pt>
                <c:pt idx="1">
                  <c:v>17.480513118999934</c:v>
                </c:pt>
                <c:pt idx="2">
                  <c:v>15.559291798886182</c:v>
                </c:pt>
                <c:pt idx="3">
                  <c:v>14.067998324800023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A-45D5-864E-EDD513E94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627056"/>
        <c:axId val="1351608816"/>
      </c:lineChart>
      <c:catAx>
        <c:axId val="44635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Platform</a:t>
                </a:r>
              </a:p>
            </c:rich>
          </c:tx>
          <c:layout>
            <c:manualLayout>
              <c:xMode val="edge"/>
              <c:yMode val="edge"/>
              <c:x val="0.45775459317585304"/>
              <c:y val="0.9409971308883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59455"/>
        <c:crosses val="autoZero"/>
        <c:auto val="1"/>
        <c:lblAlgn val="ctr"/>
        <c:lblOffset val="100"/>
        <c:noMultiLvlLbl val="0"/>
      </c:catAx>
      <c:valAx>
        <c:axId val="446359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</a:t>
                </a:r>
                <a:r>
                  <a:rPr lang="en-IN" b="1" baseline="0">
                    <a:solidFill>
                      <a:schemeClr val="tx1"/>
                    </a:solidFill>
                  </a:rPr>
                  <a:t> Ad Spend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4.1666666666666666E-3"/>
              <c:y val="0.36698993824840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58975"/>
        <c:crosses val="autoZero"/>
        <c:crossBetween val="between"/>
      </c:valAx>
      <c:valAx>
        <c:axId val="1351608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</a:t>
                </a:r>
                <a:r>
                  <a:rPr lang="en-IN" b="1" baseline="0">
                    <a:solidFill>
                      <a:schemeClr val="tx1"/>
                    </a:solidFill>
                  </a:rPr>
                  <a:t> </a:t>
                </a:r>
                <a:r>
                  <a:rPr lang="en-GB" b="1" baseline="0">
                    <a:solidFill>
                      <a:schemeClr val="tx1"/>
                    </a:solidFill>
                  </a:rPr>
                  <a:t>Engagement Rate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27056"/>
        <c:crosses val="max"/>
        <c:crossBetween val="between"/>
      </c:valAx>
      <c:catAx>
        <c:axId val="1351627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160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77059796873214"/>
          <c:y val="3.9574797038612426E-3"/>
          <c:w val="0.24222940203126783"/>
          <c:h val="0.13096715646283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59492563429571"/>
          <c:y val="0.17171296296296296"/>
          <c:w val="0.82984951881014868"/>
          <c:h val="0.6508643190434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3.3'!$V$1</c:f>
              <c:strCache>
                <c:ptCount val="1"/>
                <c:pt idx="0">
                  <c:v>Ad Spend per Engagment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6C-4E77-9B71-7B9B1DE7941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6C-4E77-9B71-7B9B1DE79415}"/>
              </c:ext>
            </c:extLst>
          </c:dPt>
          <c:dPt>
            <c:idx val="2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C-4E77-9B71-7B9B1DE7941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6C-4E77-9B71-7B9B1DE794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3.3'!$U$2:$U$5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3.3'!$V$2:$V$5</c:f>
              <c:numCache>
                <c:formatCode>0</c:formatCode>
                <c:ptCount val="4"/>
                <c:pt idx="0">
                  <c:v>1782.7395722204551</c:v>
                </c:pt>
                <c:pt idx="1">
                  <c:v>2022.8271540461819</c:v>
                </c:pt>
                <c:pt idx="2">
                  <c:v>2237.9704516249476</c:v>
                </c:pt>
                <c:pt idx="3">
                  <c:v>2572.5996291118931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C-4E77-9B71-7B9B1DE794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9111007"/>
        <c:axId val="909117247"/>
      </c:barChart>
      <c:catAx>
        <c:axId val="90911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Platform</a:t>
                </a:r>
              </a:p>
            </c:rich>
          </c:tx>
          <c:layout>
            <c:manualLayout>
              <c:xMode val="edge"/>
              <c:yMode val="edge"/>
              <c:x val="0.45129746281714789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17247"/>
        <c:crosses val="autoZero"/>
        <c:auto val="1"/>
        <c:lblAlgn val="ctr"/>
        <c:lblOffset val="100"/>
        <c:noMultiLvlLbl val="0"/>
      </c:catAx>
      <c:valAx>
        <c:axId val="909117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Ad Spend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9588363954505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1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17</xdr:row>
      <xdr:rowOff>163830</xdr:rowOff>
    </xdr:from>
    <xdr:to>
      <xdr:col>19</xdr:col>
      <xdr:colOff>327660</xdr:colOff>
      <xdr:row>32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0A3BE-8946-8AB0-8BDD-4B863C6CB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2</xdr:row>
      <xdr:rowOff>11430</xdr:rowOff>
    </xdr:from>
    <xdr:to>
      <xdr:col>20</xdr:col>
      <xdr:colOff>419100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FD5E0-EFDE-C93F-7616-DA8D10394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586740</xdr:colOff>
      <xdr:row>5</xdr:row>
      <xdr:rowOff>148590</xdr:rowOff>
    </xdr:from>
    <xdr:to>
      <xdr:col>18</xdr:col>
      <xdr:colOff>83820</xdr:colOff>
      <xdr:row>23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2EB19E-3DC7-D7E7-4220-18C242891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129540</xdr:colOff>
      <xdr:row>5</xdr:row>
      <xdr:rowOff>171450</xdr:rowOff>
    </xdr:from>
    <xdr:to>
      <xdr:col>25</xdr:col>
      <xdr:colOff>335280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7454C-6949-C5C3-5AF8-8C6ADA964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1.67669375" createdVersion="8" refreshedVersion="8" minRefreshableVersion="3" recordCount="200" xr:uid="{632BF971-D919-4E02-A97C-5F4A2069F5F5}">
  <cacheSource type="worksheet">
    <worksheetSource name="Table4_1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3">
      <sharedItems containsSemiMixedTypes="0" containsString="0" containsNumber="1" containsInteger="1" minValue="1016" maxValue="9984"/>
    </cacheField>
    <cacheField name="Unfollows" numFmtId="3">
      <sharedItems containsSemiMixedTypes="0" containsString="0" containsNumber="1" containsInteger="1" minValue="67" maxValue="1417"/>
    </cacheField>
    <cacheField name="Total_Followers" numFmtId="3">
      <sharedItems containsSemiMixedTypes="0" containsString="0" containsNumber="1" containsInteger="1" minValue="103777" maxValue="1186398"/>
    </cacheField>
    <cacheField name="Follower Growth Rate" numFmtId="10">
      <sharedItems containsSemiMixedTypes="0" containsString="0" containsNumber="1" minValue="7.7465246904209403E-4" maxValue="6.8070592967519203E-2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64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1.703036574072" createdVersion="8" refreshedVersion="8" minRefreshableVersion="3" recordCount="200" xr:uid="{77817D12-5EA9-4353-AB57-3B9E54558BD6}">
  <cacheSource type="worksheet">
    <worksheetSource name="Table4_17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3">
      <sharedItems containsSemiMixedTypes="0" containsString="0" containsNumber="1" containsInteger="1" minValue="1016" maxValue="9984"/>
    </cacheField>
    <cacheField name="Unfollows" numFmtId="3">
      <sharedItems containsSemiMixedTypes="0" containsString="0" containsNumber="1" containsInteger="1" minValue="67" maxValue="1417"/>
    </cacheField>
    <cacheField name="Total_Followers" numFmtId="3">
      <sharedItems containsSemiMixedTypes="0" containsString="0" containsNumber="1" containsInteger="1" minValue="103777" maxValue="1186398"/>
    </cacheField>
    <cacheField name="Follower Growth Rate" numFmtId="10">
      <sharedItems containsSemiMixedTypes="0" containsString="0" containsNumber="1" minValue="7.7465246904209403E-4" maxValue="6.8070592967519203E-2"/>
    </cacheField>
    <cacheField name="Engagement_Rate" numFmtId="2">
      <sharedItems containsSemiMixedTypes="0" containsString="0" containsNumber="1" minValue="1.381177897889402" maxValue="92.312204605638044" count="200">
        <n v="56.637790647253247"/>
        <n v="69.475492091467416"/>
        <n v="92.312204605638044"/>
        <n v="16.351815601833291"/>
        <n v="35.577824398518047"/>
        <n v="52.064892597395271"/>
        <n v="19.551862698358651"/>
        <n v="49.159817655475329"/>
        <n v="12.2263294381709"/>
        <n v="54.158984064961238"/>
        <n v="9.2506362964613711"/>
        <n v="60.425889350496043"/>
        <n v="57.524479307546663"/>
        <n v="14.827522597306769"/>
        <n v="5.4343004617214756"/>
        <n v="60.827661631301943"/>
        <n v="17.894035955483691"/>
        <n v="7.6914636320825887"/>
        <n v="12.8372197814577"/>
        <n v="17.41278694508371"/>
        <n v="47.634187798207087"/>
        <n v="39.284614068115687"/>
        <n v="9.8205504342462788"/>
        <n v="41.606628834608109"/>
        <n v="13.6355899921383"/>
        <n v="20.47246886054408"/>
        <n v="11.2083665774941"/>
        <n v="12.15762550327738"/>
        <n v="37.302925586213682"/>
        <n v="41.82171496581897"/>
        <n v="52.792102811910027"/>
        <n v="49.647922622483861"/>
        <n v="28.158158777282971"/>
        <n v="23.920557913887201"/>
        <n v="44.219272975538267"/>
        <n v="14.117673944839121"/>
        <n v="27.765518533715429"/>
        <n v="21.669318305251519"/>
        <n v="46.999749649033298"/>
        <n v="5.2152906954969351"/>
        <n v="14.71218489327067"/>
        <n v="44.450416151231643"/>
        <n v="28.065042562888689"/>
        <n v="26.003918292085629"/>
        <n v="13.47730290104799"/>
        <n v="4.6034181702735593"/>
        <n v="5.7694619613329108"/>
        <n v="20.46539508359615"/>
        <n v="38.012181840183942"/>
        <n v="37.86101298137271"/>
        <n v="3.6633501706626168"/>
        <n v="37.760512537325639"/>
        <n v="30.118586640851881"/>
        <n v="33.909842729106657"/>
        <n v="24.457411123534769"/>
        <n v="10.494255737609739"/>
        <n v="33.257448118038738"/>
        <n v="6.2966210699906267"/>
        <n v="6.9547481175882924"/>
        <n v="17.750287883797562"/>
        <n v="11.194362999670229"/>
        <n v="4.7335970426459033"/>
        <n v="29.92120910472568"/>
        <n v="3.5037017293827661"/>
        <n v="31.554451487636339"/>
        <n v="29.45844233727631"/>
        <n v="15.72131694865968"/>
        <n v="19.214592793018038"/>
        <n v="25.077864756828781"/>
        <n v="23.761877132122681"/>
        <n v="13.208603641390511"/>
        <n v="8.5343795690395261"/>
        <n v="12.734216154573531"/>
        <n v="25.120888149654821"/>
        <n v="25.64820077827817"/>
        <n v="13.08758391243577"/>
        <n v="2.1877429775253669"/>
        <n v="8.3562843787534522"/>
        <n v="27.040693108281051"/>
        <n v="6.8073045370110723"/>
        <n v="3.4213758985797149"/>
        <n v="5.5136820660139527"/>
        <n v="26.921416897669499"/>
        <n v="3.5131404829323132"/>
        <n v="11.50507059442103"/>
        <n v="6.4069368024305948"/>
        <n v="17.560907617280929"/>
        <n v="7.2934726185185053"/>
        <n v="18.05853488496809"/>
        <n v="17.61788048552755"/>
        <n v="23.435841125050029"/>
        <n v="15.150015424690389"/>
        <n v="21.77776899411715"/>
        <n v="8.7252768666168681"/>
        <n v="9.07118069540617"/>
        <n v="3.0908004511744269"/>
        <n v="1.6774727155188811"/>
        <n v="3.5705994553828009"/>
        <n v="12.426427091999111"/>
        <n v="20.240280610668151"/>
        <n v="15.458517947974901"/>
        <n v="15.96622018839439"/>
        <n v="5.301785453341723"/>
        <n v="10.21656296011305"/>
        <n v="4.1495730660972248"/>
        <n v="17.44750613869045"/>
        <n v="6.3556780346167558"/>
        <n v="16.625487131094989"/>
        <n v="13.449169969047761"/>
        <n v="12.35057894004413"/>
        <n v="12.913394489201821"/>
        <n v="20.774215903216671"/>
        <n v="11.56416728213479"/>
        <n v="5.9603306848881932"/>
        <n v="19.25863351426683"/>
        <n v="13.428486445958599"/>
        <n v="19.449384891535139"/>
        <n v="1.381177897889402"/>
        <n v="18.0667803230575"/>
        <n v="10.34986590877523"/>
        <n v="11.391727789638329"/>
        <n v="15.06231294947961"/>
        <n v="6.3086149427901264"/>
        <n v="5.0212654702089274"/>
        <n v="4.0220344099003924"/>
        <n v="12.407287318121019"/>
        <n v="9.1811305577864442"/>
        <n v="8.1379717408784362"/>
        <n v="15.211945357818079"/>
        <n v="13.941172331466399"/>
        <n v="14.664542877660701"/>
        <n v="18.236747441373989"/>
        <n v="7.1083748727213809"/>
        <n v="7.6464588474579518"/>
        <n v="12.96217457722318"/>
        <n v="7.201344336027284"/>
        <n v="4.6300017457998282"/>
        <n v="7.0117859410726204"/>
        <n v="15.7972230504839"/>
        <n v="11.124410036033691"/>
        <n v="9.5052903929580594"/>
        <n v="3.7175793161543158"/>
        <n v="8.768004820772493"/>
        <n v="7.6673478620345374"/>
        <n v="14.24879726306582"/>
        <n v="15.903372530266649"/>
        <n v="1.3997016829812241"/>
        <n v="10.593534734448189"/>
        <n v="9.2688963078737441"/>
        <n v="2.7289026948963189"/>
        <n v="14.789893749580139"/>
        <n v="2.3800168578696428"/>
        <n v="3.4123325814333292"/>
        <n v="1.9837452629066989"/>
        <n v="15.684892498324469"/>
        <n v="7.4744446725989153"/>
        <n v="4.6083932009689246"/>
        <n v="6.5651927367759271"/>
        <n v="2.9062061457685191"/>
        <n v="2.5803804535313102"/>
        <n v="1.525036393488727"/>
        <n v="3.8694093263203548"/>
        <n v="2.1106477061454201"/>
        <n v="2.4004972007397871"/>
        <n v="10.43086517280971"/>
        <n v="12.45517502708741"/>
        <n v="8.7022876773406619"/>
        <n v="6.0590578244060822"/>
        <n v="6.4086467971263694"/>
        <n v="14.03040201562029"/>
        <n v="5.7680529449373434"/>
        <n v="4.2080986012648651"/>
        <n v="5.057443868445171"/>
        <n v="5.5892257158735816"/>
        <n v="6.5457075572682513"/>
        <n v="13.86474263299608"/>
        <n v="8.1237966902808925"/>
        <n v="6.8954477628560609"/>
        <n v="5.2243073531483697"/>
        <n v="12.709772588488899"/>
        <n v="9.589697749395782"/>
        <n v="9.3041390360253633"/>
        <n v="12.21550055903389"/>
        <n v="1.64146056637986"/>
        <n v="12.414411899944"/>
        <n v="2.2102165031989389"/>
        <n v="8.1114645768679008"/>
        <n v="10.23489267325616"/>
        <n v="8.7776256772995165"/>
        <n v="5.6959041015180816"/>
        <n v="11.940413075069831"/>
        <n v="6.3457020771224837"/>
        <n v="11.093752033137431"/>
        <n v="6.9871371390821126"/>
        <n v="2.8935771844710412"/>
        <n v="3.8777032065622672"/>
        <n v="7.2439221876024931"/>
        <n v="9.095964565675672"/>
        <n v="5.2275645864752214"/>
        <n v="1.676081719625286"/>
      </sharedItems>
    </cacheField>
    <cacheField name="Ad_Spend" numFmtId="164">
      <sharedItems containsSemiMixedTypes="0" containsString="0" containsNumber="1" containsInteger="1" minValue="10161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8.588249652777" createdVersion="8" refreshedVersion="8" minRefreshableVersion="3" recordCount="300" xr:uid="{DDFC0EF3-5328-418D-AAD2-7C2CEEDACE71}">
  <cacheSource type="worksheet">
    <worksheetSource name="Table4__2_1_1_138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Engagement Rate" numFmtId="10">
      <sharedItems containsSemiMixedTypes="0" containsString="0" containsNumber="1" minValue="1.6616512501514701E-2" maxValue="0.4905410556302279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Objective" numFmtId="3">
      <sharedItems count="5">
        <s v="Health &amp; Fitness Awareness"/>
        <s v="Brand Engagement"/>
        <s v="Sustainability Branding"/>
        <s v="Product Launch"/>
        <s v="Product Promo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3.6395347716738802E-2"/>
    <n v="56.637790647253247"/>
    <n v="23944"/>
  </r>
  <r>
    <d v="2024-06-03T00:00:00"/>
    <x v="1"/>
    <n v="8693"/>
    <n v="1261"/>
    <n v="111209"/>
    <n v="6.6829123542159405E-2"/>
    <n v="69.475492091467416"/>
    <n v="29873"/>
  </r>
  <r>
    <d v="2024-06-03T00:00:00"/>
    <x v="2"/>
    <n v="9264"/>
    <n v="1141"/>
    <n v="119332"/>
    <n v="6.8070592967519203E-2"/>
    <n v="92.312204605638044"/>
    <n v="50372"/>
  </r>
  <r>
    <d v="2024-06-03T00:00:00"/>
    <x v="2"/>
    <n v="8842"/>
    <n v="971"/>
    <n v="127203"/>
    <n v="6.1877471443283601E-2"/>
    <n v="16.351815601833291"/>
    <n v="33928"/>
  </r>
  <r>
    <d v="2024-06-10T00:00:00"/>
    <x v="0"/>
    <n v="7721"/>
    <n v="506"/>
    <n v="134418"/>
    <n v="5.3675846984778799E-2"/>
    <n v="35.577824398518047"/>
    <n v="25379"/>
  </r>
  <r>
    <d v="2024-06-10T00:00:00"/>
    <x v="2"/>
    <n v="8002"/>
    <n v="524"/>
    <n v="141896"/>
    <n v="5.2700569431132702E-2"/>
    <n v="52.064892597395271"/>
    <n v="46751"/>
  </r>
  <r>
    <d v="2024-06-10T00:00:00"/>
    <x v="1"/>
    <n v="5225"/>
    <n v="291"/>
    <n v="146830"/>
    <n v="3.3603487025812201E-2"/>
    <n v="19.551862698358651"/>
    <n v="44546"/>
  </r>
  <r>
    <d v="2024-06-10T00:00:00"/>
    <x v="1"/>
    <n v="3978"/>
    <n v="543"/>
    <n v="150265"/>
    <n v="2.2859614680730701E-2"/>
    <n v="49.159817655475329"/>
    <n v="34286"/>
  </r>
  <r>
    <d v="2024-06-17T00:00:00"/>
    <x v="0"/>
    <n v="8373"/>
    <n v="921"/>
    <n v="157717"/>
    <n v="4.7249186834646899E-2"/>
    <n v="12.2263294381709"/>
    <n v="15110"/>
  </r>
  <r>
    <d v="2024-06-17T00:00:00"/>
    <x v="1"/>
    <n v="6907"/>
    <n v="834"/>
    <n v="163790"/>
    <n v="3.70779656877709E-2"/>
    <n v="54.158984064961238"/>
    <n v="22087"/>
  </r>
  <r>
    <d v="2024-06-17T00:00:00"/>
    <x v="3"/>
    <n v="7097"/>
    <n v="369"/>
    <n v="170518"/>
    <n v="3.9456245088495101E-2"/>
    <n v="9.2506362964613711"/>
    <n v="33762"/>
  </r>
  <r>
    <d v="2024-06-17T00:00:00"/>
    <x v="0"/>
    <n v="6656"/>
    <n v="978"/>
    <n v="176196"/>
    <n v="3.2225476174260498E-2"/>
    <n v="60.425889350496043"/>
    <n v="27081"/>
  </r>
  <r>
    <d v="2024-06-24T00:00:00"/>
    <x v="1"/>
    <n v="9984"/>
    <n v="1330"/>
    <n v="184850"/>
    <n v="4.6816337571003501E-2"/>
    <n v="57.524479307546663"/>
    <n v="44947"/>
  </r>
  <r>
    <d v="2024-06-24T00:00:00"/>
    <x v="0"/>
    <n v="5259"/>
    <n v="374"/>
    <n v="189735"/>
    <n v="2.5746435818378301E-2"/>
    <n v="14.827522597306769"/>
    <n v="19596"/>
  </r>
  <r>
    <d v="2024-06-24T00:00:00"/>
    <x v="2"/>
    <n v="9286"/>
    <n v="633"/>
    <n v="198388"/>
    <n v="4.3616549388067798E-2"/>
    <n v="5.4343004617214756"/>
    <n v="48019"/>
  </r>
  <r>
    <d v="2024-06-24T00:00:00"/>
    <x v="1"/>
    <n v="6901"/>
    <n v="471"/>
    <n v="204818"/>
    <n v="3.1393725160874499E-2"/>
    <n v="60.827661631301943"/>
    <n v="52003"/>
  </r>
  <r>
    <d v="2024-07-01T00:00:00"/>
    <x v="3"/>
    <n v="5917"/>
    <n v="475"/>
    <n v="210260"/>
    <n v="2.5882241034909201E-2"/>
    <n v="17.894035955483691"/>
    <n v="28313"/>
  </r>
  <r>
    <d v="2024-07-01T00:00:00"/>
    <x v="1"/>
    <n v="9429"/>
    <n v="966"/>
    <n v="218723"/>
    <n v="3.8692775794040901E-2"/>
    <n v="7.6914636320825887"/>
    <n v="57639"/>
  </r>
  <r>
    <d v="2024-07-01T00:00:00"/>
    <x v="0"/>
    <n v="3530"/>
    <n v="328"/>
    <n v="221925"/>
    <n v="1.44282978483722E-2"/>
    <n v="12.8372197814577"/>
    <n v="11013"/>
  </r>
  <r>
    <d v="2024-07-01T00:00:00"/>
    <x v="0"/>
    <n v="2960"/>
    <n v="234"/>
    <n v="224651"/>
    <n v="1.21343773230478E-2"/>
    <n v="17.41278694508371"/>
    <n v="59378"/>
  </r>
  <r>
    <d v="2024-07-08T00:00:00"/>
    <x v="1"/>
    <n v="8045"/>
    <n v="894"/>
    <n v="231802"/>
    <n v="3.0849604403758401E-2"/>
    <n v="47.634187798207087"/>
    <n v="33705"/>
  </r>
  <r>
    <d v="2024-07-08T00:00:00"/>
    <x v="3"/>
    <n v="2048"/>
    <n v="130"/>
    <n v="233720"/>
    <n v="8.2064008214958097E-3"/>
    <n v="39.284614068115687"/>
    <n v="11828"/>
  </r>
  <r>
    <d v="2024-07-08T00:00:00"/>
    <x v="3"/>
    <n v="6772"/>
    <n v="536"/>
    <n v="239956"/>
    <n v="2.5988097817933299E-2"/>
    <n v="9.8205504342462788"/>
    <n v="17909"/>
  </r>
  <r>
    <d v="2024-07-08T00:00:00"/>
    <x v="3"/>
    <n v="3529"/>
    <n v="305"/>
    <n v="243180"/>
    <n v="1.3257669216218401E-2"/>
    <n v="41.606628834608109"/>
    <n v="48356"/>
  </r>
  <r>
    <d v="2024-07-15T00:00:00"/>
    <x v="0"/>
    <n v="3964"/>
    <n v="378"/>
    <n v="246766"/>
    <n v="1.45319857678935E-2"/>
    <n v="13.6355899921383"/>
    <n v="23109"/>
  </r>
  <r>
    <d v="2024-07-15T00:00:00"/>
    <x v="1"/>
    <n v="8137"/>
    <n v="1045"/>
    <n v="253858"/>
    <n v="2.79368780972039E-2"/>
    <n v="20.47246886054408"/>
    <n v="12023"/>
  </r>
  <r>
    <d v="2024-07-15T00:00:00"/>
    <x v="2"/>
    <n v="1963"/>
    <n v="137"/>
    <n v="255684"/>
    <n v="7.1416279469970799E-3"/>
    <n v="11.2083665774941"/>
    <n v="24537"/>
  </r>
  <r>
    <d v="2024-07-15T00:00:00"/>
    <x v="0"/>
    <n v="1536"/>
    <n v="155"/>
    <n v="257065"/>
    <n v="5.3721821329235798E-3"/>
    <n v="12.15762550327738"/>
    <n v="36661"/>
  </r>
  <r>
    <d v="2024-07-22T00:00:00"/>
    <x v="3"/>
    <n v="8340"/>
    <n v="911"/>
    <n v="264494"/>
    <n v="2.8087593669421599E-2"/>
    <n v="37.302925586213682"/>
    <n v="48659"/>
  </r>
  <r>
    <d v="2024-07-22T00:00:00"/>
    <x v="1"/>
    <n v="8179"/>
    <n v="446"/>
    <n v="272227"/>
    <n v="2.84064402134983E-2"/>
    <n v="41.82171496581897"/>
    <n v="43848"/>
  </r>
  <r>
    <d v="2024-07-22T00:00:00"/>
    <x v="3"/>
    <n v="8967"/>
    <n v="993"/>
    <n v="280201"/>
    <n v="2.8458142547671102E-2"/>
    <n v="52.792102811910027"/>
    <n v="47804"/>
  </r>
  <r>
    <d v="2024-07-22T00:00:00"/>
    <x v="2"/>
    <n v="9734"/>
    <n v="652"/>
    <n v="289283"/>
    <n v="3.1394862470314498E-2"/>
    <n v="49.647922622483861"/>
    <n v="25379"/>
  </r>
  <r>
    <d v="2024-07-29T00:00:00"/>
    <x v="3"/>
    <n v="1845"/>
    <n v="104"/>
    <n v="291024"/>
    <n v="5.9823244818296801E-3"/>
    <n v="28.158158777282971"/>
    <n v="37766"/>
  </r>
  <r>
    <d v="2024-07-29T00:00:00"/>
    <x v="3"/>
    <n v="6777"/>
    <n v="981"/>
    <n v="296820"/>
    <n v="1.9526986052152799E-2"/>
    <n v="23.920557913887201"/>
    <n v="53590"/>
  </r>
  <r>
    <d v="2024-07-29T00:00:00"/>
    <x v="2"/>
    <n v="4036"/>
    <n v="591"/>
    <n v="300265"/>
    <n v="1.1473198674504199E-2"/>
    <n v="44.219272975538267"/>
    <n v="12563"/>
  </r>
  <r>
    <d v="2024-07-29T00:00:00"/>
    <x v="1"/>
    <n v="6947"/>
    <n v="908"/>
    <n v="306304"/>
    <n v="1.9715707271207701E-2"/>
    <n v="14.117673944839121"/>
    <n v="46060"/>
  </r>
  <r>
    <d v="2024-08-05T00:00:00"/>
    <x v="0"/>
    <n v="3494"/>
    <n v="281"/>
    <n v="309517"/>
    <n v="1.03806899136396E-2"/>
    <n v="27.765518533715429"/>
    <n v="39197"/>
  </r>
  <r>
    <d v="2024-08-05T00:00:00"/>
    <x v="1"/>
    <n v="3719"/>
    <n v="222"/>
    <n v="313014"/>
    <n v="1.11720242545062E-2"/>
    <n v="21.669318305251519"/>
    <n v="13586"/>
  </r>
  <r>
    <d v="2024-08-05T00:00:00"/>
    <x v="2"/>
    <n v="2884"/>
    <n v="341"/>
    <n v="315557"/>
    <n v="8.0587659281841292E-3"/>
    <n v="46.999749649033298"/>
    <n v="26087"/>
  </r>
  <r>
    <d v="2024-08-05T00:00:00"/>
    <x v="3"/>
    <n v="5349"/>
    <n v="502"/>
    <n v="320404"/>
    <n v="1.51277761825695E-2"/>
    <n v="5.2152906954969351"/>
    <n v="58868"/>
  </r>
  <r>
    <d v="2024-08-12T00:00:00"/>
    <x v="1"/>
    <n v="6179"/>
    <n v="384"/>
    <n v="326199"/>
    <n v="1.7765229200580001E-2"/>
    <n v="14.71218489327067"/>
    <n v="33225"/>
  </r>
  <r>
    <d v="2024-08-12T00:00:00"/>
    <x v="0"/>
    <n v="7610"/>
    <n v="757"/>
    <n v="333052"/>
    <n v="2.0576366453286601E-2"/>
    <n v="44.450416151231643"/>
    <n v="39750"/>
  </r>
  <r>
    <d v="2024-08-12T00:00:00"/>
    <x v="2"/>
    <n v="7430"/>
    <n v="397"/>
    <n v="340085"/>
    <n v="2.0680124086625399E-2"/>
    <n v="28.065042562888689"/>
    <n v="16643"/>
  </r>
  <r>
    <d v="2024-08-12T00:00:00"/>
    <x v="1"/>
    <n v="8154"/>
    <n v="1149"/>
    <n v="347090"/>
    <n v="2.0182085338096699E-2"/>
    <n v="26.003918292085629"/>
    <n v="37523"/>
  </r>
  <r>
    <d v="2024-08-19T00:00:00"/>
    <x v="0"/>
    <n v="7488"/>
    <n v="568"/>
    <n v="354010"/>
    <n v="1.9547470410440401E-2"/>
    <n v="13.47730290104799"/>
    <n v="46727"/>
  </r>
  <r>
    <d v="2024-08-19T00:00:00"/>
    <x v="2"/>
    <n v="5737"/>
    <n v="666"/>
    <n v="359081"/>
    <n v="1.4122161852061201E-2"/>
    <n v="4.6034181702735593"/>
    <n v="21005"/>
  </r>
  <r>
    <d v="2024-08-19T00:00:00"/>
    <x v="0"/>
    <n v="7525"/>
    <n v="610"/>
    <n v="365996"/>
    <n v="1.8893649110919199E-2"/>
    <n v="5.7694619613329108"/>
    <n v="53543"/>
  </r>
  <r>
    <d v="2024-08-19T00:00:00"/>
    <x v="2"/>
    <n v="4850"/>
    <n v="494"/>
    <n v="370352"/>
    <n v="1.1761783384455901E-2"/>
    <n v="20.46539508359615"/>
    <n v="10161"/>
  </r>
  <r>
    <d v="2024-08-26T00:00:00"/>
    <x v="3"/>
    <n v="1689"/>
    <n v="176"/>
    <n v="371865"/>
    <n v="4.0686808384763299E-3"/>
    <n v="38.012181840183942"/>
    <n v="26029"/>
  </r>
  <r>
    <d v="2024-08-26T00:00:00"/>
    <x v="1"/>
    <n v="6175"/>
    <n v="422"/>
    <n v="377618"/>
    <n v="1.5234972909130401E-2"/>
    <n v="37.86101298137271"/>
    <n v="59745"/>
  </r>
  <r>
    <d v="2024-08-26T00:00:00"/>
    <x v="0"/>
    <n v="9648"/>
    <n v="1417"/>
    <n v="385849"/>
    <n v="2.13321791685348E-2"/>
    <n v="3.6633501706626168"/>
    <n v="24226"/>
  </r>
  <r>
    <d v="2024-08-26T00:00:00"/>
    <x v="2"/>
    <n v="6078"/>
    <n v="775"/>
    <n v="391152"/>
    <n v="1.35573894547388E-2"/>
    <n v="37.760512537325639"/>
    <n v="38731"/>
  </r>
  <r>
    <d v="2024-09-02T00:00:00"/>
    <x v="0"/>
    <n v="6448"/>
    <n v="928"/>
    <n v="396672"/>
    <n v="1.3915779283639899E-2"/>
    <n v="30.118586640851881"/>
    <n v="53922"/>
  </r>
  <r>
    <d v="2024-09-02T00:00:00"/>
    <x v="0"/>
    <n v="2179"/>
    <n v="303"/>
    <n v="398548"/>
    <n v="4.7070867248110602E-3"/>
    <n v="33.909842729106657"/>
    <n v="54848"/>
  </r>
  <r>
    <d v="2024-09-02T00:00:00"/>
    <x v="1"/>
    <n v="7406"/>
    <n v="813"/>
    <n v="405141"/>
    <n v="1.62733468101229E-2"/>
    <n v="24.457411123534769"/>
    <n v="13390"/>
  </r>
  <r>
    <d v="2024-09-02T00:00:00"/>
    <x v="3"/>
    <n v="9591"/>
    <n v="1363"/>
    <n v="413369"/>
    <n v="1.9904734026983201E-2"/>
    <n v="10.494255737609739"/>
    <n v="15997"/>
  </r>
  <r>
    <d v="2024-09-09T00:00:00"/>
    <x v="0"/>
    <n v="7907"/>
    <n v="465"/>
    <n v="420811"/>
    <n v="1.76848989213685E-2"/>
    <n v="33.257448118038738"/>
    <n v="22693"/>
  </r>
  <r>
    <d v="2024-09-09T00:00:00"/>
    <x v="2"/>
    <n v="9800"/>
    <n v="682"/>
    <n v="429929"/>
    <n v="2.1208152974095701E-2"/>
    <n v="6.2966210699906267"/>
    <n v="59815"/>
  </r>
  <r>
    <d v="2024-09-09T00:00:00"/>
    <x v="2"/>
    <n v="2638"/>
    <n v="143"/>
    <n v="432424"/>
    <n v="5.76980001110022E-3"/>
    <n v="6.9547481175882924"/>
    <n v="52092"/>
  </r>
  <r>
    <d v="2024-09-09T00:00:00"/>
    <x v="3"/>
    <n v="6671"/>
    <n v="550"/>
    <n v="438545"/>
    <n v="1.3957518612685099E-2"/>
    <n v="17.750287883797562"/>
    <n v="10541"/>
  </r>
  <r>
    <d v="2024-09-16T00:00:00"/>
    <x v="2"/>
    <n v="7928"/>
    <n v="704"/>
    <n v="445769"/>
    <n v="1.6205702953772001E-2"/>
    <n v="11.194362999670229"/>
    <n v="31817"/>
  </r>
  <r>
    <d v="2024-09-16T00:00:00"/>
    <x v="3"/>
    <n v="2382"/>
    <n v="183"/>
    <n v="447968"/>
    <n v="4.9088327737695503E-3"/>
    <n v="4.7335970426459033"/>
    <n v="47861"/>
  </r>
  <r>
    <d v="2024-09-16T00:00:00"/>
    <x v="2"/>
    <n v="2403"/>
    <n v="319"/>
    <n v="450052"/>
    <n v="4.63057602232631E-3"/>
    <n v="29.92120910472568"/>
    <n v="23428"/>
  </r>
  <r>
    <d v="2024-09-16T00:00:00"/>
    <x v="1"/>
    <n v="4292"/>
    <n v="367"/>
    <n v="453977"/>
    <n v="8.6458124530537899E-3"/>
    <n v="3.5037017293827661"/>
    <n v="53934"/>
  </r>
  <r>
    <d v="2024-09-23T00:00:00"/>
    <x v="0"/>
    <n v="1419"/>
    <n v="110"/>
    <n v="455286"/>
    <n v="2.8751158612388699E-3"/>
    <n v="31.554451487636339"/>
    <n v="58831"/>
  </r>
  <r>
    <d v="2024-09-23T00:00:00"/>
    <x v="1"/>
    <n v="5517"/>
    <n v="575"/>
    <n v="460228"/>
    <n v="1.07381558705685E-2"/>
    <n v="29.45844233727631"/>
    <n v="20258"/>
  </r>
  <r>
    <d v="2024-09-23T00:00:00"/>
    <x v="0"/>
    <n v="4302"/>
    <n v="275"/>
    <n v="464255"/>
    <n v="8.6741122874282404E-3"/>
    <n v="15.72131694865968"/>
    <n v="26044"/>
  </r>
  <r>
    <d v="2024-09-23T00:00:00"/>
    <x v="0"/>
    <n v="8857"/>
    <n v="1153"/>
    <n v="471959"/>
    <n v="1.6323451825264498E-2"/>
    <n v="19.214592793018038"/>
    <n v="39411"/>
  </r>
  <r>
    <d v="2024-09-30T00:00:00"/>
    <x v="0"/>
    <n v="8870"/>
    <n v="509"/>
    <n v="480320"/>
    <n v="1.7407145236508999E-2"/>
    <n v="25.077864756828781"/>
    <n v="15469"/>
  </r>
  <r>
    <d v="2024-09-30T00:00:00"/>
    <x v="1"/>
    <n v="6693"/>
    <n v="995"/>
    <n v="486018"/>
    <n v="1.1723845618886499E-2"/>
    <n v="23.761877132122681"/>
    <n v="38854"/>
  </r>
  <r>
    <d v="2024-09-30T00:00:00"/>
    <x v="0"/>
    <n v="1767"/>
    <n v="224"/>
    <n v="487561"/>
    <n v="3.1647322078673201E-3"/>
    <n v="13.208603641390511"/>
    <n v="16256"/>
  </r>
  <r>
    <d v="2024-09-30T00:00:00"/>
    <x v="1"/>
    <n v="3044"/>
    <n v="212"/>
    <n v="490393"/>
    <n v="5.7749600830354396E-3"/>
    <n v="8.5343795690395261"/>
    <n v="20720"/>
  </r>
  <r>
    <d v="2024-10-07T00:00:00"/>
    <x v="3"/>
    <n v="2549"/>
    <n v="128"/>
    <n v="492814"/>
    <n v="4.9126039438814597E-3"/>
    <n v="12.734216154573531"/>
    <n v="43937"/>
  </r>
  <r>
    <d v="2024-10-07T00:00:00"/>
    <x v="2"/>
    <n v="7140"/>
    <n v="939"/>
    <n v="499015"/>
    <n v="1.2426480165926901E-2"/>
    <n v="25.120888149654821"/>
    <n v="43598"/>
  </r>
  <r>
    <d v="2024-10-07T00:00:00"/>
    <x v="2"/>
    <n v="4716"/>
    <n v="569"/>
    <n v="503162"/>
    <n v="8.2418783612434997E-3"/>
    <n v="25.64820077827817"/>
    <n v="11651"/>
  </r>
  <r>
    <d v="2024-10-07T00:00:00"/>
    <x v="0"/>
    <n v="5481"/>
    <n v="673"/>
    <n v="507970"/>
    <n v="9.4651258932614106E-3"/>
    <n v="13.08758391243577"/>
    <n v="29194"/>
  </r>
  <r>
    <d v="2024-10-14T00:00:00"/>
    <x v="1"/>
    <n v="8898"/>
    <n v="1131"/>
    <n v="515737"/>
    <n v="1.50600015123988E-2"/>
    <n v="2.1877429775253669"/>
    <n v="35051"/>
  </r>
  <r>
    <d v="2024-10-14T00:00:00"/>
    <x v="2"/>
    <n v="7548"/>
    <n v="433"/>
    <n v="522852"/>
    <n v="1.36080573470122E-2"/>
    <n v="8.3562843787534522"/>
    <n v="37386"/>
  </r>
  <r>
    <d v="2024-10-14T00:00:00"/>
    <x v="1"/>
    <n v="3293"/>
    <n v="282"/>
    <n v="525863"/>
    <n v="5.7258259280459E-3"/>
    <n v="27.040693108281051"/>
    <n v="19518"/>
  </r>
  <r>
    <d v="2024-10-14T00:00:00"/>
    <x v="1"/>
    <n v="5837"/>
    <n v="359"/>
    <n v="531341"/>
    <n v="1.03097634099383E-2"/>
    <n v="6.8073045370110723"/>
    <n v="56026"/>
  </r>
  <r>
    <d v="2024-10-21T00:00:00"/>
    <x v="0"/>
    <n v="8758"/>
    <n v="1193"/>
    <n v="538906"/>
    <n v="1.40376985967868E-2"/>
    <n v="3.4213758985797149"/>
    <n v="26184"/>
  </r>
  <r>
    <d v="2024-10-21T00:00:00"/>
    <x v="2"/>
    <n v="7793"/>
    <n v="875"/>
    <n v="545824"/>
    <n v="1.26744151961072E-2"/>
    <n v="5.5136820660139527"/>
    <n v="43787"/>
  </r>
  <r>
    <d v="2024-10-21T00:00:00"/>
    <x v="0"/>
    <n v="8638"/>
    <n v="717"/>
    <n v="553745"/>
    <n v="1.4304418098583301E-2"/>
    <n v="26.921416897669499"/>
    <n v="31621"/>
  </r>
  <r>
    <d v="2024-10-21T00:00:00"/>
    <x v="0"/>
    <n v="8993"/>
    <n v="506"/>
    <n v="562232"/>
    <n v="1.5095192020375899E-2"/>
    <n v="3.5131404829323132"/>
    <n v="20028"/>
  </r>
  <r>
    <d v="2024-10-28T00:00:00"/>
    <x v="2"/>
    <n v="7007"/>
    <n v="568"/>
    <n v="568671"/>
    <n v="1.13228914433829E-2"/>
    <n v="11.50507059442103"/>
    <n v="22448"/>
  </r>
  <r>
    <d v="2024-10-28T00:00:00"/>
    <x v="2"/>
    <n v="6542"/>
    <n v="539"/>
    <n v="574674"/>
    <n v="1.04459223838211E-2"/>
    <n v="6.4069368024305948"/>
    <n v="55253"/>
  </r>
  <r>
    <d v="2024-10-28T00:00:00"/>
    <x v="3"/>
    <n v="7356"/>
    <n v="904"/>
    <n v="581126"/>
    <n v="1.1102583604932501E-2"/>
    <n v="17.560907617280929"/>
    <n v="44051"/>
  </r>
  <r>
    <d v="2024-10-28T00:00:00"/>
    <x v="3"/>
    <n v="9433"/>
    <n v="1073"/>
    <n v="589486"/>
    <n v="1.4181846557848699E-2"/>
    <n v="7.2934726185185053"/>
    <n v="59811"/>
  </r>
  <r>
    <d v="2024-11-04T00:00:00"/>
    <x v="1"/>
    <n v="8380"/>
    <n v="1162"/>
    <n v="596704"/>
    <n v="1.2096449831072E-2"/>
    <n v="18.05853488496809"/>
    <n v="40447"/>
  </r>
  <r>
    <d v="2024-11-04T00:00:00"/>
    <x v="2"/>
    <n v="3385"/>
    <n v="329"/>
    <n v="599760"/>
    <n v="5.0953714819261002E-3"/>
    <n v="17.61788048552755"/>
    <n v="28394"/>
  </r>
  <r>
    <d v="2024-11-04T00:00:00"/>
    <x v="3"/>
    <n v="5268"/>
    <n v="326"/>
    <n v="604702"/>
    <n v="8.17262056351724E-3"/>
    <n v="23.435841125050029"/>
    <n v="44501"/>
  </r>
  <r>
    <d v="2024-11-04T00:00:00"/>
    <x v="1"/>
    <n v="1671"/>
    <n v="202"/>
    <n v="606171"/>
    <n v="2.42340857612786E-3"/>
    <n v="15.150015424690389"/>
    <n v="40254"/>
  </r>
  <r>
    <d v="2024-11-11T00:00:00"/>
    <x v="1"/>
    <n v="1163"/>
    <n v="146"/>
    <n v="607188"/>
    <n v="1.6749342872388799E-3"/>
    <n v="21.77776899411715"/>
    <n v="28509"/>
  </r>
  <r>
    <d v="2024-11-11T00:00:00"/>
    <x v="1"/>
    <n v="9656"/>
    <n v="1024"/>
    <n v="615820"/>
    <n v="1.40170829138385E-2"/>
    <n v="8.7252768666168681"/>
    <n v="58998"/>
  </r>
  <r>
    <d v="2024-11-11T00:00:00"/>
    <x v="3"/>
    <n v="5592"/>
    <n v="710"/>
    <n v="620702"/>
    <n v="7.86528801260508E-3"/>
    <n v="9.07118069540617"/>
    <n v="24472"/>
  </r>
  <r>
    <d v="2024-11-11T00:00:00"/>
    <x v="2"/>
    <n v="5795"/>
    <n v="575"/>
    <n v="625922"/>
    <n v="8.3396972785746391E-3"/>
    <n v="3.0908004511744269"/>
    <n v="55657"/>
  </r>
  <r>
    <d v="2024-11-18T00:00:00"/>
    <x v="0"/>
    <n v="5798"/>
    <n v="592"/>
    <n v="631128"/>
    <n v="8.2487229214992797E-3"/>
    <n v="1.6774727155188811"/>
    <n v="13471"/>
  </r>
  <r>
    <d v="2024-11-18T00:00:00"/>
    <x v="1"/>
    <n v="7036"/>
    <n v="652"/>
    <n v="637512"/>
    <n v="1.00139291495689E-2"/>
    <n v="3.5705994553828009"/>
    <n v="51796"/>
  </r>
  <r>
    <d v="2024-11-18T00:00:00"/>
    <x v="3"/>
    <n v="3355"/>
    <n v="176"/>
    <n v="640691"/>
    <n v="4.96183027387618E-3"/>
    <n v="12.426427091999111"/>
    <n v="40268"/>
  </r>
  <r>
    <d v="2024-11-18T00:00:00"/>
    <x v="3"/>
    <n v="6887"/>
    <n v="418"/>
    <n v="647160"/>
    <n v="9.9959824463811096E-3"/>
    <n v="20.240280610668151"/>
    <n v="18329"/>
  </r>
  <r>
    <d v="2024-11-25T00:00:00"/>
    <x v="0"/>
    <n v="8961"/>
    <n v="476"/>
    <n v="655645"/>
    <n v="1.29414545981438E-2"/>
    <n v="15.458517947974901"/>
    <n v="44865"/>
  </r>
  <r>
    <d v="2024-11-25T00:00:00"/>
    <x v="0"/>
    <n v="6827"/>
    <n v="775"/>
    <n v="661697"/>
    <n v="9.1461802003031598E-3"/>
    <n v="15.96622018839439"/>
    <n v="56850"/>
  </r>
  <r>
    <d v="2024-11-25T00:00:00"/>
    <x v="3"/>
    <n v="9737"/>
    <n v="792"/>
    <n v="670642"/>
    <n v="1.33379657104685E-2"/>
    <n v="5.301785453341723"/>
    <n v="56698"/>
  </r>
  <r>
    <d v="2024-11-25T00:00:00"/>
    <x v="2"/>
    <n v="5719"/>
    <n v="576"/>
    <n v="675785"/>
    <n v="7.6104086358827197E-3"/>
    <n v="10.21656296011305"/>
    <n v="38272"/>
  </r>
  <r>
    <d v="2024-12-02T00:00:00"/>
    <x v="0"/>
    <n v="1593"/>
    <n v="224"/>
    <n v="677154"/>
    <n v="2.0216966893793699E-3"/>
    <n v="4.1495730660972248"/>
    <n v="52845"/>
  </r>
  <r>
    <d v="2024-12-02T00:00:00"/>
    <x v="3"/>
    <n v="5839"/>
    <n v="437"/>
    <n v="682556"/>
    <n v="7.9143689309009099E-3"/>
    <n v="17.44750613869045"/>
    <n v="16397"/>
  </r>
  <r>
    <d v="2024-12-02T00:00:00"/>
    <x v="0"/>
    <n v="8394"/>
    <n v="764"/>
    <n v="690186"/>
    <n v="1.10549909734477E-2"/>
    <n v="6.3556780346167558"/>
    <n v="42373"/>
  </r>
  <r>
    <d v="2024-12-02T00:00:00"/>
    <x v="2"/>
    <n v="4493"/>
    <n v="564"/>
    <n v="694115"/>
    <n v="5.6604453152575597E-3"/>
    <n v="16.625487131094989"/>
    <n v="45525"/>
  </r>
  <r>
    <d v="2024-12-09T00:00:00"/>
    <x v="1"/>
    <n v="7164"/>
    <n v="522"/>
    <n v="700757"/>
    <n v="9.4783213011072308E-3"/>
    <n v="13.449169969047761"/>
    <n v="34570"/>
  </r>
  <r>
    <d v="2024-12-09T00:00:00"/>
    <x v="0"/>
    <n v="3672"/>
    <n v="211"/>
    <n v="704218"/>
    <n v="4.9146713091684701E-3"/>
    <n v="12.35057894004413"/>
    <n v="28284"/>
  </r>
  <r>
    <d v="2024-12-09T00:00:00"/>
    <x v="2"/>
    <n v="5200"/>
    <n v="410"/>
    <n v="709008"/>
    <n v="6.7559181278631598E-3"/>
    <n v="12.913394489201821"/>
    <n v="28994"/>
  </r>
  <r>
    <d v="2024-12-09T00:00:00"/>
    <x v="3"/>
    <n v="1016"/>
    <n v="67"/>
    <n v="709957"/>
    <n v="1.3367006734210699E-3"/>
    <n v="20.774215903216671"/>
    <n v="33284"/>
  </r>
  <r>
    <d v="2024-12-16T00:00:00"/>
    <x v="0"/>
    <n v="4191"/>
    <n v="599"/>
    <n v="713549"/>
    <n v="5.0339920594100803E-3"/>
    <n v="11.56416728213479"/>
    <n v="27833"/>
  </r>
  <r>
    <d v="2024-12-16T00:00:00"/>
    <x v="0"/>
    <n v="1392"/>
    <n v="182"/>
    <n v="714759"/>
    <n v="1.69287829883919E-3"/>
    <n v="5.9603306848881932"/>
    <n v="35122"/>
  </r>
  <r>
    <d v="2024-12-16T00:00:00"/>
    <x v="3"/>
    <n v="9616"/>
    <n v="1089"/>
    <n v="723286"/>
    <n v="1.17892507251627E-2"/>
    <n v="19.25863351426683"/>
    <n v="15017"/>
  </r>
  <r>
    <d v="2024-12-16T00:00:00"/>
    <x v="1"/>
    <n v="7272"/>
    <n v="997"/>
    <n v="729561"/>
    <n v="8.6010628309353201E-3"/>
    <n v="13.428486445958599"/>
    <n v="26370"/>
  </r>
  <r>
    <d v="2024-12-23T00:00:00"/>
    <x v="3"/>
    <n v="1571"/>
    <n v="204"/>
    <n v="730928"/>
    <n v="1.8702252479040301E-3"/>
    <n v="19.449384891535139"/>
    <n v="39252"/>
  </r>
  <r>
    <d v="2024-12-23T00:00:00"/>
    <x v="0"/>
    <n v="4631"/>
    <n v="317"/>
    <n v="735242"/>
    <n v="5.8674558852731496E-3"/>
    <n v="1.381177897889402"/>
    <n v="17999"/>
  </r>
  <r>
    <d v="2024-12-23T00:00:00"/>
    <x v="3"/>
    <n v="7172"/>
    <n v="998"/>
    <n v="741416"/>
    <n v="8.32730882527488E-3"/>
    <n v="18.0667803230575"/>
    <n v="32436"/>
  </r>
  <r>
    <d v="2024-12-23T00:00:00"/>
    <x v="2"/>
    <n v="8177"/>
    <n v="849"/>
    <n v="748744"/>
    <n v="9.78705672432768E-3"/>
    <n v="10.34986590877523"/>
    <n v="52963"/>
  </r>
  <r>
    <d v="2024-12-30T00:00:00"/>
    <x v="3"/>
    <n v="9433"/>
    <n v="1233"/>
    <n v="756944"/>
    <n v="1.08330338836162E-2"/>
    <n v="11.391727789638329"/>
    <n v="12096"/>
  </r>
  <r>
    <d v="2024-12-30T00:00:00"/>
    <x v="0"/>
    <n v="4897"/>
    <n v="683"/>
    <n v="761158"/>
    <n v="5.5363012672795904E-3"/>
    <n v="15.06231294947961"/>
    <n v="58201"/>
  </r>
  <r>
    <d v="2024-12-30T00:00:00"/>
    <x v="3"/>
    <n v="9123"/>
    <n v="746"/>
    <n v="769535"/>
    <n v="1.0885794668208699E-2"/>
    <n v="6.3086149427901264"/>
    <n v="35279"/>
  </r>
  <r>
    <d v="2024-12-30T00:00:00"/>
    <x v="1"/>
    <n v="3279"/>
    <n v="200"/>
    <n v="772614"/>
    <n v="3.9851724146857297E-3"/>
    <n v="5.0212654702089274"/>
    <n v="53363"/>
  </r>
  <r>
    <d v="2025-01-06T00:00:00"/>
    <x v="3"/>
    <n v="9980"/>
    <n v="726"/>
    <n v="781868"/>
    <n v="1.18357574424327E-2"/>
    <n v="4.0220344099003924"/>
    <n v="58709"/>
  </r>
  <r>
    <d v="2025-01-06T00:00:00"/>
    <x v="1"/>
    <n v="8451"/>
    <n v="783"/>
    <n v="789536"/>
    <n v="9.7120333968305408E-3"/>
    <n v="12.407287318121019"/>
    <n v="36201"/>
  </r>
  <r>
    <d v="2025-01-06T00:00:00"/>
    <x v="2"/>
    <n v="9906"/>
    <n v="1305"/>
    <n v="798137"/>
    <n v="1.0776345414383701E-2"/>
    <n v="9.1811305577864442"/>
    <n v="29715"/>
  </r>
  <r>
    <d v="2025-01-06T00:00:00"/>
    <x v="1"/>
    <n v="1775"/>
    <n v="241"/>
    <n v="799671"/>
    <n v="1.91828889630861E-3"/>
    <n v="8.1379717408784362"/>
    <n v="39309"/>
  </r>
  <r>
    <d v="2025-01-13T00:00:00"/>
    <x v="3"/>
    <n v="7869"/>
    <n v="398"/>
    <n v="807142"/>
    <n v="9.2561160241940096E-3"/>
    <n v="15.211945357818079"/>
    <n v="25078"/>
  </r>
  <r>
    <d v="2025-01-13T00:00:00"/>
    <x v="0"/>
    <n v="3247"/>
    <n v="328"/>
    <n v="810061"/>
    <n v="3.6034323341081701E-3"/>
    <n v="13.941172331466399"/>
    <n v="15105"/>
  </r>
  <r>
    <d v="2025-01-13T00:00:00"/>
    <x v="1"/>
    <n v="8088"/>
    <n v="742"/>
    <n v="817407"/>
    <n v="8.9869550909155403E-3"/>
    <n v="14.664542877660701"/>
    <n v="39312"/>
  </r>
  <r>
    <d v="2025-01-13T00:00:00"/>
    <x v="2"/>
    <n v="1078"/>
    <n v="77"/>
    <n v="818408"/>
    <n v="1.22310632349635E-3"/>
    <n v="18.236747441373989"/>
    <n v="12839"/>
  </r>
  <r>
    <d v="2025-01-20T00:00:00"/>
    <x v="1"/>
    <n v="9080"/>
    <n v="562"/>
    <n v="826926"/>
    <n v="1.03008007971693E-2"/>
    <n v="7.1083748727213809"/>
    <n v="13384"/>
  </r>
  <r>
    <d v="2025-01-20T00:00:00"/>
    <x v="1"/>
    <n v="8099"/>
    <n v="678"/>
    <n v="834347"/>
    <n v="8.8943808751035195E-3"/>
    <n v="7.6464588474579518"/>
    <n v="53619"/>
  </r>
  <r>
    <d v="2025-01-20T00:00:00"/>
    <x v="1"/>
    <n v="4926"/>
    <n v="710"/>
    <n v="838563"/>
    <n v="5.0276484891415398E-3"/>
    <n v="12.96217457722318"/>
    <n v="52821"/>
  </r>
  <r>
    <d v="2025-01-20T00:00:00"/>
    <x v="2"/>
    <n v="8340"/>
    <n v="686"/>
    <n v="846217"/>
    <n v="9.04496128061715E-3"/>
    <n v="7.201344336027284"/>
    <n v="23493"/>
  </r>
  <r>
    <d v="2025-01-27T00:00:00"/>
    <x v="3"/>
    <n v="8083"/>
    <n v="823"/>
    <n v="853477"/>
    <n v="8.5063803711172108E-3"/>
    <n v="4.6300017457998282"/>
    <n v="27069"/>
  </r>
  <r>
    <d v="2025-01-27T00:00:00"/>
    <x v="1"/>
    <n v="7230"/>
    <n v="869"/>
    <n v="859838"/>
    <n v="7.397905186791E-3"/>
    <n v="7.0117859410726204"/>
    <n v="56907"/>
  </r>
  <r>
    <d v="2025-01-27T00:00:00"/>
    <x v="1"/>
    <n v="5940"/>
    <n v="512"/>
    <n v="865266"/>
    <n v="6.2732154042802997E-3"/>
    <n v="15.7972230504839"/>
    <n v="17531"/>
  </r>
  <r>
    <d v="2025-01-27T00:00:00"/>
    <x v="0"/>
    <n v="4271"/>
    <n v="628"/>
    <n v="868909"/>
    <n v="4.1926139561219902E-3"/>
    <n v="11.124410036033691"/>
    <n v="47051"/>
  </r>
  <r>
    <d v="2025-02-03T00:00:00"/>
    <x v="2"/>
    <n v="4456"/>
    <n v="651"/>
    <n v="872714"/>
    <n v="4.3599621410908996E-3"/>
    <n v="9.5052903929580594"/>
    <n v="17736"/>
  </r>
  <r>
    <d v="2025-02-03T00:00:00"/>
    <x v="1"/>
    <n v="8788"/>
    <n v="660"/>
    <n v="880842"/>
    <n v="9.2275345635198999E-3"/>
    <n v="3.7175793161543158"/>
    <n v="17710"/>
  </r>
  <r>
    <d v="2025-02-03T00:00:00"/>
    <x v="2"/>
    <n v="9599"/>
    <n v="957"/>
    <n v="889484"/>
    <n v="9.7157453085159502E-3"/>
    <n v="8.768004820772493"/>
    <n v="11619"/>
  </r>
  <r>
    <d v="2025-02-03T00:00:00"/>
    <x v="1"/>
    <n v="8650"/>
    <n v="692"/>
    <n v="897442"/>
    <n v="8.8674254157928897E-3"/>
    <n v="7.6673478620345374"/>
    <n v="23975"/>
  </r>
  <r>
    <d v="2025-02-10T00:00:00"/>
    <x v="3"/>
    <n v="3711"/>
    <n v="291"/>
    <n v="900862"/>
    <n v="3.7963639269943698E-3"/>
    <n v="14.24879726306582"/>
    <n v="55603"/>
  </r>
  <r>
    <d v="2025-02-10T00:00:00"/>
    <x v="3"/>
    <n v="2668"/>
    <n v="143"/>
    <n v="903387"/>
    <n v="2.79503690002181E-3"/>
    <n v="15.903372530266649"/>
    <n v="33252"/>
  </r>
  <r>
    <d v="2025-02-10T00:00:00"/>
    <x v="1"/>
    <n v="1147"/>
    <n v="127"/>
    <n v="904407"/>
    <n v="1.12781081968627E-3"/>
    <n v="1.3997016829812241"/>
    <n v="25261"/>
  </r>
  <r>
    <d v="2025-02-10T00:00:00"/>
    <x v="3"/>
    <n v="7420"/>
    <n v="743"/>
    <n v="911084"/>
    <n v="7.3286327056561202E-3"/>
    <n v="10.593534734448189"/>
    <n v="11431"/>
  </r>
  <r>
    <d v="2025-02-17T00:00:00"/>
    <x v="1"/>
    <n v="1365"/>
    <n v="75"/>
    <n v="912374"/>
    <n v="1.4138938637006299E-3"/>
    <n v="9.2688963078737441"/>
    <n v="19067"/>
  </r>
  <r>
    <d v="2025-02-17T00:00:00"/>
    <x v="3"/>
    <n v="5531"/>
    <n v="430"/>
    <n v="917475"/>
    <n v="5.5598245183792498E-3"/>
    <n v="2.7289026948963189"/>
    <n v="47481"/>
  </r>
  <r>
    <d v="2025-02-17T00:00:00"/>
    <x v="0"/>
    <n v="6330"/>
    <n v="891"/>
    <n v="922914"/>
    <n v="5.8932901657142503E-3"/>
    <n v="14.789893749580139"/>
    <n v="37037"/>
  </r>
  <r>
    <d v="2025-02-17T00:00:00"/>
    <x v="0"/>
    <n v="6510"/>
    <n v="481"/>
    <n v="928943"/>
    <n v="6.4901721634158397E-3"/>
    <n v="2.3800168578696428"/>
    <n v="19557"/>
  </r>
  <r>
    <d v="2025-02-24T00:00:00"/>
    <x v="0"/>
    <n v="9754"/>
    <n v="629"/>
    <n v="938068"/>
    <n v="9.7274398018054094E-3"/>
    <n v="3.4123325814333292"/>
    <n v="19435"/>
  </r>
  <r>
    <d v="2025-02-24T00:00:00"/>
    <x v="2"/>
    <n v="9964"/>
    <n v="985"/>
    <n v="947047"/>
    <n v="9.4810500429228992E-3"/>
    <n v="1.9837452629066989"/>
    <n v="47766"/>
  </r>
  <r>
    <d v="2025-02-24T00:00:00"/>
    <x v="2"/>
    <n v="7493"/>
    <n v="1113"/>
    <n v="953427"/>
    <n v="6.6916502259743004E-3"/>
    <n v="15.684892498324469"/>
    <n v="10162"/>
  </r>
  <r>
    <d v="2025-02-24T00:00:00"/>
    <x v="0"/>
    <n v="6439"/>
    <n v="477"/>
    <n v="959389"/>
    <n v="6.2143718554204799E-3"/>
    <n v="7.4744446725989153"/>
    <n v="44742"/>
  </r>
  <r>
    <d v="2025-03-03T00:00:00"/>
    <x v="2"/>
    <n v="7511"/>
    <n v="880"/>
    <n v="966020"/>
    <n v="6.8642471170369196E-3"/>
    <n v="4.6083932009689246"/>
    <n v="29675"/>
  </r>
  <r>
    <d v="2025-03-03T00:00:00"/>
    <x v="3"/>
    <n v="8504"/>
    <n v="1072"/>
    <n v="973452"/>
    <n v="7.6346856342172E-3"/>
    <n v="6.5651927367759271"/>
    <n v="18461"/>
  </r>
  <r>
    <d v="2025-03-03T00:00:00"/>
    <x v="1"/>
    <n v="2246"/>
    <n v="165"/>
    <n v="975533"/>
    <n v="2.1331928289458199E-3"/>
    <n v="2.9062061457685191"/>
    <n v="27015"/>
  </r>
  <r>
    <d v="2025-03-03T00:00:00"/>
    <x v="1"/>
    <n v="4839"/>
    <n v="594"/>
    <n v="979778"/>
    <n v="4.3326141227910796E-3"/>
    <n v="2.5803804535313102"/>
    <n v="42591"/>
  </r>
  <r>
    <d v="2025-03-10T00:00:00"/>
    <x v="1"/>
    <n v="9551"/>
    <n v="828"/>
    <n v="988501"/>
    <n v="8.8244726105487E-3"/>
    <n v="1.525036393488727"/>
    <n v="38047"/>
  </r>
  <r>
    <d v="2025-03-10T00:00:00"/>
    <x v="0"/>
    <n v="3376"/>
    <n v="382"/>
    <n v="991495"/>
    <n v="3.0196823988018098E-3"/>
    <n v="3.8694093263203548"/>
    <n v="44782"/>
  </r>
  <r>
    <d v="2025-03-10T00:00:00"/>
    <x v="2"/>
    <n v="4009"/>
    <n v="454"/>
    <n v="995050"/>
    <n v="3.5726847897090599E-3"/>
    <n v="2.1106477061454201"/>
    <n v="19833"/>
  </r>
  <r>
    <d v="2025-03-10T00:00:00"/>
    <x v="3"/>
    <n v="2827"/>
    <n v="292"/>
    <n v="997585"/>
    <n v="2.5411368454818402E-3"/>
    <n v="2.4004972007397871"/>
    <n v="17896"/>
  </r>
  <r>
    <d v="2025-03-17T00:00:00"/>
    <x v="3"/>
    <n v="7979"/>
    <n v="470"/>
    <n v="1005094"/>
    <n v="7.4709430162751E-3"/>
    <n v="10.43086517280971"/>
    <n v="42972"/>
  </r>
  <r>
    <d v="2025-03-17T00:00:00"/>
    <x v="0"/>
    <n v="9569"/>
    <n v="1277"/>
    <n v="1013386"/>
    <n v="8.1824694637581408E-3"/>
    <n v="12.45517502708741"/>
    <n v="59733"/>
  </r>
  <r>
    <d v="2025-03-17T00:00:00"/>
    <x v="3"/>
    <n v="5285"/>
    <n v="433"/>
    <n v="1018238"/>
    <n v="4.7650942117658203E-3"/>
    <n v="8.7022876773406619"/>
    <n v="51800"/>
  </r>
  <r>
    <d v="2025-03-17T00:00:00"/>
    <x v="3"/>
    <n v="7910"/>
    <n v="543"/>
    <n v="1025605"/>
    <n v="7.1830773055903598E-3"/>
    <n v="6.0590578244060822"/>
    <n v="40508"/>
  </r>
  <r>
    <d v="2025-03-24T00:00:00"/>
    <x v="3"/>
    <n v="9561"/>
    <n v="517"/>
    <n v="1034649"/>
    <n v="8.7411286339618595E-3"/>
    <n v="6.4086467971263694"/>
    <n v="15347"/>
  </r>
  <r>
    <d v="2025-03-24T00:00:00"/>
    <x v="3"/>
    <n v="3196"/>
    <n v="348"/>
    <n v="1037497"/>
    <n v="2.7450681785103999E-3"/>
    <n v="14.03040201562029"/>
    <n v="40314"/>
  </r>
  <r>
    <d v="2025-03-24T00:00:00"/>
    <x v="2"/>
    <n v="4747"/>
    <n v="558"/>
    <n v="1041686"/>
    <n v="4.0213653634588497E-3"/>
    <n v="5.7680529449373434"/>
    <n v="12643"/>
  </r>
  <r>
    <d v="2025-03-24T00:00:00"/>
    <x v="3"/>
    <n v="9843"/>
    <n v="508"/>
    <n v="1051021"/>
    <n v="8.8818396587699005E-3"/>
    <n v="4.2080986012648651"/>
    <n v="50785"/>
  </r>
  <r>
    <d v="2025-03-31T00:00:00"/>
    <x v="1"/>
    <n v="6978"/>
    <n v="706"/>
    <n v="1057293"/>
    <n v="5.9321304501212101E-3"/>
    <n v="5.057443868445171"/>
    <n v="28681"/>
  </r>
  <r>
    <d v="2025-03-31T00:00:00"/>
    <x v="0"/>
    <n v="6607"/>
    <n v="479"/>
    <n v="1063421"/>
    <n v="5.7625343114345098E-3"/>
    <n v="5.5892257158735816"/>
    <n v="48328"/>
  </r>
  <r>
    <d v="2025-03-31T00:00:00"/>
    <x v="2"/>
    <n v="1769"/>
    <n v="202"/>
    <n v="1064988"/>
    <n v="1.47137808125538E-3"/>
    <n v="6.5457075572682513"/>
    <n v="25892"/>
  </r>
  <r>
    <d v="2025-03-31T00:00:00"/>
    <x v="3"/>
    <n v="1780"/>
    <n v="120"/>
    <n v="1066648"/>
    <n v="1.55627723485161E-3"/>
    <n v="13.86474263299608"/>
    <n v="57299"/>
  </r>
  <r>
    <d v="2025-04-07T00:00:00"/>
    <x v="2"/>
    <n v="7303"/>
    <n v="869"/>
    <n v="1073082"/>
    <n v="5.9958139266151197E-3"/>
    <n v="8.1237966902808925"/>
    <n v="27073"/>
  </r>
  <r>
    <d v="2025-04-07T00:00:00"/>
    <x v="3"/>
    <n v="4983"/>
    <n v="441"/>
    <n v="1077624"/>
    <n v="4.2148281775461604E-3"/>
    <n v="6.8954477628560609"/>
    <n v="46768"/>
  </r>
  <r>
    <d v="2025-04-07T00:00:00"/>
    <x v="1"/>
    <n v="9714"/>
    <n v="1395"/>
    <n v="1085943"/>
    <n v="7.6606230713766798E-3"/>
    <n v="5.2243073531483697"/>
    <n v="40682"/>
  </r>
  <r>
    <d v="2025-04-07T00:00:00"/>
    <x v="0"/>
    <n v="1521"/>
    <n v="96"/>
    <n v="1087368"/>
    <n v="1.31050389564526E-3"/>
    <n v="12.709772588488899"/>
    <n v="42262"/>
  </r>
  <r>
    <d v="2025-04-14T00:00:00"/>
    <x v="3"/>
    <n v="8569"/>
    <n v="720"/>
    <n v="1095217"/>
    <n v="7.1666162961312703E-3"/>
    <n v="9.589697749395782"/>
    <n v="41358"/>
  </r>
  <r>
    <d v="2025-04-14T00:00:00"/>
    <x v="3"/>
    <n v="6784"/>
    <n v="416"/>
    <n v="1101585"/>
    <n v="5.7807613574985097E-3"/>
    <n v="9.3041390360253633"/>
    <n v="24289"/>
  </r>
  <r>
    <d v="2025-04-14T00:00:00"/>
    <x v="3"/>
    <n v="5583"/>
    <n v="795"/>
    <n v="1106373"/>
    <n v="4.3276544167292598E-3"/>
    <n v="12.21550055903389"/>
    <n v="59823"/>
  </r>
  <r>
    <d v="2025-04-14T00:00:00"/>
    <x v="3"/>
    <n v="6946"/>
    <n v="956"/>
    <n v="1112363"/>
    <n v="5.3849327962185002E-3"/>
    <n v="1.64146056637986"/>
    <n v="17927"/>
  </r>
  <r>
    <d v="2025-04-21T00:00:00"/>
    <x v="0"/>
    <n v="5941"/>
    <n v="450"/>
    <n v="1117854"/>
    <n v="4.9120904876665504E-3"/>
    <n v="12.414411899944"/>
    <n v="58330"/>
  </r>
  <r>
    <d v="2025-04-21T00:00:00"/>
    <x v="0"/>
    <n v="7267"/>
    <n v="842"/>
    <n v="1124279"/>
    <n v="5.7147736460433796E-3"/>
    <n v="2.2102165031989389"/>
    <n v="11171"/>
  </r>
  <r>
    <d v="2025-04-21T00:00:00"/>
    <x v="1"/>
    <n v="8128"/>
    <n v="1070"/>
    <n v="1131337"/>
    <n v="6.2386362330587603E-3"/>
    <n v="8.1114645768679008"/>
    <n v="21918"/>
  </r>
  <r>
    <d v="2025-04-21T00:00:00"/>
    <x v="0"/>
    <n v="3461"/>
    <n v="365"/>
    <n v="1134433"/>
    <n v="2.7291166600407401E-3"/>
    <n v="10.23489267325616"/>
    <n v="51903"/>
  </r>
  <r>
    <d v="2025-04-28T00:00:00"/>
    <x v="3"/>
    <n v="1685"/>
    <n v="173"/>
    <n v="1135945"/>
    <n v="1.33105035895224E-3"/>
    <n v="8.7776256772995165"/>
    <n v="49110"/>
  </r>
  <r>
    <d v="2025-04-28T00:00:00"/>
    <x v="1"/>
    <n v="3160"/>
    <n v="234"/>
    <n v="1138871"/>
    <n v="2.5692110871204901E-3"/>
    <n v="5.6959041015180816"/>
    <n v="21929"/>
  </r>
  <r>
    <d v="2025-04-28T00:00:00"/>
    <x v="1"/>
    <n v="8031"/>
    <n v="476"/>
    <n v="1146426"/>
    <n v="6.5900459340594202E-3"/>
    <n v="11.940413075069831"/>
    <n v="12539"/>
  </r>
  <r>
    <d v="2025-04-28T00:00:00"/>
    <x v="1"/>
    <n v="6341"/>
    <n v="885"/>
    <n v="1151882"/>
    <n v="4.7365962832998498E-3"/>
    <n v="6.3457020771224837"/>
    <n v="46727"/>
  </r>
  <r>
    <d v="2025-05-05T00:00:00"/>
    <x v="3"/>
    <n v="1038"/>
    <n v="145"/>
    <n v="1152775"/>
    <n v="7.7465246904209403E-4"/>
    <n v="11.093752033137431"/>
    <n v="55951"/>
  </r>
  <r>
    <d v="2025-05-05T00:00:00"/>
    <x v="2"/>
    <n v="5875"/>
    <n v="665"/>
    <n v="1157985"/>
    <n v="4.4991947218659999E-3"/>
    <n v="6.9871371390821126"/>
    <n v="32669"/>
  </r>
  <r>
    <d v="2025-05-05T00:00:00"/>
    <x v="3"/>
    <n v="2256"/>
    <n v="189"/>
    <n v="1160052"/>
    <n v="1.7818166771834401E-3"/>
    <n v="2.8935771844710412"/>
    <n v="15432"/>
  </r>
  <r>
    <d v="2025-05-05T00:00:00"/>
    <x v="0"/>
    <n v="8697"/>
    <n v="738"/>
    <n v="1168011"/>
    <n v="6.8141481544266302E-3"/>
    <n v="3.8777032065622672"/>
    <n v="30644"/>
  </r>
  <r>
    <d v="2025-05-12T00:00:00"/>
    <x v="0"/>
    <n v="3196"/>
    <n v="391"/>
    <n v="1170816"/>
    <n v="2.39576500491965E-3"/>
    <n v="7.2439221876024931"/>
    <n v="28745"/>
  </r>
  <r>
    <d v="2025-05-12T00:00:00"/>
    <x v="3"/>
    <n v="8165"/>
    <n v="1140"/>
    <n v="1177841"/>
    <n v="5.9643024822535499E-3"/>
    <n v="9.095964565675672"/>
    <n v="38228"/>
  </r>
  <r>
    <d v="2025-05-12T00:00:00"/>
    <x v="3"/>
    <n v="1301"/>
    <n v="180"/>
    <n v="1178962"/>
    <n v="9.5083641372665096E-4"/>
    <n v="5.2275645864752214"/>
    <n v="44521"/>
  </r>
  <r>
    <d v="2025-05-12T00:00:00"/>
    <x v="1"/>
    <n v="8527"/>
    <n v="1091"/>
    <n v="1186398"/>
    <n v="6.2677111728104704E-3"/>
    <n v="1.676081719625286"/>
    <n v="417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3.6395347716738802E-2"/>
    <x v="0"/>
    <x v="0"/>
  </r>
  <r>
    <d v="2024-06-03T00:00:00"/>
    <x v="1"/>
    <n v="8693"/>
    <n v="1261"/>
    <n v="111209"/>
    <n v="6.6829123542159405E-2"/>
    <x v="1"/>
    <x v="1"/>
  </r>
  <r>
    <d v="2024-06-03T00:00:00"/>
    <x v="2"/>
    <n v="9264"/>
    <n v="1141"/>
    <n v="119332"/>
    <n v="6.8070592967519203E-2"/>
    <x v="2"/>
    <x v="2"/>
  </r>
  <r>
    <d v="2024-06-03T00:00:00"/>
    <x v="2"/>
    <n v="8842"/>
    <n v="971"/>
    <n v="127203"/>
    <n v="6.1877471443283601E-2"/>
    <x v="3"/>
    <x v="3"/>
  </r>
  <r>
    <d v="2024-06-10T00:00:00"/>
    <x v="0"/>
    <n v="7721"/>
    <n v="506"/>
    <n v="134418"/>
    <n v="5.3675846984778799E-2"/>
    <x v="4"/>
    <x v="4"/>
  </r>
  <r>
    <d v="2024-06-10T00:00:00"/>
    <x v="2"/>
    <n v="8002"/>
    <n v="524"/>
    <n v="141896"/>
    <n v="5.2700569431132702E-2"/>
    <x v="5"/>
    <x v="5"/>
  </r>
  <r>
    <d v="2024-06-10T00:00:00"/>
    <x v="1"/>
    <n v="5225"/>
    <n v="291"/>
    <n v="146830"/>
    <n v="3.3603487025812201E-2"/>
    <x v="6"/>
    <x v="6"/>
  </r>
  <r>
    <d v="2024-06-10T00:00:00"/>
    <x v="1"/>
    <n v="3978"/>
    <n v="543"/>
    <n v="150265"/>
    <n v="2.2859614680730701E-2"/>
    <x v="7"/>
    <x v="7"/>
  </r>
  <r>
    <d v="2024-06-17T00:00:00"/>
    <x v="0"/>
    <n v="8373"/>
    <n v="921"/>
    <n v="157717"/>
    <n v="4.7249186834646899E-2"/>
    <x v="8"/>
    <x v="8"/>
  </r>
  <r>
    <d v="2024-06-17T00:00:00"/>
    <x v="1"/>
    <n v="6907"/>
    <n v="834"/>
    <n v="163790"/>
    <n v="3.70779656877709E-2"/>
    <x v="9"/>
    <x v="9"/>
  </r>
  <r>
    <d v="2024-06-17T00:00:00"/>
    <x v="3"/>
    <n v="7097"/>
    <n v="369"/>
    <n v="170518"/>
    <n v="3.9456245088495101E-2"/>
    <x v="10"/>
    <x v="10"/>
  </r>
  <r>
    <d v="2024-06-17T00:00:00"/>
    <x v="0"/>
    <n v="6656"/>
    <n v="978"/>
    <n v="176196"/>
    <n v="3.2225476174260498E-2"/>
    <x v="11"/>
    <x v="11"/>
  </r>
  <r>
    <d v="2024-06-24T00:00:00"/>
    <x v="1"/>
    <n v="9984"/>
    <n v="1330"/>
    <n v="184850"/>
    <n v="4.6816337571003501E-2"/>
    <x v="12"/>
    <x v="12"/>
  </r>
  <r>
    <d v="2024-06-24T00:00:00"/>
    <x v="0"/>
    <n v="5259"/>
    <n v="374"/>
    <n v="189735"/>
    <n v="2.5746435818378301E-2"/>
    <x v="13"/>
    <x v="13"/>
  </r>
  <r>
    <d v="2024-06-24T00:00:00"/>
    <x v="2"/>
    <n v="9286"/>
    <n v="633"/>
    <n v="198388"/>
    <n v="4.3616549388067798E-2"/>
    <x v="14"/>
    <x v="14"/>
  </r>
  <r>
    <d v="2024-06-24T00:00:00"/>
    <x v="1"/>
    <n v="6901"/>
    <n v="471"/>
    <n v="204818"/>
    <n v="3.1393725160874499E-2"/>
    <x v="15"/>
    <x v="15"/>
  </r>
  <r>
    <d v="2024-07-01T00:00:00"/>
    <x v="3"/>
    <n v="5917"/>
    <n v="475"/>
    <n v="210260"/>
    <n v="2.5882241034909201E-2"/>
    <x v="16"/>
    <x v="16"/>
  </r>
  <r>
    <d v="2024-07-01T00:00:00"/>
    <x v="1"/>
    <n v="9429"/>
    <n v="966"/>
    <n v="218723"/>
    <n v="3.8692775794040901E-2"/>
    <x v="17"/>
    <x v="17"/>
  </r>
  <r>
    <d v="2024-07-01T00:00:00"/>
    <x v="0"/>
    <n v="3530"/>
    <n v="328"/>
    <n v="221925"/>
    <n v="1.44282978483722E-2"/>
    <x v="18"/>
    <x v="18"/>
  </r>
  <r>
    <d v="2024-07-01T00:00:00"/>
    <x v="0"/>
    <n v="2960"/>
    <n v="234"/>
    <n v="224651"/>
    <n v="1.21343773230478E-2"/>
    <x v="19"/>
    <x v="19"/>
  </r>
  <r>
    <d v="2024-07-08T00:00:00"/>
    <x v="1"/>
    <n v="8045"/>
    <n v="894"/>
    <n v="231802"/>
    <n v="3.0849604403758401E-2"/>
    <x v="20"/>
    <x v="20"/>
  </r>
  <r>
    <d v="2024-07-08T00:00:00"/>
    <x v="3"/>
    <n v="2048"/>
    <n v="130"/>
    <n v="233720"/>
    <n v="8.2064008214958097E-3"/>
    <x v="21"/>
    <x v="21"/>
  </r>
  <r>
    <d v="2024-07-08T00:00:00"/>
    <x v="3"/>
    <n v="6772"/>
    <n v="536"/>
    <n v="239956"/>
    <n v="2.5988097817933299E-2"/>
    <x v="22"/>
    <x v="22"/>
  </r>
  <r>
    <d v="2024-07-08T00:00:00"/>
    <x v="3"/>
    <n v="3529"/>
    <n v="305"/>
    <n v="243180"/>
    <n v="1.3257669216218401E-2"/>
    <x v="23"/>
    <x v="23"/>
  </r>
  <r>
    <d v="2024-07-15T00:00:00"/>
    <x v="0"/>
    <n v="3964"/>
    <n v="378"/>
    <n v="246766"/>
    <n v="1.45319857678935E-2"/>
    <x v="24"/>
    <x v="24"/>
  </r>
  <r>
    <d v="2024-07-15T00:00:00"/>
    <x v="1"/>
    <n v="8137"/>
    <n v="1045"/>
    <n v="253858"/>
    <n v="2.79368780972039E-2"/>
    <x v="25"/>
    <x v="25"/>
  </r>
  <r>
    <d v="2024-07-15T00:00:00"/>
    <x v="2"/>
    <n v="1963"/>
    <n v="137"/>
    <n v="255684"/>
    <n v="7.1416279469970799E-3"/>
    <x v="26"/>
    <x v="26"/>
  </r>
  <r>
    <d v="2024-07-15T00:00:00"/>
    <x v="0"/>
    <n v="1536"/>
    <n v="155"/>
    <n v="257065"/>
    <n v="5.3721821329235798E-3"/>
    <x v="27"/>
    <x v="27"/>
  </r>
  <r>
    <d v="2024-07-22T00:00:00"/>
    <x v="3"/>
    <n v="8340"/>
    <n v="911"/>
    <n v="264494"/>
    <n v="2.8087593669421599E-2"/>
    <x v="28"/>
    <x v="28"/>
  </r>
  <r>
    <d v="2024-07-22T00:00:00"/>
    <x v="1"/>
    <n v="8179"/>
    <n v="446"/>
    <n v="272227"/>
    <n v="2.84064402134983E-2"/>
    <x v="29"/>
    <x v="29"/>
  </r>
  <r>
    <d v="2024-07-22T00:00:00"/>
    <x v="3"/>
    <n v="8967"/>
    <n v="993"/>
    <n v="280201"/>
    <n v="2.8458142547671102E-2"/>
    <x v="30"/>
    <x v="30"/>
  </r>
  <r>
    <d v="2024-07-22T00:00:00"/>
    <x v="2"/>
    <n v="9734"/>
    <n v="652"/>
    <n v="289283"/>
    <n v="3.1394862470314498E-2"/>
    <x v="31"/>
    <x v="4"/>
  </r>
  <r>
    <d v="2024-07-29T00:00:00"/>
    <x v="3"/>
    <n v="1845"/>
    <n v="104"/>
    <n v="291024"/>
    <n v="5.9823244818296801E-3"/>
    <x v="32"/>
    <x v="31"/>
  </r>
  <r>
    <d v="2024-07-29T00:00:00"/>
    <x v="3"/>
    <n v="6777"/>
    <n v="981"/>
    <n v="296820"/>
    <n v="1.9526986052152799E-2"/>
    <x v="33"/>
    <x v="32"/>
  </r>
  <r>
    <d v="2024-07-29T00:00:00"/>
    <x v="2"/>
    <n v="4036"/>
    <n v="591"/>
    <n v="300265"/>
    <n v="1.1473198674504199E-2"/>
    <x v="34"/>
    <x v="33"/>
  </r>
  <r>
    <d v="2024-07-29T00:00:00"/>
    <x v="1"/>
    <n v="6947"/>
    <n v="908"/>
    <n v="306304"/>
    <n v="1.9715707271207701E-2"/>
    <x v="35"/>
    <x v="34"/>
  </r>
  <r>
    <d v="2024-08-05T00:00:00"/>
    <x v="0"/>
    <n v="3494"/>
    <n v="281"/>
    <n v="309517"/>
    <n v="1.03806899136396E-2"/>
    <x v="36"/>
    <x v="35"/>
  </r>
  <r>
    <d v="2024-08-05T00:00:00"/>
    <x v="1"/>
    <n v="3719"/>
    <n v="222"/>
    <n v="313014"/>
    <n v="1.11720242545062E-2"/>
    <x v="37"/>
    <x v="36"/>
  </r>
  <r>
    <d v="2024-08-05T00:00:00"/>
    <x v="2"/>
    <n v="2884"/>
    <n v="341"/>
    <n v="315557"/>
    <n v="8.0587659281841292E-3"/>
    <x v="38"/>
    <x v="37"/>
  </r>
  <r>
    <d v="2024-08-05T00:00:00"/>
    <x v="3"/>
    <n v="5349"/>
    <n v="502"/>
    <n v="320404"/>
    <n v="1.51277761825695E-2"/>
    <x v="39"/>
    <x v="38"/>
  </r>
  <r>
    <d v="2024-08-12T00:00:00"/>
    <x v="1"/>
    <n v="6179"/>
    <n v="384"/>
    <n v="326199"/>
    <n v="1.7765229200580001E-2"/>
    <x v="40"/>
    <x v="39"/>
  </r>
  <r>
    <d v="2024-08-12T00:00:00"/>
    <x v="0"/>
    <n v="7610"/>
    <n v="757"/>
    <n v="333052"/>
    <n v="2.0576366453286601E-2"/>
    <x v="41"/>
    <x v="40"/>
  </r>
  <r>
    <d v="2024-08-12T00:00:00"/>
    <x v="2"/>
    <n v="7430"/>
    <n v="397"/>
    <n v="340085"/>
    <n v="2.0680124086625399E-2"/>
    <x v="42"/>
    <x v="41"/>
  </r>
  <r>
    <d v="2024-08-12T00:00:00"/>
    <x v="1"/>
    <n v="8154"/>
    <n v="1149"/>
    <n v="347090"/>
    <n v="2.0182085338096699E-2"/>
    <x v="43"/>
    <x v="42"/>
  </r>
  <r>
    <d v="2024-08-19T00:00:00"/>
    <x v="0"/>
    <n v="7488"/>
    <n v="568"/>
    <n v="354010"/>
    <n v="1.9547470410440401E-2"/>
    <x v="44"/>
    <x v="43"/>
  </r>
  <r>
    <d v="2024-08-19T00:00:00"/>
    <x v="2"/>
    <n v="5737"/>
    <n v="666"/>
    <n v="359081"/>
    <n v="1.4122161852061201E-2"/>
    <x v="45"/>
    <x v="44"/>
  </r>
  <r>
    <d v="2024-08-19T00:00:00"/>
    <x v="0"/>
    <n v="7525"/>
    <n v="610"/>
    <n v="365996"/>
    <n v="1.8893649110919199E-2"/>
    <x v="46"/>
    <x v="45"/>
  </r>
  <r>
    <d v="2024-08-19T00:00:00"/>
    <x v="2"/>
    <n v="4850"/>
    <n v="494"/>
    <n v="370352"/>
    <n v="1.1761783384455901E-2"/>
    <x v="47"/>
    <x v="46"/>
  </r>
  <r>
    <d v="2024-08-26T00:00:00"/>
    <x v="3"/>
    <n v="1689"/>
    <n v="176"/>
    <n v="371865"/>
    <n v="4.0686808384763299E-3"/>
    <x v="48"/>
    <x v="47"/>
  </r>
  <r>
    <d v="2024-08-26T00:00:00"/>
    <x v="1"/>
    <n v="6175"/>
    <n v="422"/>
    <n v="377618"/>
    <n v="1.5234972909130401E-2"/>
    <x v="49"/>
    <x v="48"/>
  </r>
  <r>
    <d v="2024-08-26T00:00:00"/>
    <x v="0"/>
    <n v="9648"/>
    <n v="1417"/>
    <n v="385849"/>
    <n v="2.13321791685348E-2"/>
    <x v="50"/>
    <x v="49"/>
  </r>
  <r>
    <d v="2024-08-26T00:00:00"/>
    <x v="2"/>
    <n v="6078"/>
    <n v="775"/>
    <n v="391152"/>
    <n v="1.35573894547388E-2"/>
    <x v="51"/>
    <x v="50"/>
  </r>
  <r>
    <d v="2024-09-02T00:00:00"/>
    <x v="0"/>
    <n v="6448"/>
    <n v="928"/>
    <n v="396672"/>
    <n v="1.3915779283639899E-2"/>
    <x v="52"/>
    <x v="51"/>
  </r>
  <r>
    <d v="2024-09-02T00:00:00"/>
    <x v="0"/>
    <n v="2179"/>
    <n v="303"/>
    <n v="398548"/>
    <n v="4.7070867248110602E-3"/>
    <x v="53"/>
    <x v="52"/>
  </r>
  <r>
    <d v="2024-09-02T00:00:00"/>
    <x v="1"/>
    <n v="7406"/>
    <n v="813"/>
    <n v="405141"/>
    <n v="1.62733468101229E-2"/>
    <x v="54"/>
    <x v="53"/>
  </r>
  <r>
    <d v="2024-09-02T00:00:00"/>
    <x v="3"/>
    <n v="9591"/>
    <n v="1363"/>
    <n v="413369"/>
    <n v="1.9904734026983201E-2"/>
    <x v="55"/>
    <x v="54"/>
  </r>
  <r>
    <d v="2024-09-09T00:00:00"/>
    <x v="0"/>
    <n v="7907"/>
    <n v="465"/>
    <n v="420811"/>
    <n v="1.76848989213685E-2"/>
    <x v="56"/>
    <x v="55"/>
  </r>
  <r>
    <d v="2024-09-09T00:00:00"/>
    <x v="2"/>
    <n v="9800"/>
    <n v="682"/>
    <n v="429929"/>
    <n v="2.1208152974095701E-2"/>
    <x v="57"/>
    <x v="56"/>
  </r>
  <r>
    <d v="2024-09-09T00:00:00"/>
    <x v="2"/>
    <n v="2638"/>
    <n v="143"/>
    <n v="432424"/>
    <n v="5.76980001110022E-3"/>
    <x v="58"/>
    <x v="57"/>
  </r>
  <r>
    <d v="2024-09-09T00:00:00"/>
    <x v="3"/>
    <n v="6671"/>
    <n v="550"/>
    <n v="438545"/>
    <n v="1.3957518612685099E-2"/>
    <x v="59"/>
    <x v="58"/>
  </r>
  <r>
    <d v="2024-09-16T00:00:00"/>
    <x v="2"/>
    <n v="7928"/>
    <n v="704"/>
    <n v="445769"/>
    <n v="1.6205702953772001E-2"/>
    <x v="60"/>
    <x v="59"/>
  </r>
  <r>
    <d v="2024-09-16T00:00:00"/>
    <x v="3"/>
    <n v="2382"/>
    <n v="183"/>
    <n v="447968"/>
    <n v="4.9088327737695503E-3"/>
    <x v="61"/>
    <x v="60"/>
  </r>
  <r>
    <d v="2024-09-16T00:00:00"/>
    <x v="2"/>
    <n v="2403"/>
    <n v="319"/>
    <n v="450052"/>
    <n v="4.63057602232631E-3"/>
    <x v="62"/>
    <x v="61"/>
  </r>
  <r>
    <d v="2024-09-16T00:00:00"/>
    <x v="1"/>
    <n v="4292"/>
    <n v="367"/>
    <n v="453977"/>
    <n v="8.6458124530537899E-3"/>
    <x v="63"/>
    <x v="62"/>
  </r>
  <r>
    <d v="2024-09-23T00:00:00"/>
    <x v="0"/>
    <n v="1419"/>
    <n v="110"/>
    <n v="455286"/>
    <n v="2.8751158612388699E-3"/>
    <x v="64"/>
    <x v="63"/>
  </r>
  <r>
    <d v="2024-09-23T00:00:00"/>
    <x v="1"/>
    <n v="5517"/>
    <n v="575"/>
    <n v="460228"/>
    <n v="1.07381558705685E-2"/>
    <x v="65"/>
    <x v="64"/>
  </r>
  <r>
    <d v="2024-09-23T00:00:00"/>
    <x v="0"/>
    <n v="4302"/>
    <n v="275"/>
    <n v="464255"/>
    <n v="8.6741122874282404E-3"/>
    <x v="66"/>
    <x v="65"/>
  </r>
  <r>
    <d v="2024-09-23T00:00:00"/>
    <x v="0"/>
    <n v="8857"/>
    <n v="1153"/>
    <n v="471959"/>
    <n v="1.6323451825264498E-2"/>
    <x v="67"/>
    <x v="66"/>
  </r>
  <r>
    <d v="2024-09-30T00:00:00"/>
    <x v="0"/>
    <n v="8870"/>
    <n v="509"/>
    <n v="480320"/>
    <n v="1.7407145236508999E-2"/>
    <x v="68"/>
    <x v="67"/>
  </r>
  <r>
    <d v="2024-09-30T00:00:00"/>
    <x v="1"/>
    <n v="6693"/>
    <n v="995"/>
    <n v="486018"/>
    <n v="1.1723845618886499E-2"/>
    <x v="69"/>
    <x v="68"/>
  </r>
  <r>
    <d v="2024-09-30T00:00:00"/>
    <x v="0"/>
    <n v="1767"/>
    <n v="224"/>
    <n v="487561"/>
    <n v="3.1647322078673201E-3"/>
    <x v="70"/>
    <x v="69"/>
  </r>
  <r>
    <d v="2024-09-30T00:00:00"/>
    <x v="1"/>
    <n v="3044"/>
    <n v="212"/>
    <n v="490393"/>
    <n v="5.7749600830354396E-3"/>
    <x v="71"/>
    <x v="70"/>
  </r>
  <r>
    <d v="2024-10-07T00:00:00"/>
    <x v="3"/>
    <n v="2549"/>
    <n v="128"/>
    <n v="492814"/>
    <n v="4.9126039438814597E-3"/>
    <x v="72"/>
    <x v="71"/>
  </r>
  <r>
    <d v="2024-10-07T00:00:00"/>
    <x v="2"/>
    <n v="7140"/>
    <n v="939"/>
    <n v="499015"/>
    <n v="1.2426480165926901E-2"/>
    <x v="73"/>
    <x v="72"/>
  </r>
  <r>
    <d v="2024-10-07T00:00:00"/>
    <x v="2"/>
    <n v="4716"/>
    <n v="569"/>
    <n v="503162"/>
    <n v="8.2418783612434997E-3"/>
    <x v="74"/>
    <x v="73"/>
  </r>
  <r>
    <d v="2024-10-07T00:00:00"/>
    <x v="0"/>
    <n v="5481"/>
    <n v="673"/>
    <n v="507970"/>
    <n v="9.4651258932614106E-3"/>
    <x v="75"/>
    <x v="74"/>
  </r>
  <r>
    <d v="2024-10-14T00:00:00"/>
    <x v="1"/>
    <n v="8898"/>
    <n v="1131"/>
    <n v="515737"/>
    <n v="1.50600015123988E-2"/>
    <x v="76"/>
    <x v="75"/>
  </r>
  <r>
    <d v="2024-10-14T00:00:00"/>
    <x v="2"/>
    <n v="7548"/>
    <n v="433"/>
    <n v="522852"/>
    <n v="1.36080573470122E-2"/>
    <x v="77"/>
    <x v="76"/>
  </r>
  <r>
    <d v="2024-10-14T00:00:00"/>
    <x v="1"/>
    <n v="3293"/>
    <n v="282"/>
    <n v="525863"/>
    <n v="5.7258259280459E-3"/>
    <x v="78"/>
    <x v="77"/>
  </r>
  <r>
    <d v="2024-10-14T00:00:00"/>
    <x v="1"/>
    <n v="5837"/>
    <n v="359"/>
    <n v="531341"/>
    <n v="1.03097634099383E-2"/>
    <x v="79"/>
    <x v="78"/>
  </r>
  <r>
    <d v="2024-10-21T00:00:00"/>
    <x v="0"/>
    <n v="8758"/>
    <n v="1193"/>
    <n v="538906"/>
    <n v="1.40376985967868E-2"/>
    <x v="80"/>
    <x v="79"/>
  </r>
  <r>
    <d v="2024-10-21T00:00:00"/>
    <x v="2"/>
    <n v="7793"/>
    <n v="875"/>
    <n v="545824"/>
    <n v="1.26744151961072E-2"/>
    <x v="81"/>
    <x v="80"/>
  </r>
  <r>
    <d v="2024-10-21T00:00:00"/>
    <x v="0"/>
    <n v="8638"/>
    <n v="717"/>
    <n v="553745"/>
    <n v="1.4304418098583301E-2"/>
    <x v="82"/>
    <x v="81"/>
  </r>
  <r>
    <d v="2024-10-21T00:00:00"/>
    <x v="0"/>
    <n v="8993"/>
    <n v="506"/>
    <n v="562232"/>
    <n v="1.5095192020375899E-2"/>
    <x v="83"/>
    <x v="82"/>
  </r>
  <r>
    <d v="2024-10-28T00:00:00"/>
    <x v="2"/>
    <n v="7007"/>
    <n v="568"/>
    <n v="568671"/>
    <n v="1.13228914433829E-2"/>
    <x v="84"/>
    <x v="83"/>
  </r>
  <r>
    <d v="2024-10-28T00:00:00"/>
    <x v="2"/>
    <n v="6542"/>
    <n v="539"/>
    <n v="574674"/>
    <n v="1.04459223838211E-2"/>
    <x v="85"/>
    <x v="84"/>
  </r>
  <r>
    <d v="2024-10-28T00:00:00"/>
    <x v="3"/>
    <n v="7356"/>
    <n v="904"/>
    <n v="581126"/>
    <n v="1.1102583604932501E-2"/>
    <x v="86"/>
    <x v="85"/>
  </r>
  <r>
    <d v="2024-10-28T00:00:00"/>
    <x v="3"/>
    <n v="9433"/>
    <n v="1073"/>
    <n v="589486"/>
    <n v="1.4181846557848699E-2"/>
    <x v="87"/>
    <x v="86"/>
  </r>
  <r>
    <d v="2024-11-04T00:00:00"/>
    <x v="1"/>
    <n v="8380"/>
    <n v="1162"/>
    <n v="596704"/>
    <n v="1.2096449831072E-2"/>
    <x v="88"/>
    <x v="87"/>
  </r>
  <r>
    <d v="2024-11-04T00:00:00"/>
    <x v="2"/>
    <n v="3385"/>
    <n v="329"/>
    <n v="599760"/>
    <n v="5.0953714819261002E-3"/>
    <x v="89"/>
    <x v="88"/>
  </r>
  <r>
    <d v="2024-11-04T00:00:00"/>
    <x v="3"/>
    <n v="5268"/>
    <n v="326"/>
    <n v="604702"/>
    <n v="8.17262056351724E-3"/>
    <x v="90"/>
    <x v="89"/>
  </r>
  <r>
    <d v="2024-11-04T00:00:00"/>
    <x v="1"/>
    <n v="1671"/>
    <n v="202"/>
    <n v="606171"/>
    <n v="2.42340857612786E-3"/>
    <x v="91"/>
    <x v="90"/>
  </r>
  <r>
    <d v="2024-11-11T00:00:00"/>
    <x v="1"/>
    <n v="1163"/>
    <n v="146"/>
    <n v="607188"/>
    <n v="1.6749342872388799E-3"/>
    <x v="92"/>
    <x v="91"/>
  </r>
  <r>
    <d v="2024-11-11T00:00:00"/>
    <x v="1"/>
    <n v="9656"/>
    <n v="1024"/>
    <n v="615820"/>
    <n v="1.40170829138385E-2"/>
    <x v="93"/>
    <x v="92"/>
  </r>
  <r>
    <d v="2024-11-11T00:00:00"/>
    <x v="3"/>
    <n v="5592"/>
    <n v="710"/>
    <n v="620702"/>
    <n v="7.86528801260508E-3"/>
    <x v="94"/>
    <x v="93"/>
  </r>
  <r>
    <d v="2024-11-11T00:00:00"/>
    <x v="2"/>
    <n v="5795"/>
    <n v="575"/>
    <n v="625922"/>
    <n v="8.3396972785746391E-3"/>
    <x v="95"/>
    <x v="94"/>
  </r>
  <r>
    <d v="2024-11-18T00:00:00"/>
    <x v="0"/>
    <n v="5798"/>
    <n v="592"/>
    <n v="631128"/>
    <n v="8.2487229214992797E-3"/>
    <x v="96"/>
    <x v="95"/>
  </r>
  <r>
    <d v="2024-11-18T00:00:00"/>
    <x v="1"/>
    <n v="7036"/>
    <n v="652"/>
    <n v="637512"/>
    <n v="1.00139291495689E-2"/>
    <x v="97"/>
    <x v="96"/>
  </r>
  <r>
    <d v="2024-11-18T00:00:00"/>
    <x v="3"/>
    <n v="3355"/>
    <n v="176"/>
    <n v="640691"/>
    <n v="4.96183027387618E-3"/>
    <x v="98"/>
    <x v="97"/>
  </r>
  <r>
    <d v="2024-11-18T00:00:00"/>
    <x v="3"/>
    <n v="6887"/>
    <n v="418"/>
    <n v="647160"/>
    <n v="9.9959824463811096E-3"/>
    <x v="99"/>
    <x v="98"/>
  </r>
  <r>
    <d v="2024-11-25T00:00:00"/>
    <x v="0"/>
    <n v="8961"/>
    <n v="476"/>
    <n v="655645"/>
    <n v="1.29414545981438E-2"/>
    <x v="100"/>
    <x v="99"/>
  </r>
  <r>
    <d v="2024-11-25T00:00:00"/>
    <x v="0"/>
    <n v="6827"/>
    <n v="775"/>
    <n v="661697"/>
    <n v="9.1461802003031598E-3"/>
    <x v="101"/>
    <x v="100"/>
  </r>
  <r>
    <d v="2024-11-25T00:00:00"/>
    <x v="3"/>
    <n v="9737"/>
    <n v="792"/>
    <n v="670642"/>
    <n v="1.33379657104685E-2"/>
    <x v="102"/>
    <x v="101"/>
  </r>
  <r>
    <d v="2024-11-25T00:00:00"/>
    <x v="2"/>
    <n v="5719"/>
    <n v="576"/>
    <n v="675785"/>
    <n v="7.6104086358827197E-3"/>
    <x v="103"/>
    <x v="102"/>
  </r>
  <r>
    <d v="2024-12-02T00:00:00"/>
    <x v="0"/>
    <n v="1593"/>
    <n v="224"/>
    <n v="677154"/>
    <n v="2.0216966893793699E-3"/>
    <x v="104"/>
    <x v="103"/>
  </r>
  <r>
    <d v="2024-12-02T00:00:00"/>
    <x v="3"/>
    <n v="5839"/>
    <n v="437"/>
    <n v="682556"/>
    <n v="7.9143689309009099E-3"/>
    <x v="105"/>
    <x v="104"/>
  </r>
  <r>
    <d v="2024-12-02T00:00:00"/>
    <x v="0"/>
    <n v="8394"/>
    <n v="764"/>
    <n v="690186"/>
    <n v="1.10549909734477E-2"/>
    <x v="106"/>
    <x v="105"/>
  </r>
  <r>
    <d v="2024-12-02T00:00:00"/>
    <x v="2"/>
    <n v="4493"/>
    <n v="564"/>
    <n v="694115"/>
    <n v="5.6604453152575597E-3"/>
    <x v="107"/>
    <x v="106"/>
  </r>
  <r>
    <d v="2024-12-09T00:00:00"/>
    <x v="1"/>
    <n v="7164"/>
    <n v="522"/>
    <n v="700757"/>
    <n v="9.4783213011072308E-3"/>
    <x v="108"/>
    <x v="107"/>
  </r>
  <r>
    <d v="2024-12-09T00:00:00"/>
    <x v="0"/>
    <n v="3672"/>
    <n v="211"/>
    <n v="704218"/>
    <n v="4.9146713091684701E-3"/>
    <x v="109"/>
    <x v="108"/>
  </r>
  <r>
    <d v="2024-12-09T00:00:00"/>
    <x v="2"/>
    <n v="5200"/>
    <n v="410"/>
    <n v="709008"/>
    <n v="6.7559181278631598E-3"/>
    <x v="110"/>
    <x v="109"/>
  </r>
  <r>
    <d v="2024-12-09T00:00:00"/>
    <x v="3"/>
    <n v="1016"/>
    <n v="67"/>
    <n v="709957"/>
    <n v="1.3367006734210699E-3"/>
    <x v="111"/>
    <x v="110"/>
  </r>
  <r>
    <d v="2024-12-16T00:00:00"/>
    <x v="0"/>
    <n v="4191"/>
    <n v="599"/>
    <n v="713549"/>
    <n v="5.0339920594100803E-3"/>
    <x v="112"/>
    <x v="111"/>
  </r>
  <r>
    <d v="2024-12-16T00:00:00"/>
    <x v="0"/>
    <n v="1392"/>
    <n v="182"/>
    <n v="714759"/>
    <n v="1.69287829883919E-3"/>
    <x v="113"/>
    <x v="112"/>
  </r>
  <r>
    <d v="2024-12-16T00:00:00"/>
    <x v="3"/>
    <n v="9616"/>
    <n v="1089"/>
    <n v="723286"/>
    <n v="1.17892507251627E-2"/>
    <x v="114"/>
    <x v="113"/>
  </r>
  <r>
    <d v="2024-12-16T00:00:00"/>
    <x v="1"/>
    <n v="7272"/>
    <n v="997"/>
    <n v="729561"/>
    <n v="8.6010628309353201E-3"/>
    <x v="115"/>
    <x v="114"/>
  </r>
  <r>
    <d v="2024-12-23T00:00:00"/>
    <x v="3"/>
    <n v="1571"/>
    <n v="204"/>
    <n v="730928"/>
    <n v="1.8702252479040301E-3"/>
    <x v="116"/>
    <x v="115"/>
  </r>
  <r>
    <d v="2024-12-23T00:00:00"/>
    <x v="0"/>
    <n v="4631"/>
    <n v="317"/>
    <n v="735242"/>
    <n v="5.8674558852731496E-3"/>
    <x v="117"/>
    <x v="116"/>
  </r>
  <r>
    <d v="2024-12-23T00:00:00"/>
    <x v="3"/>
    <n v="7172"/>
    <n v="998"/>
    <n v="741416"/>
    <n v="8.32730882527488E-3"/>
    <x v="118"/>
    <x v="117"/>
  </r>
  <r>
    <d v="2024-12-23T00:00:00"/>
    <x v="2"/>
    <n v="8177"/>
    <n v="849"/>
    <n v="748744"/>
    <n v="9.78705672432768E-3"/>
    <x v="119"/>
    <x v="118"/>
  </r>
  <r>
    <d v="2024-12-30T00:00:00"/>
    <x v="3"/>
    <n v="9433"/>
    <n v="1233"/>
    <n v="756944"/>
    <n v="1.08330338836162E-2"/>
    <x v="120"/>
    <x v="119"/>
  </r>
  <r>
    <d v="2024-12-30T00:00:00"/>
    <x v="0"/>
    <n v="4897"/>
    <n v="683"/>
    <n v="761158"/>
    <n v="5.5363012672795904E-3"/>
    <x v="121"/>
    <x v="120"/>
  </r>
  <r>
    <d v="2024-12-30T00:00:00"/>
    <x v="3"/>
    <n v="9123"/>
    <n v="746"/>
    <n v="769535"/>
    <n v="1.0885794668208699E-2"/>
    <x v="122"/>
    <x v="121"/>
  </r>
  <r>
    <d v="2024-12-30T00:00:00"/>
    <x v="1"/>
    <n v="3279"/>
    <n v="200"/>
    <n v="772614"/>
    <n v="3.9851724146857297E-3"/>
    <x v="123"/>
    <x v="122"/>
  </r>
  <r>
    <d v="2025-01-06T00:00:00"/>
    <x v="3"/>
    <n v="9980"/>
    <n v="726"/>
    <n v="781868"/>
    <n v="1.18357574424327E-2"/>
    <x v="124"/>
    <x v="123"/>
  </r>
  <r>
    <d v="2025-01-06T00:00:00"/>
    <x v="1"/>
    <n v="8451"/>
    <n v="783"/>
    <n v="789536"/>
    <n v="9.7120333968305408E-3"/>
    <x v="125"/>
    <x v="124"/>
  </r>
  <r>
    <d v="2025-01-06T00:00:00"/>
    <x v="2"/>
    <n v="9906"/>
    <n v="1305"/>
    <n v="798137"/>
    <n v="1.0776345414383701E-2"/>
    <x v="126"/>
    <x v="125"/>
  </r>
  <r>
    <d v="2025-01-06T00:00:00"/>
    <x v="1"/>
    <n v="1775"/>
    <n v="241"/>
    <n v="799671"/>
    <n v="1.91828889630861E-3"/>
    <x v="127"/>
    <x v="126"/>
  </r>
  <r>
    <d v="2025-01-13T00:00:00"/>
    <x v="3"/>
    <n v="7869"/>
    <n v="398"/>
    <n v="807142"/>
    <n v="9.2561160241940096E-3"/>
    <x v="128"/>
    <x v="127"/>
  </r>
  <r>
    <d v="2025-01-13T00:00:00"/>
    <x v="0"/>
    <n v="3247"/>
    <n v="328"/>
    <n v="810061"/>
    <n v="3.6034323341081701E-3"/>
    <x v="129"/>
    <x v="128"/>
  </r>
  <r>
    <d v="2025-01-13T00:00:00"/>
    <x v="1"/>
    <n v="8088"/>
    <n v="742"/>
    <n v="817407"/>
    <n v="8.9869550909155403E-3"/>
    <x v="130"/>
    <x v="129"/>
  </r>
  <r>
    <d v="2025-01-13T00:00:00"/>
    <x v="2"/>
    <n v="1078"/>
    <n v="77"/>
    <n v="818408"/>
    <n v="1.22310632349635E-3"/>
    <x v="131"/>
    <x v="130"/>
  </r>
  <r>
    <d v="2025-01-20T00:00:00"/>
    <x v="1"/>
    <n v="9080"/>
    <n v="562"/>
    <n v="826926"/>
    <n v="1.03008007971693E-2"/>
    <x v="132"/>
    <x v="131"/>
  </r>
  <r>
    <d v="2025-01-20T00:00:00"/>
    <x v="1"/>
    <n v="8099"/>
    <n v="678"/>
    <n v="834347"/>
    <n v="8.8943808751035195E-3"/>
    <x v="133"/>
    <x v="132"/>
  </r>
  <r>
    <d v="2025-01-20T00:00:00"/>
    <x v="1"/>
    <n v="4926"/>
    <n v="710"/>
    <n v="838563"/>
    <n v="5.0276484891415398E-3"/>
    <x v="134"/>
    <x v="133"/>
  </r>
  <r>
    <d v="2025-01-20T00:00:00"/>
    <x v="2"/>
    <n v="8340"/>
    <n v="686"/>
    <n v="846217"/>
    <n v="9.04496128061715E-3"/>
    <x v="135"/>
    <x v="134"/>
  </r>
  <r>
    <d v="2025-01-27T00:00:00"/>
    <x v="3"/>
    <n v="8083"/>
    <n v="823"/>
    <n v="853477"/>
    <n v="8.5063803711172108E-3"/>
    <x v="136"/>
    <x v="135"/>
  </r>
  <r>
    <d v="2025-01-27T00:00:00"/>
    <x v="1"/>
    <n v="7230"/>
    <n v="869"/>
    <n v="859838"/>
    <n v="7.397905186791E-3"/>
    <x v="137"/>
    <x v="136"/>
  </r>
  <r>
    <d v="2025-01-27T00:00:00"/>
    <x v="1"/>
    <n v="5940"/>
    <n v="512"/>
    <n v="865266"/>
    <n v="6.2732154042802997E-3"/>
    <x v="138"/>
    <x v="137"/>
  </r>
  <r>
    <d v="2025-01-27T00:00:00"/>
    <x v="0"/>
    <n v="4271"/>
    <n v="628"/>
    <n v="868909"/>
    <n v="4.1926139561219902E-3"/>
    <x v="139"/>
    <x v="138"/>
  </r>
  <r>
    <d v="2025-02-03T00:00:00"/>
    <x v="2"/>
    <n v="4456"/>
    <n v="651"/>
    <n v="872714"/>
    <n v="4.3599621410908996E-3"/>
    <x v="140"/>
    <x v="139"/>
  </r>
  <r>
    <d v="2025-02-03T00:00:00"/>
    <x v="1"/>
    <n v="8788"/>
    <n v="660"/>
    <n v="880842"/>
    <n v="9.2275345635198999E-3"/>
    <x v="141"/>
    <x v="140"/>
  </r>
  <r>
    <d v="2025-02-03T00:00:00"/>
    <x v="2"/>
    <n v="9599"/>
    <n v="957"/>
    <n v="889484"/>
    <n v="9.7157453085159502E-3"/>
    <x v="142"/>
    <x v="141"/>
  </r>
  <r>
    <d v="2025-02-03T00:00:00"/>
    <x v="1"/>
    <n v="8650"/>
    <n v="692"/>
    <n v="897442"/>
    <n v="8.8674254157928897E-3"/>
    <x v="143"/>
    <x v="142"/>
  </r>
  <r>
    <d v="2025-02-10T00:00:00"/>
    <x v="3"/>
    <n v="3711"/>
    <n v="291"/>
    <n v="900862"/>
    <n v="3.7963639269943698E-3"/>
    <x v="144"/>
    <x v="143"/>
  </r>
  <r>
    <d v="2025-02-10T00:00:00"/>
    <x v="3"/>
    <n v="2668"/>
    <n v="143"/>
    <n v="903387"/>
    <n v="2.79503690002181E-3"/>
    <x v="145"/>
    <x v="144"/>
  </r>
  <r>
    <d v="2025-02-10T00:00:00"/>
    <x v="1"/>
    <n v="1147"/>
    <n v="127"/>
    <n v="904407"/>
    <n v="1.12781081968627E-3"/>
    <x v="146"/>
    <x v="145"/>
  </r>
  <r>
    <d v="2025-02-10T00:00:00"/>
    <x v="3"/>
    <n v="7420"/>
    <n v="743"/>
    <n v="911084"/>
    <n v="7.3286327056561202E-3"/>
    <x v="147"/>
    <x v="146"/>
  </r>
  <r>
    <d v="2025-02-17T00:00:00"/>
    <x v="1"/>
    <n v="1365"/>
    <n v="75"/>
    <n v="912374"/>
    <n v="1.4138938637006299E-3"/>
    <x v="148"/>
    <x v="147"/>
  </r>
  <r>
    <d v="2025-02-17T00:00:00"/>
    <x v="3"/>
    <n v="5531"/>
    <n v="430"/>
    <n v="917475"/>
    <n v="5.5598245183792498E-3"/>
    <x v="149"/>
    <x v="148"/>
  </r>
  <r>
    <d v="2025-02-17T00:00:00"/>
    <x v="0"/>
    <n v="6330"/>
    <n v="891"/>
    <n v="922914"/>
    <n v="5.8932901657142503E-3"/>
    <x v="150"/>
    <x v="149"/>
  </r>
  <r>
    <d v="2025-02-17T00:00:00"/>
    <x v="0"/>
    <n v="6510"/>
    <n v="481"/>
    <n v="928943"/>
    <n v="6.4901721634158397E-3"/>
    <x v="151"/>
    <x v="150"/>
  </r>
  <r>
    <d v="2025-02-24T00:00:00"/>
    <x v="0"/>
    <n v="9754"/>
    <n v="629"/>
    <n v="938068"/>
    <n v="9.7274398018054094E-3"/>
    <x v="152"/>
    <x v="151"/>
  </r>
  <r>
    <d v="2025-02-24T00:00:00"/>
    <x v="2"/>
    <n v="9964"/>
    <n v="985"/>
    <n v="947047"/>
    <n v="9.4810500429228992E-3"/>
    <x v="153"/>
    <x v="152"/>
  </r>
  <r>
    <d v="2025-02-24T00:00:00"/>
    <x v="2"/>
    <n v="7493"/>
    <n v="1113"/>
    <n v="953427"/>
    <n v="6.6916502259743004E-3"/>
    <x v="154"/>
    <x v="153"/>
  </r>
  <r>
    <d v="2025-02-24T00:00:00"/>
    <x v="0"/>
    <n v="6439"/>
    <n v="477"/>
    <n v="959389"/>
    <n v="6.2143718554204799E-3"/>
    <x v="155"/>
    <x v="154"/>
  </r>
  <r>
    <d v="2025-03-03T00:00:00"/>
    <x v="2"/>
    <n v="7511"/>
    <n v="880"/>
    <n v="966020"/>
    <n v="6.8642471170369196E-3"/>
    <x v="156"/>
    <x v="155"/>
  </r>
  <r>
    <d v="2025-03-03T00:00:00"/>
    <x v="3"/>
    <n v="8504"/>
    <n v="1072"/>
    <n v="973452"/>
    <n v="7.6346856342172E-3"/>
    <x v="157"/>
    <x v="156"/>
  </r>
  <r>
    <d v="2025-03-03T00:00:00"/>
    <x v="1"/>
    <n v="2246"/>
    <n v="165"/>
    <n v="975533"/>
    <n v="2.1331928289458199E-3"/>
    <x v="158"/>
    <x v="157"/>
  </r>
  <r>
    <d v="2025-03-03T00:00:00"/>
    <x v="1"/>
    <n v="4839"/>
    <n v="594"/>
    <n v="979778"/>
    <n v="4.3326141227910796E-3"/>
    <x v="159"/>
    <x v="158"/>
  </r>
  <r>
    <d v="2025-03-10T00:00:00"/>
    <x v="1"/>
    <n v="9551"/>
    <n v="828"/>
    <n v="988501"/>
    <n v="8.8244726105487E-3"/>
    <x v="160"/>
    <x v="159"/>
  </r>
  <r>
    <d v="2025-03-10T00:00:00"/>
    <x v="0"/>
    <n v="3376"/>
    <n v="382"/>
    <n v="991495"/>
    <n v="3.0196823988018098E-3"/>
    <x v="161"/>
    <x v="160"/>
  </r>
  <r>
    <d v="2025-03-10T00:00:00"/>
    <x v="2"/>
    <n v="4009"/>
    <n v="454"/>
    <n v="995050"/>
    <n v="3.5726847897090599E-3"/>
    <x v="162"/>
    <x v="161"/>
  </r>
  <r>
    <d v="2025-03-10T00:00:00"/>
    <x v="3"/>
    <n v="2827"/>
    <n v="292"/>
    <n v="997585"/>
    <n v="2.5411368454818402E-3"/>
    <x v="163"/>
    <x v="162"/>
  </r>
  <r>
    <d v="2025-03-17T00:00:00"/>
    <x v="3"/>
    <n v="7979"/>
    <n v="470"/>
    <n v="1005094"/>
    <n v="7.4709430162751E-3"/>
    <x v="164"/>
    <x v="163"/>
  </r>
  <r>
    <d v="2025-03-17T00:00:00"/>
    <x v="0"/>
    <n v="9569"/>
    <n v="1277"/>
    <n v="1013386"/>
    <n v="8.1824694637581408E-3"/>
    <x v="165"/>
    <x v="164"/>
  </r>
  <r>
    <d v="2025-03-17T00:00:00"/>
    <x v="3"/>
    <n v="5285"/>
    <n v="433"/>
    <n v="1018238"/>
    <n v="4.7650942117658203E-3"/>
    <x v="166"/>
    <x v="165"/>
  </r>
  <r>
    <d v="2025-03-17T00:00:00"/>
    <x v="3"/>
    <n v="7910"/>
    <n v="543"/>
    <n v="1025605"/>
    <n v="7.1830773055903598E-3"/>
    <x v="167"/>
    <x v="166"/>
  </r>
  <r>
    <d v="2025-03-24T00:00:00"/>
    <x v="3"/>
    <n v="9561"/>
    <n v="517"/>
    <n v="1034649"/>
    <n v="8.7411286339618595E-3"/>
    <x v="168"/>
    <x v="167"/>
  </r>
  <r>
    <d v="2025-03-24T00:00:00"/>
    <x v="3"/>
    <n v="3196"/>
    <n v="348"/>
    <n v="1037497"/>
    <n v="2.7450681785103999E-3"/>
    <x v="169"/>
    <x v="168"/>
  </r>
  <r>
    <d v="2025-03-24T00:00:00"/>
    <x v="2"/>
    <n v="4747"/>
    <n v="558"/>
    <n v="1041686"/>
    <n v="4.0213653634588497E-3"/>
    <x v="170"/>
    <x v="169"/>
  </r>
  <r>
    <d v="2025-03-24T00:00:00"/>
    <x v="3"/>
    <n v="9843"/>
    <n v="508"/>
    <n v="1051021"/>
    <n v="8.8818396587699005E-3"/>
    <x v="171"/>
    <x v="170"/>
  </r>
  <r>
    <d v="2025-03-31T00:00:00"/>
    <x v="1"/>
    <n v="6978"/>
    <n v="706"/>
    <n v="1057293"/>
    <n v="5.9321304501212101E-3"/>
    <x v="172"/>
    <x v="171"/>
  </r>
  <r>
    <d v="2025-03-31T00:00:00"/>
    <x v="0"/>
    <n v="6607"/>
    <n v="479"/>
    <n v="1063421"/>
    <n v="5.7625343114345098E-3"/>
    <x v="173"/>
    <x v="172"/>
  </r>
  <r>
    <d v="2025-03-31T00:00:00"/>
    <x v="2"/>
    <n v="1769"/>
    <n v="202"/>
    <n v="1064988"/>
    <n v="1.47137808125538E-3"/>
    <x v="174"/>
    <x v="173"/>
  </r>
  <r>
    <d v="2025-03-31T00:00:00"/>
    <x v="3"/>
    <n v="1780"/>
    <n v="120"/>
    <n v="1066648"/>
    <n v="1.55627723485161E-3"/>
    <x v="175"/>
    <x v="174"/>
  </r>
  <r>
    <d v="2025-04-07T00:00:00"/>
    <x v="2"/>
    <n v="7303"/>
    <n v="869"/>
    <n v="1073082"/>
    <n v="5.9958139266151197E-3"/>
    <x v="176"/>
    <x v="175"/>
  </r>
  <r>
    <d v="2025-04-07T00:00:00"/>
    <x v="3"/>
    <n v="4983"/>
    <n v="441"/>
    <n v="1077624"/>
    <n v="4.2148281775461604E-3"/>
    <x v="177"/>
    <x v="176"/>
  </r>
  <r>
    <d v="2025-04-07T00:00:00"/>
    <x v="1"/>
    <n v="9714"/>
    <n v="1395"/>
    <n v="1085943"/>
    <n v="7.6606230713766798E-3"/>
    <x v="178"/>
    <x v="177"/>
  </r>
  <r>
    <d v="2025-04-07T00:00:00"/>
    <x v="0"/>
    <n v="1521"/>
    <n v="96"/>
    <n v="1087368"/>
    <n v="1.31050389564526E-3"/>
    <x v="179"/>
    <x v="178"/>
  </r>
  <r>
    <d v="2025-04-14T00:00:00"/>
    <x v="3"/>
    <n v="8569"/>
    <n v="720"/>
    <n v="1095217"/>
    <n v="7.1666162961312703E-3"/>
    <x v="180"/>
    <x v="179"/>
  </r>
  <r>
    <d v="2025-04-14T00:00:00"/>
    <x v="3"/>
    <n v="6784"/>
    <n v="416"/>
    <n v="1101585"/>
    <n v="5.7807613574985097E-3"/>
    <x v="181"/>
    <x v="180"/>
  </r>
  <r>
    <d v="2025-04-14T00:00:00"/>
    <x v="3"/>
    <n v="5583"/>
    <n v="795"/>
    <n v="1106373"/>
    <n v="4.3276544167292598E-3"/>
    <x v="182"/>
    <x v="181"/>
  </r>
  <r>
    <d v="2025-04-14T00:00:00"/>
    <x v="3"/>
    <n v="6946"/>
    <n v="956"/>
    <n v="1112363"/>
    <n v="5.3849327962185002E-3"/>
    <x v="183"/>
    <x v="182"/>
  </r>
  <r>
    <d v="2025-04-21T00:00:00"/>
    <x v="0"/>
    <n v="5941"/>
    <n v="450"/>
    <n v="1117854"/>
    <n v="4.9120904876665504E-3"/>
    <x v="184"/>
    <x v="183"/>
  </r>
  <r>
    <d v="2025-04-21T00:00:00"/>
    <x v="0"/>
    <n v="7267"/>
    <n v="842"/>
    <n v="1124279"/>
    <n v="5.7147736460433796E-3"/>
    <x v="185"/>
    <x v="184"/>
  </r>
  <r>
    <d v="2025-04-21T00:00:00"/>
    <x v="1"/>
    <n v="8128"/>
    <n v="1070"/>
    <n v="1131337"/>
    <n v="6.2386362330587603E-3"/>
    <x v="186"/>
    <x v="185"/>
  </r>
  <r>
    <d v="2025-04-21T00:00:00"/>
    <x v="0"/>
    <n v="3461"/>
    <n v="365"/>
    <n v="1134433"/>
    <n v="2.7291166600407401E-3"/>
    <x v="187"/>
    <x v="186"/>
  </r>
  <r>
    <d v="2025-04-28T00:00:00"/>
    <x v="3"/>
    <n v="1685"/>
    <n v="173"/>
    <n v="1135945"/>
    <n v="1.33105035895224E-3"/>
    <x v="188"/>
    <x v="187"/>
  </r>
  <r>
    <d v="2025-04-28T00:00:00"/>
    <x v="1"/>
    <n v="3160"/>
    <n v="234"/>
    <n v="1138871"/>
    <n v="2.5692110871204901E-3"/>
    <x v="189"/>
    <x v="188"/>
  </r>
  <r>
    <d v="2025-04-28T00:00:00"/>
    <x v="1"/>
    <n v="8031"/>
    <n v="476"/>
    <n v="1146426"/>
    <n v="6.5900459340594202E-3"/>
    <x v="190"/>
    <x v="189"/>
  </r>
  <r>
    <d v="2025-04-28T00:00:00"/>
    <x v="1"/>
    <n v="6341"/>
    <n v="885"/>
    <n v="1151882"/>
    <n v="4.7365962832998498E-3"/>
    <x v="191"/>
    <x v="43"/>
  </r>
  <r>
    <d v="2025-05-05T00:00:00"/>
    <x v="3"/>
    <n v="1038"/>
    <n v="145"/>
    <n v="1152775"/>
    <n v="7.7465246904209403E-4"/>
    <x v="192"/>
    <x v="190"/>
  </r>
  <r>
    <d v="2025-05-05T00:00:00"/>
    <x v="2"/>
    <n v="5875"/>
    <n v="665"/>
    <n v="1157985"/>
    <n v="4.4991947218659999E-3"/>
    <x v="193"/>
    <x v="191"/>
  </r>
  <r>
    <d v="2025-05-05T00:00:00"/>
    <x v="3"/>
    <n v="2256"/>
    <n v="189"/>
    <n v="1160052"/>
    <n v="1.7818166771834401E-3"/>
    <x v="194"/>
    <x v="192"/>
  </r>
  <r>
    <d v="2025-05-05T00:00:00"/>
    <x v="0"/>
    <n v="8697"/>
    <n v="738"/>
    <n v="1168011"/>
    <n v="6.8141481544266302E-3"/>
    <x v="195"/>
    <x v="193"/>
  </r>
  <r>
    <d v="2025-05-12T00:00:00"/>
    <x v="0"/>
    <n v="3196"/>
    <n v="391"/>
    <n v="1170816"/>
    <n v="2.39576500491965E-3"/>
    <x v="196"/>
    <x v="194"/>
  </r>
  <r>
    <d v="2025-05-12T00:00:00"/>
    <x v="3"/>
    <n v="8165"/>
    <n v="1140"/>
    <n v="1177841"/>
    <n v="5.9643024822535499E-3"/>
    <x v="197"/>
    <x v="195"/>
  </r>
  <r>
    <d v="2025-05-12T00:00:00"/>
    <x v="3"/>
    <n v="1301"/>
    <n v="180"/>
    <n v="1178962"/>
    <n v="9.5083641372665096E-4"/>
    <x v="198"/>
    <x v="196"/>
  </r>
  <r>
    <d v="2025-05-12T00:00:00"/>
    <x v="1"/>
    <n v="8527"/>
    <n v="1091"/>
    <n v="1186398"/>
    <n v="6.2677111728104704E-3"/>
    <x v="199"/>
    <x v="1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s v="Image"/>
    <s v="#AppleWatchUltra2,#HealthTech"/>
    <n v="24516"/>
    <n v="976"/>
    <n v="974"/>
    <n v="2675"/>
    <n v="23275"/>
    <n v="202932"/>
    <n v="0.13041807107799699"/>
    <x v="0"/>
    <x v="0"/>
  </r>
  <r>
    <s v="A2"/>
    <x v="1"/>
    <d v="2025-09-03T00:00:00"/>
    <s v="Image"/>
    <s v="#MacBookAirM3,#AppleInnovation"/>
    <n v="4779"/>
    <n v="1110"/>
    <n v="436"/>
    <n v="1574"/>
    <n v="77167"/>
    <n v="71585"/>
    <n v="8.8356499266606103E-2"/>
    <x v="1"/>
    <x v="1"/>
  </r>
  <r>
    <s v="A3"/>
    <x v="2"/>
    <d v="2025-05-12T00:00:00"/>
    <s v="Tweet"/>
    <s v="#AppleDesign,#Innovation"/>
    <n v="19308"/>
    <n v="1318"/>
    <n v="795"/>
    <n v="1499"/>
    <n v="52307"/>
    <n v="193087"/>
    <n v="0.110939628250478"/>
    <x v="2"/>
    <x v="2"/>
  </r>
  <r>
    <s v="A4"/>
    <x v="0"/>
    <d v="2024-08-12T00:00:00"/>
    <s v="Video"/>
    <s v="#AppleEvent,#iPadPro"/>
    <n v="3581"/>
    <n v="517"/>
    <n v="880"/>
    <n v="1925"/>
    <n v="18636"/>
    <n v="248611"/>
    <n v="2.0023249172401902E-2"/>
    <x v="3"/>
    <x v="3"/>
  </r>
  <r>
    <s v="A5"/>
    <x v="0"/>
    <d v="2025-09-04T00:00:00"/>
    <s v="Video"/>
    <s v="#AppleWatchUltra2,#HealthTech"/>
    <n v="21708"/>
    <n v="435"/>
    <n v="317"/>
    <n v="1213"/>
    <n v="70701"/>
    <n v="83585"/>
    <n v="0.26870850032900601"/>
    <x v="1"/>
    <x v="1"/>
  </r>
  <r>
    <s v="A6"/>
    <x v="1"/>
    <d v="2025-09-05T00:00:00"/>
    <s v="Image"/>
    <s v="#ShotOniPhone"/>
    <n v="14677"/>
    <n v="533"/>
    <n v="759"/>
    <n v="753"/>
    <n v="23275"/>
    <n v="66958"/>
    <n v="0.23849278652289499"/>
    <x v="1"/>
    <x v="1"/>
  </r>
  <r>
    <s v="A7"/>
    <x v="2"/>
    <d v="2024-06-24T00:00:00"/>
    <s v="Carousel"/>
    <s v="#AppleMusic,#AppleLifestyle"/>
    <n v="7713"/>
    <n v="575"/>
    <n v="417"/>
    <n v="336"/>
    <n v="61660"/>
    <n v="66017"/>
    <n v="0.131859975460866"/>
    <x v="3"/>
    <x v="3"/>
  </r>
  <r>
    <s v="A8"/>
    <x v="2"/>
    <d v="2024-07-13T00:00:00"/>
    <s v="Video"/>
    <s v="#AppleWatch,#Health"/>
    <n v="18639"/>
    <n v="1360"/>
    <n v="898"/>
    <n v="2011"/>
    <n v="42841"/>
    <n v="247779"/>
    <n v="8.4337252148083602E-2"/>
    <x v="3"/>
    <x v="3"/>
  </r>
  <r>
    <s v="A9"/>
    <x v="0"/>
    <d v="2024-08-30T00:00:00"/>
    <s v="Carousel"/>
    <s v="#MacBookAirM3,#AppleInnovation"/>
    <n v="6804"/>
    <n v="787"/>
    <n v="970"/>
    <n v="1095"/>
    <n v="56343"/>
    <n v="164677"/>
    <n v="5.19866162244879E-2"/>
    <x v="0"/>
    <x v="0"/>
  </r>
  <r>
    <s v="A10"/>
    <x v="3"/>
    <d v="2025-03-11T00:00:00"/>
    <s v="Video"/>
    <s v="#iPhone16Launch,#AppleEvent"/>
    <n v="20222"/>
    <n v="712"/>
    <n v="604"/>
    <n v="1272"/>
    <n v="71598"/>
    <n v="216422"/>
    <n v="9.9518533235992607E-2"/>
    <x v="2"/>
    <x v="2"/>
  </r>
  <r>
    <s v="A11"/>
    <x v="0"/>
    <d v="2025-02-02T00:00:00"/>
    <s v="Carousel"/>
    <s v="#AppleEvent,#iPadPro"/>
    <n v="12136"/>
    <n v="1117"/>
    <n v="834"/>
    <n v="892"/>
    <n v="24675"/>
    <n v="183273"/>
    <n v="7.6863476889667298E-2"/>
    <x v="2"/>
    <x v="2"/>
  </r>
  <r>
    <s v="A12"/>
    <x v="0"/>
    <d v="2024-07-21T00:00:00"/>
    <s v="Tweet"/>
    <s v="#MacBookAirM3,#AppleInnovation"/>
    <n v="2009"/>
    <n v="1072"/>
    <n v="550"/>
    <n v="1437"/>
    <n v="22982"/>
    <n v="69426"/>
    <n v="5.2300290957278298E-2"/>
    <x v="3"/>
    <x v="3"/>
  </r>
  <r>
    <s v="A13"/>
    <x v="0"/>
    <d v="2024-11-18T00:00:00"/>
    <s v="Carousel"/>
    <s v="#AppleMusic,#AppleLifestyle"/>
    <n v="21255"/>
    <n v="1452"/>
    <n v="625"/>
    <n v="1624"/>
    <n v="21282"/>
    <n v="57778"/>
    <n v="0.40382152376336999"/>
    <x v="4"/>
    <x v="4"/>
  </r>
  <r>
    <s v="A14"/>
    <x v="0"/>
    <d v="2025-09-06T00:00:00"/>
    <s v="Tweet"/>
    <s v="#AppleWatch,#Health"/>
    <n v="7124"/>
    <n v="469"/>
    <n v="851"/>
    <n v="2571"/>
    <n v="33802"/>
    <n v="216313"/>
    <n v="3.9036026498638597E-2"/>
    <x v="1"/>
    <x v="1"/>
  </r>
  <r>
    <s v="A15"/>
    <x v="1"/>
    <d v="2025-09-07T00:00:00"/>
    <s v="Tweet"/>
    <s v="#AppleDesign,#Innovation"/>
    <n v="3015"/>
    <n v="997"/>
    <n v="783"/>
    <n v="617"/>
    <n v="77167"/>
    <n v="82229"/>
    <n v="5.83127607048608E-2"/>
    <x v="1"/>
    <x v="1"/>
  </r>
  <r>
    <s v="A16"/>
    <x v="2"/>
    <d v="2024-08-26T00:00:00"/>
    <s v="Carousel"/>
    <s v="#AppleWatch,#Health"/>
    <n v="4193"/>
    <n v="924"/>
    <n v="707"/>
    <n v="2696"/>
    <n v="55075"/>
    <n v="126652"/>
    <n v="4.5984271863057799E-2"/>
    <x v="3"/>
    <x v="3"/>
  </r>
  <r>
    <s v="A17"/>
    <x v="1"/>
    <d v="2025-05-05T00:00:00"/>
    <s v="Tweet"/>
    <s v="#AppleEvent,#iPhone16"/>
    <n v="10415"/>
    <n v="1388"/>
    <n v="725"/>
    <n v="2462"/>
    <n v="53082"/>
    <n v="168267"/>
    <n v="7.4453101321114601E-2"/>
    <x v="4"/>
    <x v="4"/>
  </r>
  <r>
    <s v="A18"/>
    <x v="1"/>
    <d v="2024-08-19T00:00:00"/>
    <s v="Image"/>
    <s v="#AppleWatch,#Health"/>
    <n v="15550"/>
    <n v="204"/>
    <n v="279"/>
    <n v="1646"/>
    <n v="35819"/>
    <n v="219436"/>
    <n v="7.3064583751070902E-2"/>
    <x v="0"/>
    <x v="0"/>
  </r>
  <r>
    <s v="A19"/>
    <x v="1"/>
    <d v="2024-06-23T00:00:00"/>
    <s v="Tweet"/>
    <s v="#AppleEvent,#iPhone16"/>
    <n v="16512"/>
    <n v="1050"/>
    <n v="971"/>
    <n v="1891"/>
    <n v="15865"/>
    <n v="166503"/>
    <n v="0.11130730377230399"/>
    <x v="3"/>
    <x v="3"/>
  </r>
  <r>
    <s v="A20"/>
    <x v="0"/>
    <d v="2024-09-09T00:00:00"/>
    <s v="Video"/>
    <s v="#AppleDesign,#Innovation"/>
    <n v="6158"/>
    <n v="277"/>
    <n v="512"/>
    <n v="2189"/>
    <n v="76881"/>
    <n v="124878"/>
    <n v="5.5630295168084001E-2"/>
    <x v="3"/>
    <x v="3"/>
  </r>
  <r>
    <s v="A21"/>
    <x v="3"/>
    <d v="2025-09-08T00:00:00"/>
    <s v="Carousel"/>
    <s v="#iPhonePhotography,#ShotOniPhone"/>
    <n v="22309"/>
    <n v="773"/>
    <n v="854"/>
    <n v="2387"/>
    <n v="72396"/>
    <n v="97056"/>
    <n v="0.24662050774810401"/>
    <x v="1"/>
    <x v="1"/>
  </r>
  <r>
    <s v="A22"/>
    <x v="2"/>
    <d v="2025-02-27T00:00:00"/>
    <s v="Image"/>
    <s v="#AppleMusic,#AppleLifestyle"/>
    <n v="8970"/>
    <n v="331"/>
    <n v="968"/>
    <n v="2296"/>
    <n v="24613"/>
    <n v="198562"/>
    <n v="5.1716844109144802E-2"/>
    <x v="3"/>
    <x v="3"/>
  </r>
  <r>
    <s v="A23"/>
    <x v="3"/>
    <d v="2024-11-06T00:00:00"/>
    <s v="Carousel"/>
    <s v="#AppleEvent,#iPhone16"/>
    <n v="8938"/>
    <n v="800"/>
    <n v="842"/>
    <n v="2072"/>
    <n v="31736"/>
    <n v="59975"/>
    <n v="0.17640683618174199"/>
    <x v="3"/>
    <x v="3"/>
  </r>
  <r>
    <s v="A24"/>
    <x v="1"/>
    <d v="2025-01-23T00:00:00"/>
    <s v="Video"/>
    <s v="#iPhone16Launch,#AppleEvent"/>
    <n v="23168"/>
    <n v="1265"/>
    <n v="441"/>
    <n v="1612"/>
    <n v="66615"/>
    <n v="197795"/>
    <n v="0.125756465026922"/>
    <x v="3"/>
    <x v="3"/>
  </r>
  <r>
    <s v="A25"/>
    <x v="1"/>
    <d v="2025-09-09T00:00:00"/>
    <s v="Video"/>
    <s v="#AppleWatch,#Health"/>
    <n v="15772"/>
    <n v="288"/>
    <n v="520"/>
    <n v="1585"/>
    <n v="59182"/>
    <n v="194351"/>
    <n v="8.5309568769906002E-2"/>
    <x v="1"/>
    <x v="1"/>
  </r>
  <r>
    <s v="A26"/>
    <x v="3"/>
    <d v="2025-04-05T00:00:00"/>
    <s v="Video"/>
    <s v="#AppleWatch,#Health"/>
    <n v="22384"/>
    <n v="601"/>
    <n v="943"/>
    <n v="515"/>
    <n v="41309"/>
    <n v="249373"/>
    <n v="9.5952649244304702E-2"/>
    <x v="0"/>
    <x v="0"/>
  </r>
  <r>
    <s v="A27"/>
    <x v="3"/>
    <d v="2024-09-17T00:00:00"/>
    <s v="Tweet"/>
    <s v="#iPhone16Launch,#AppleEvent"/>
    <n v="20017"/>
    <n v="495"/>
    <n v="178"/>
    <n v="2683"/>
    <n v="32244"/>
    <n v="182633"/>
    <n v="0.113287302951821"/>
    <x v="0"/>
    <x v="0"/>
  </r>
  <r>
    <s v="A28"/>
    <x v="3"/>
    <d v="2025-03-04T00:00:00"/>
    <s v="Tweet"/>
    <s v="#ShotOniPhone"/>
    <n v="12344"/>
    <n v="815"/>
    <n v="298"/>
    <n v="2439"/>
    <n v="6259"/>
    <n v="237133"/>
    <n v="5.6748744375519203E-2"/>
    <x v="3"/>
    <x v="3"/>
  </r>
  <r>
    <s v="A29"/>
    <x v="1"/>
    <d v="2025-09-10T00:00:00"/>
    <s v="Carousel"/>
    <s v="#MacBookProM3"/>
    <n v="9266"/>
    <n v="999"/>
    <n v="928"/>
    <n v="2700"/>
    <n v="12264"/>
    <n v="128397"/>
    <n v="8.7174933993784898E-2"/>
    <x v="1"/>
    <x v="1"/>
  </r>
  <r>
    <s v="A30"/>
    <x v="1"/>
    <d v="2025-02-25T00:00:00"/>
    <s v="Carousel"/>
    <s v="#iPhonePhotography,#ShotOniPhone"/>
    <n v="10702"/>
    <n v="621"/>
    <n v="445"/>
    <n v="2918"/>
    <n v="54808"/>
    <n v="220225"/>
    <n v="5.3436258372119398E-2"/>
    <x v="0"/>
    <x v="0"/>
  </r>
  <r>
    <s v="A31"/>
    <x v="2"/>
    <d v="2024-12-16T00:00:00"/>
    <s v="Image"/>
    <s v="#AppleEvent,#iPadPro"/>
    <n v="2384"/>
    <n v="1246"/>
    <n v="160"/>
    <n v="2004"/>
    <n v="2701"/>
    <n v="73142"/>
    <n v="5.18170134806267E-2"/>
    <x v="0"/>
    <x v="0"/>
  </r>
  <r>
    <s v="A32"/>
    <x v="2"/>
    <d v="2024-07-31T00:00:00"/>
    <s v="Image"/>
    <s v="#AppleEvent,#iPhone16"/>
    <n v="2404"/>
    <n v="774"/>
    <n v="661"/>
    <n v="662"/>
    <n v="12676"/>
    <n v="66916"/>
    <n v="5.7370434574690599E-2"/>
    <x v="0"/>
    <x v="0"/>
  </r>
  <r>
    <s v="A33"/>
    <x v="1"/>
    <d v="2025-09-11T00:00:00"/>
    <s v="Carousel"/>
    <s v="#iPhone16Launch,#AppleEvent"/>
    <n v="10175"/>
    <n v="342"/>
    <n v="825"/>
    <n v="2904"/>
    <n v="15954"/>
    <n v="104324"/>
    <n v="0.10871899083624099"/>
    <x v="1"/>
    <x v="1"/>
  </r>
  <r>
    <s v="A34"/>
    <x v="3"/>
    <d v="2025-09-12T00:00:00"/>
    <s v="Tweet"/>
    <s v="#AppleDesign,#Innovation"/>
    <n v="17158"/>
    <n v="1192"/>
    <n v="262"/>
    <n v="2016"/>
    <n v="28771"/>
    <n v="216037"/>
    <n v="8.6151909163708101E-2"/>
    <x v="1"/>
    <x v="1"/>
  </r>
  <r>
    <s v="A35"/>
    <x v="3"/>
    <d v="2024-11-30T00:00:00"/>
    <s v="Video"/>
    <s v="#AppleEvent,#iPhone16"/>
    <n v="14763"/>
    <n v="864"/>
    <n v="336"/>
    <n v="1493"/>
    <n v="33310"/>
    <n v="165932"/>
    <n v="9.6202058674637797E-2"/>
    <x v="3"/>
    <x v="3"/>
  </r>
  <r>
    <s v="A36"/>
    <x v="2"/>
    <d v="2025-04-19T00:00:00"/>
    <s v="Carousel"/>
    <s v="#MacBookProM3"/>
    <n v="20384"/>
    <n v="344"/>
    <n v="956"/>
    <n v="655"/>
    <n v="67621"/>
    <n v="175720"/>
    <n v="0.12340086501252"/>
    <x v="2"/>
    <x v="2"/>
  </r>
  <r>
    <s v="A37"/>
    <x v="1"/>
    <d v="2025-01-06T00:00:00"/>
    <s v="Image"/>
    <s v="#AppleDesign,#Innovation"/>
    <n v="11860"/>
    <n v="1448"/>
    <n v="893"/>
    <n v="490"/>
    <n v="23518"/>
    <n v="206205"/>
    <n v="6.8868359157149395E-2"/>
    <x v="0"/>
    <x v="0"/>
  </r>
  <r>
    <s v="A38"/>
    <x v="2"/>
    <d v="2025-02-17T00:00:00"/>
    <s v="Tweet"/>
    <s v="#MacBookAirM3,#AppleInnovation"/>
    <n v="7989"/>
    <n v="1206"/>
    <n v="376"/>
    <n v="2769"/>
    <n v="27550"/>
    <n v="221749"/>
    <n v="4.3161412227338103E-2"/>
    <x v="2"/>
    <x v="2"/>
  </r>
  <r>
    <s v="A39"/>
    <x v="2"/>
    <d v="2025-09-13T00:00:00"/>
    <s v="Carousel"/>
    <s v="#AppleMusic,#AppleLifestyle"/>
    <n v="17106"/>
    <n v="702"/>
    <n v="459"/>
    <n v="999"/>
    <n v="59627"/>
    <n v="136059"/>
    <n v="0.13425793222058099"/>
    <x v="1"/>
    <x v="1"/>
  </r>
  <r>
    <s v="A40"/>
    <x v="0"/>
    <d v="2025-09-14T00:00:00"/>
    <s v="Carousel"/>
    <s v="#AppleWatch,#Health"/>
    <n v="19844"/>
    <n v="1020"/>
    <n v="247"/>
    <n v="2354"/>
    <n v="37792"/>
    <n v="138317"/>
    <n v="0.152627659651381"/>
    <x v="1"/>
    <x v="1"/>
  </r>
  <r>
    <s v="A41"/>
    <x v="0"/>
    <d v="2025-09-15T00:00:00"/>
    <s v="Tweet"/>
    <s v="#MacBookAirM3,#AppleInnovation"/>
    <n v="5636"/>
    <n v="303"/>
    <n v="204"/>
    <n v="2480"/>
    <n v="7377"/>
    <n v="241207"/>
    <n v="2.5467751765081401E-2"/>
    <x v="1"/>
    <x v="1"/>
  </r>
  <r>
    <s v="A42"/>
    <x v="0"/>
    <d v="2025-03-05T00:00:00"/>
    <s v="Carousel"/>
    <s v="#AppleEvent,#iPhone16"/>
    <n v="12916"/>
    <n v="1262"/>
    <n v="772"/>
    <n v="856"/>
    <n v="11496"/>
    <n v="75046"/>
    <n v="0.199211150494363"/>
    <x v="2"/>
    <x v="2"/>
  </r>
  <r>
    <s v="A43"/>
    <x v="3"/>
    <d v="2025-09-16T00:00:00"/>
    <s v="Tweet"/>
    <s v="#MacBookProM3"/>
    <n v="6809"/>
    <n v="397"/>
    <n v="813"/>
    <n v="1125"/>
    <n v="12206"/>
    <n v="218136"/>
    <n v="3.6761469908680802E-2"/>
    <x v="1"/>
    <x v="1"/>
  </r>
  <r>
    <s v="A44"/>
    <x v="1"/>
    <d v="2025-03-02T00:00:00"/>
    <s v="Video"/>
    <s v="#iPhonePhotography,#ShotOniPhone"/>
    <n v="22562"/>
    <n v="778"/>
    <n v="907"/>
    <n v="1354"/>
    <n v="34475"/>
    <n v="141459"/>
    <n v="0.171406555963212"/>
    <x v="3"/>
    <x v="3"/>
  </r>
  <r>
    <s v="A45"/>
    <x v="1"/>
    <d v="2025-09-17T00:00:00"/>
    <s v="Tweet"/>
    <s v="#AppleMusic,#AppleLifestyle"/>
    <n v="15456"/>
    <n v="590"/>
    <n v="555"/>
    <n v="2882"/>
    <n v="49816"/>
    <n v="240422"/>
    <n v="6.9049421433978603E-2"/>
    <x v="1"/>
    <x v="1"/>
  </r>
  <r>
    <s v="A46"/>
    <x v="1"/>
    <d v="2025-05-02T00:00:00"/>
    <s v="Tweet"/>
    <s v="#AppleEvent,#iPhone16"/>
    <n v="17444"/>
    <n v="1402"/>
    <n v="218"/>
    <n v="725"/>
    <n v="8710"/>
    <n v="85893"/>
    <n v="0.221950566402384"/>
    <x v="4"/>
    <x v="4"/>
  </r>
  <r>
    <s v="A47"/>
    <x v="1"/>
    <d v="2025-02-24T00:00:00"/>
    <s v="Tweet"/>
    <s v="#iPhone16Launch,#AppleEvent"/>
    <n v="24984"/>
    <n v="753"/>
    <n v="461"/>
    <n v="2710"/>
    <n v="20792"/>
    <n v="141520"/>
    <n v="0.18511871113623499"/>
    <x v="2"/>
    <x v="2"/>
  </r>
  <r>
    <s v="A48"/>
    <x v="0"/>
    <d v="2025-03-11T00:00:00"/>
    <s v="Carousel"/>
    <s v="#AppleWatchUltra2,#HealthTech"/>
    <n v="7997"/>
    <n v="1238"/>
    <n v="438"/>
    <n v="1874"/>
    <n v="36272"/>
    <n v="165818"/>
    <n v="5.8335042034037297E-2"/>
    <x v="4"/>
    <x v="4"/>
  </r>
  <r>
    <s v="A49"/>
    <x v="3"/>
    <d v="2025-09-18T00:00:00"/>
    <s v="Carousel"/>
    <s v="#AppleEvent,#iPhone16"/>
    <n v="4048"/>
    <n v="677"/>
    <n v="911"/>
    <n v="2429"/>
    <n v="27361"/>
    <n v="101272"/>
    <n v="5.5652105221581503E-2"/>
    <x v="1"/>
    <x v="1"/>
  </r>
  <r>
    <s v="A50"/>
    <x v="3"/>
    <d v="2024-07-03T00:00:00"/>
    <s v="Tweet"/>
    <s v="#AppleMusic,#AppleLifestyle"/>
    <n v="14338"/>
    <n v="1454"/>
    <n v="697"/>
    <n v="2703"/>
    <n v="21288"/>
    <n v="107649"/>
    <n v="0.15317374058281999"/>
    <x v="3"/>
    <x v="3"/>
  </r>
  <r>
    <s v="A51"/>
    <x v="0"/>
    <d v="2024-06-13T00:00:00"/>
    <s v="Carousel"/>
    <s v="#AppleWatch,#Health"/>
    <n v="23164"/>
    <n v="1122"/>
    <n v="900"/>
    <n v="888"/>
    <n v="36938"/>
    <n v="104674"/>
    <n v="0.240613714962646"/>
    <x v="0"/>
    <x v="0"/>
  </r>
  <r>
    <s v="A52"/>
    <x v="3"/>
    <d v="2025-09-19T00:00:00"/>
    <s v="Image"/>
    <s v="#AppleWatch,#Health"/>
    <n v="19100"/>
    <n v="619"/>
    <n v="297"/>
    <n v="2312"/>
    <n v="9730"/>
    <n v="184832"/>
    <n v="0.108292936288089"/>
    <x v="1"/>
    <x v="1"/>
  </r>
  <r>
    <s v="A53"/>
    <x v="0"/>
    <d v="2025-02-24T00:00:00"/>
    <s v="Image"/>
    <s v="#AppleEvent,#iPhone16"/>
    <n v="23949"/>
    <n v="356"/>
    <n v="616"/>
    <n v="1847"/>
    <n v="3144"/>
    <n v="192999"/>
    <n v="0.129125021373168"/>
    <x v="3"/>
    <x v="3"/>
  </r>
  <r>
    <s v="A54"/>
    <x v="1"/>
    <d v="2025-03-13T00:00:00"/>
    <s v="Carousel"/>
    <s v="#AppleDesign,#Innovation"/>
    <n v="6544"/>
    <n v="749"/>
    <n v="888"/>
    <n v="594"/>
    <n v="18171"/>
    <n v="126475"/>
    <n v="6.4684720300454607E-2"/>
    <x v="2"/>
    <x v="2"/>
  </r>
  <r>
    <s v="A55"/>
    <x v="0"/>
    <d v="2024-06-17T00:00:00"/>
    <s v="Carousel"/>
    <s v="#AppleWatchUltra2,#HealthTech"/>
    <n v="6976"/>
    <n v="1320"/>
    <n v="393"/>
    <n v="2285"/>
    <n v="14049"/>
    <n v="101367"/>
    <n v="8.57182317716811E-2"/>
    <x v="4"/>
    <x v="4"/>
  </r>
  <r>
    <s v="A56"/>
    <x v="1"/>
    <d v="2024-12-18T00:00:00"/>
    <s v="Tweet"/>
    <s v="#iPhone16Launch,#AppleEvent"/>
    <n v="14775"/>
    <n v="1220"/>
    <n v="640"/>
    <n v="1547"/>
    <n v="28527"/>
    <n v="183660"/>
    <n v="9.0574975498203203E-2"/>
    <x v="4"/>
    <x v="4"/>
  </r>
  <r>
    <s v="A57"/>
    <x v="1"/>
    <d v="2024-10-21T00:00:00"/>
    <s v="Video"/>
    <s v="#AppleEvent,#iPhone16"/>
    <n v="12015"/>
    <n v="1196"/>
    <n v="998"/>
    <n v="1848"/>
    <n v="44739"/>
    <n v="161750"/>
    <n v="8.7845440494590393E-2"/>
    <x v="4"/>
    <x v="4"/>
  </r>
  <r>
    <s v="A58"/>
    <x v="2"/>
    <d v="2025-04-15T00:00:00"/>
    <s v="Carousel"/>
    <s v="#AppleDesign,#Innovation"/>
    <n v="5419"/>
    <n v="1150"/>
    <n v="656"/>
    <n v="1990"/>
    <n v="410"/>
    <n v="158154"/>
    <n v="4.56833213197263E-2"/>
    <x v="2"/>
    <x v="2"/>
  </r>
  <r>
    <s v="A59"/>
    <x v="0"/>
    <d v="2024-06-22T00:00:00"/>
    <s v="Image"/>
    <s v="#AppleWatch,#Health"/>
    <n v="16430"/>
    <n v="488"/>
    <n v="514"/>
    <n v="1436"/>
    <n v="30059"/>
    <n v="223305"/>
    <n v="7.8063634938760895E-2"/>
    <x v="3"/>
    <x v="3"/>
  </r>
  <r>
    <s v="A60"/>
    <x v="2"/>
    <d v="2025-01-28T00:00:00"/>
    <s v="Tweet"/>
    <s v="#AppleWatch,#Health"/>
    <n v="9239"/>
    <n v="1477"/>
    <n v="631"/>
    <n v="1556"/>
    <n v="11580"/>
    <n v="84738"/>
    <n v="0.13390686586891401"/>
    <x v="2"/>
    <x v="2"/>
  </r>
  <r>
    <s v="A61"/>
    <x v="0"/>
    <d v="2024-09-05T00:00:00"/>
    <s v="Carousel"/>
    <s v="#MacBookProM3"/>
    <n v="16489"/>
    <n v="395"/>
    <n v="350"/>
    <n v="2364"/>
    <n v="43239"/>
    <n v="73397"/>
    <n v="0.234805237271278"/>
    <x v="4"/>
    <x v="4"/>
  </r>
  <r>
    <s v="A62"/>
    <x v="0"/>
    <d v="2025-09-20T00:00:00"/>
    <s v="Image"/>
    <s v="#AppleEvent,#iPhone16"/>
    <n v="18633"/>
    <n v="797"/>
    <n v="303"/>
    <n v="659"/>
    <n v="7"/>
    <n v="122189"/>
    <n v="0.161495715653619"/>
    <x v="1"/>
    <x v="1"/>
  </r>
  <r>
    <s v="A63"/>
    <x v="2"/>
    <d v="2024-07-31T00:00:00"/>
    <s v="Image"/>
    <s v="#AppleWatchUltra2,#HealthTech"/>
    <n v="12357"/>
    <n v="716"/>
    <n v="599"/>
    <n v="999"/>
    <n v="89591"/>
    <n v="116367"/>
    <n v="0.117490353794461"/>
    <x v="0"/>
    <x v="0"/>
  </r>
  <r>
    <s v="A64"/>
    <x v="2"/>
    <d v="2024-08-17T00:00:00"/>
    <s v="Video"/>
    <s v="#ShotOniPhone"/>
    <n v="19154"/>
    <n v="1064"/>
    <n v="650"/>
    <n v="747"/>
    <n v="42667"/>
    <n v="242332"/>
    <n v="8.6113266097750205E-2"/>
    <x v="2"/>
    <x v="2"/>
  </r>
  <r>
    <s v="A65"/>
    <x v="0"/>
    <d v="2025-03-28T00:00:00"/>
    <s v="Tweet"/>
    <s v="#AppleWatchUltra2,#HealthTech"/>
    <n v="6363"/>
    <n v="1341"/>
    <n v="222"/>
    <n v="2712"/>
    <n v="19987"/>
    <n v="160585"/>
    <n v="4.9357038328610998E-2"/>
    <x v="2"/>
    <x v="2"/>
  </r>
  <r>
    <s v="A66"/>
    <x v="3"/>
    <d v="2024-07-26T00:00:00"/>
    <s v="Tweet"/>
    <s v="#AppleWatch,#Health"/>
    <n v="12176"/>
    <n v="1005"/>
    <n v="862"/>
    <n v="974"/>
    <n v="2285"/>
    <n v="116619"/>
    <n v="0.12041777068916699"/>
    <x v="3"/>
    <x v="3"/>
  </r>
  <r>
    <s v="A67"/>
    <x v="1"/>
    <d v="2025-03-29T00:00:00"/>
    <s v="Video"/>
    <s v="#AppleWatch,#Health"/>
    <n v="19461"/>
    <n v="1382"/>
    <n v="445"/>
    <n v="1307"/>
    <n v="84691"/>
    <n v="151453"/>
    <n v="0.14055845707909401"/>
    <x v="3"/>
    <x v="3"/>
  </r>
  <r>
    <s v="A68"/>
    <x v="2"/>
    <d v="2024-12-08T00:00:00"/>
    <s v="Video"/>
    <s v="#MacBookAirM3,#AppleInnovation"/>
    <n v="10427"/>
    <n v="1014"/>
    <n v="166"/>
    <n v="1649"/>
    <n v="15145"/>
    <n v="59816"/>
    <n v="0.19404507155276199"/>
    <x v="2"/>
    <x v="2"/>
  </r>
  <r>
    <s v="A69"/>
    <x v="1"/>
    <d v="2025-03-08T00:00:00"/>
    <s v="Tweet"/>
    <s v="#AppleWatch,#Health"/>
    <n v="10580"/>
    <n v="427"/>
    <n v="790"/>
    <n v="2814"/>
    <n v="24916"/>
    <n v="213312"/>
    <n v="5.5303967896789701E-2"/>
    <x v="4"/>
    <x v="4"/>
  </r>
  <r>
    <s v="A70"/>
    <x v="3"/>
    <d v="2025-04-02T00:00:00"/>
    <s v="Tweet"/>
    <s v="#iPhone16Launch,#AppleEvent"/>
    <n v="6858"/>
    <n v="415"/>
    <n v="366"/>
    <n v="2761"/>
    <n v="2988"/>
    <n v="177348"/>
    <n v="4.3073505198818099E-2"/>
    <x v="0"/>
    <x v="0"/>
  </r>
  <r>
    <s v="A71"/>
    <x v="3"/>
    <d v="2024-09-02T00:00:00"/>
    <s v="Carousel"/>
    <s v="#AppleEvent,#iPadPro"/>
    <n v="12040"/>
    <n v="1147"/>
    <n v="210"/>
    <n v="885"/>
    <n v="30360"/>
    <n v="119530"/>
    <n v="0.112080649209404"/>
    <x v="3"/>
    <x v="3"/>
  </r>
  <r>
    <s v="A72"/>
    <x v="3"/>
    <d v="2025-03-03T00:00:00"/>
    <s v="Carousel"/>
    <s v="#AppleEvent,#iPhone16"/>
    <n v="24928"/>
    <n v="214"/>
    <n v="765"/>
    <n v="1556"/>
    <n v="5239"/>
    <n v="194571"/>
    <n v="0.13314933880177399"/>
    <x v="4"/>
    <x v="4"/>
  </r>
  <r>
    <s v="A73"/>
    <x v="2"/>
    <d v="2025-09-21T00:00:00"/>
    <s v="Video"/>
    <s v="#AppleWatchUltra2,#HealthTech"/>
    <n v="23103"/>
    <n v="1380"/>
    <n v="191"/>
    <n v="1547"/>
    <n v="77798"/>
    <n v="148856"/>
    <n v="0.16575751061428501"/>
    <x v="1"/>
    <x v="1"/>
  </r>
  <r>
    <s v="A74"/>
    <x v="3"/>
    <d v="2024-10-28T00:00:00"/>
    <s v="Carousel"/>
    <s v="#AppleEvent,#iPadPro"/>
    <n v="21198"/>
    <n v="1484"/>
    <n v="174"/>
    <n v="1293"/>
    <n v="16330"/>
    <n v="111635"/>
    <n v="0.204738657231155"/>
    <x v="3"/>
    <x v="3"/>
  </r>
  <r>
    <s v="A75"/>
    <x v="2"/>
    <d v="2024-08-01T00:00:00"/>
    <s v="Image"/>
    <s v="#AppleDesign,#Innovation"/>
    <n v="21758"/>
    <n v="1380"/>
    <n v="188"/>
    <n v="1735"/>
    <n v="20998"/>
    <n v="147803"/>
    <n v="0.157818176897627"/>
    <x v="4"/>
    <x v="4"/>
  </r>
  <r>
    <s v="A76"/>
    <x v="3"/>
    <d v="2024-11-07T00:00:00"/>
    <s v="Carousel"/>
    <s v="#ShotOniPhone"/>
    <n v="17254"/>
    <n v="246"/>
    <n v="952"/>
    <n v="871"/>
    <n v="14957"/>
    <n v="75946"/>
    <n v="0.242962104653306"/>
    <x v="4"/>
    <x v="4"/>
  </r>
  <r>
    <s v="A77"/>
    <x v="1"/>
    <d v="2025-03-04T00:00:00"/>
    <s v="Carousel"/>
    <s v="#iPhone16Launch,#AppleEvent"/>
    <n v="13470"/>
    <n v="523"/>
    <n v="280"/>
    <n v="2682"/>
    <n v="8538"/>
    <n v="95204"/>
    <n v="0.14992017142136899"/>
    <x v="0"/>
    <x v="0"/>
  </r>
  <r>
    <s v="A78"/>
    <x v="1"/>
    <d v="2024-06-17T00:00:00"/>
    <s v="Image"/>
    <s v="#AppleMusic,#AppleLifestyle"/>
    <n v="3252"/>
    <n v="1043"/>
    <n v="647"/>
    <n v="1545"/>
    <n v="18859"/>
    <n v="222958"/>
    <n v="2.2165609666394599E-2"/>
    <x v="0"/>
    <x v="0"/>
  </r>
  <r>
    <s v="A79"/>
    <x v="0"/>
    <d v="2025-09-22T00:00:00"/>
    <s v="Video"/>
    <s v="#Sustainability,#AppleEarth"/>
    <n v="8996"/>
    <n v="329"/>
    <n v="378"/>
    <n v="2384"/>
    <n v="39404"/>
    <n v="242724"/>
    <n v="3.9975445361810101E-2"/>
    <x v="1"/>
    <x v="1"/>
  </r>
  <r>
    <s v="A80"/>
    <x v="1"/>
    <d v="2024-06-13T00:00:00"/>
    <s v="Image"/>
    <s v="#AppleWatchUltra2,#HealthTech"/>
    <n v="14173"/>
    <n v="294"/>
    <n v="257"/>
    <n v="1288"/>
    <n v="39466"/>
    <n v="55563"/>
    <n v="0.26499649047027701"/>
    <x v="4"/>
    <x v="4"/>
  </r>
  <r>
    <s v="A81"/>
    <x v="0"/>
    <d v="2024-10-19T00:00:00"/>
    <s v="Carousel"/>
    <s v="#AppleEvent,#iPadPro"/>
    <n v="6673"/>
    <n v="826"/>
    <n v="321"/>
    <n v="577"/>
    <n v="19262"/>
    <n v="132324"/>
    <n v="5.9097367068710098E-2"/>
    <x v="4"/>
    <x v="4"/>
  </r>
  <r>
    <s v="A82"/>
    <x v="1"/>
    <d v="2024-07-24T00:00:00"/>
    <s v="Video"/>
    <s v="#AppleMusic,#AppleLifestyle"/>
    <n v="22914"/>
    <n v="954"/>
    <n v="584"/>
    <n v="1519"/>
    <n v="13637"/>
    <n v="49847"/>
    <n v="0.49054105563022798"/>
    <x v="0"/>
    <x v="0"/>
  </r>
  <r>
    <s v="A83"/>
    <x v="2"/>
    <d v="2024-10-15T00:00:00"/>
    <s v="Carousel"/>
    <s v="#ShotOniPhone"/>
    <n v="17781"/>
    <n v="993"/>
    <n v="627"/>
    <n v="2187"/>
    <n v="9609"/>
    <n v="66155"/>
    <n v="0.29326581513113098"/>
    <x v="3"/>
    <x v="3"/>
  </r>
  <r>
    <s v="A84"/>
    <x v="1"/>
    <d v="2024-12-09T00:00:00"/>
    <s v="Image"/>
    <s v="#MacBookAirM3,#AppleInnovation"/>
    <n v="15051"/>
    <n v="268"/>
    <n v="251"/>
    <n v="783"/>
    <n v="34154"/>
    <n v="119671"/>
    <n v="0.13010670922779999"/>
    <x v="3"/>
    <x v="3"/>
  </r>
  <r>
    <s v="A85"/>
    <x v="0"/>
    <d v="2025-04-19T00:00:00"/>
    <s v="Image"/>
    <s v="#AppleMusic,#AppleLifestyle"/>
    <n v="8881"/>
    <n v="210"/>
    <n v="673"/>
    <n v="1565"/>
    <n v="24847"/>
    <n v="156891"/>
    <n v="6.2234290048505003E-2"/>
    <x v="2"/>
    <x v="2"/>
  </r>
  <r>
    <s v="A86"/>
    <x v="0"/>
    <d v="2025-01-27T00:00:00"/>
    <s v="Carousel"/>
    <s v="#iPhone16Launch,#AppleEvent"/>
    <n v="8949"/>
    <n v="1477"/>
    <n v="424"/>
    <n v="1030"/>
    <n v="58052"/>
    <n v="123310"/>
    <n v="8.7989619657773105E-2"/>
    <x v="0"/>
    <x v="0"/>
  </r>
  <r>
    <s v="A87"/>
    <x v="3"/>
    <d v="2024-06-06T00:00:00"/>
    <s v="Tweet"/>
    <s v="#iPhone16Launch,#AppleEvent"/>
    <n v="11521"/>
    <n v="1071"/>
    <n v="762"/>
    <n v="2539"/>
    <n v="12701"/>
    <n v="238350"/>
    <n v="5.6026851269142003E-2"/>
    <x v="2"/>
    <x v="2"/>
  </r>
  <r>
    <s v="A88"/>
    <x v="2"/>
    <d v="2024-07-07T00:00:00"/>
    <s v="Tweet"/>
    <s v="#MacBookAirM3,#AppleInnovation"/>
    <n v="24625"/>
    <n v="749"/>
    <n v="193"/>
    <n v="1340"/>
    <n v="4890"/>
    <n v="189381"/>
    <n v="0.13500298340382599"/>
    <x v="0"/>
    <x v="0"/>
  </r>
  <r>
    <s v="A89"/>
    <x v="1"/>
    <d v="2025-09-23T00:00:00"/>
    <s v="Image"/>
    <s v="#Sustainability,#AppleEarth"/>
    <n v="10017"/>
    <n v="1357"/>
    <n v="966"/>
    <n v="2871"/>
    <n v="14800"/>
    <n v="171691"/>
    <n v="7.1873307278774098E-2"/>
    <x v="1"/>
    <x v="1"/>
  </r>
  <r>
    <s v="A90"/>
    <x v="3"/>
    <d v="2024-06-03T00:00:00"/>
    <s v="Image"/>
    <s v="#AppleEvent,#iPhone16"/>
    <n v="8941"/>
    <n v="911"/>
    <n v="166"/>
    <n v="1217"/>
    <n v="68817"/>
    <n v="221180"/>
    <n v="4.5293426168731402E-2"/>
    <x v="4"/>
    <x v="4"/>
  </r>
  <r>
    <s v="A91"/>
    <x v="1"/>
    <d v="2025-09-24T00:00:00"/>
    <s v="Tweet"/>
    <s v="#AppleMusic,#AppleLifestyle"/>
    <n v="12209"/>
    <n v="222"/>
    <n v="479"/>
    <n v="2748"/>
    <n v="24615"/>
    <n v="74707"/>
    <n v="0.17280843829895501"/>
    <x v="1"/>
    <x v="1"/>
  </r>
  <r>
    <s v="A92"/>
    <x v="1"/>
    <d v="2024-10-21T00:00:00"/>
    <s v="Tweet"/>
    <s v="#MacBookAirM3,#AppleInnovation"/>
    <n v="19715"/>
    <n v="1014"/>
    <n v="718"/>
    <n v="1185"/>
    <n v="37625"/>
    <n v="191409"/>
    <n v="0.11204802282024399"/>
    <x v="0"/>
    <x v="0"/>
  </r>
  <r>
    <s v="A93"/>
    <x v="3"/>
    <d v="2024-12-11T00:00:00"/>
    <s v="Carousel"/>
    <s v="#iPhone16Launch,#AppleEvent"/>
    <n v="22645"/>
    <n v="545"/>
    <n v="972"/>
    <n v="321"/>
    <n v="8396"/>
    <n v="121537"/>
    <n v="0.198803656499667"/>
    <x v="4"/>
    <x v="4"/>
  </r>
  <r>
    <s v="A94"/>
    <x v="3"/>
    <d v="2024-11-07T00:00:00"/>
    <s v="Carousel"/>
    <s v="#iPhone16Launch,#AppleEvent"/>
    <n v="11550"/>
    <n v="501"/>
    <n v="646"/>
    <n v="773"/>
    <n v="17841"/>
    <n v="237576"/>
    <n v="5.3443950567397397E-2"/>
    <x v="3"/>
    <x v="3"/>
  </r>
  <r>
    <s v="A95"/>
    <x v="3"/>
    <d v="2024-11-08T00:00:00"/>
    <s v="Tweet"/>
    <s v="#AppleEvent,#iPadPro"/>
    <n v="23499"/>
    <n v="562"/>
    <n v="964"/>
    <n v="2557"/>
    <n v="56890"/>
    <n v="218686"/>
    <n v="0.11443347996670999"/>
    <x v="3"/>
    <x v="3"/>
  </r>
  <r>
    <s v="A96"/>
    <x v="3"/>
    <d v="2024-09-10T00:00:00"/>
    <s v="Carousel"/>
    <s v="#AppleWatch,#Health"/>
    <n v="6637"/>
    <n v="595"/>
    <n v="161"/>
    <n v="2653"/>
    <n v="19334"/>
    <n v="131155"/>
    <n v="5.6368419046166802E-2"/>
    <x v="2"/>
    <x v="2"/>
  </r>
  <r>
    <s v="A97"/>
    <x v="3"/>
    <d v="2024-08-13T00:00:00"/>
    <s v="Carousel"/>
    <s v="#Sustainability,#AppleEarth"/>
    <n v="6854"/>
    <n v="417"/>
    <n v="467"/>
    <n v="1003"/>
    <n v="61333"/>
    <n v="40281"/>
    <n v="0.19210049402944299"/>
    <x v="0"/>
    <x v="0"/>
  </r>
  <r>
    <s v="A98"/>
    <x v="1"/>
    <d v="2024-06-10T00:00:00"/>
    <s v="Video"/>
    <s v="#AppleMusic,#AppleLifestyle"/>
    <n v="21561"/>
    <n v="340"/>
    <n v="741"/>
    <n v="986"/>
    <n v="24826"/>
    <n v="198492"/>
    <n v="0.114070088467041"/>
    <x v="0"/>
    <x v="0"/>
  </r>
  <r>
    <s v="A99"/>
    <x v="3"/>
    <d v="2024-07-02T00:00:00"/>
    <s v="Carousel"/>
    <s v="#AppleMusic,#AppleLifestyle"/>
    <n v="12320"/>
    <n v="1157"/>
    <n v="365"/>
    <n v="584"/>
    <n v="66634"/>
    <n v="210102"/>
    <n v="6.5882285746922897E-2"/>
    <x v="3"/>
    <x v="3"/>
  </r>
  <r>
    <s v="A100"/>
    <x v="2"/>
    <d v="2025-09-25T00:00:00"/>
    <s v="Image"/>
    <s v="#ShotOniPhone"/>
    <n v="20564"/>
    <n v="1433"/>
    <n v="488"/>
    <n v="1015"/>
    <n v="24333"/>
    <n v="172130"/>
    <n v="0.13062801371056801"/>
    <x v="1"/>
    <x v="1"/>
  </r>
  <r>
    <s v="A101"/>
    <x v="0"/>
    <d v="2024-10-18T00:00:00"/>
    <s v="Carousel"/>
    <s v="#MacBookAirM3,#AppleInnovation"/>
    <n v="6892"/>
    <n v="1184"/>
    <n v="925"/>
    <n v="1062"/>
    <n v="75008"/>
    <n v="116260"/>
    <n v="7.7421297092723204E-2"/>
    <x v="4"/>
    <x v="4"/>
  </r>
  <r>
    <s v="A102"/>
    <x v="3"/>
    <d v="2025-09-26T00:00:00"/>
    <s v="Carousel"/>
    <s v="#ShotOniPhone"/>
    <n v="9043"/>
    <n v="1192"/>
    <n v="810"/>
    <n v="1550"/>
    <n v="5221"/>
    <n v="199476"/>
    <n v="5.53700695823056E-2"/>
    <x v="1"/>
    <x v="1"/>
  </r>
  <r>
    <s v="A103"/>
    <x v="3"/>
    <d v="2025-09-27T00:00:00"/>
    <s v="Tweet"/>
    <s v="#MacBookAirM3,#AppleInnovation"/>
    <n v="18521"/>
    <n v="1027"/>
    <n v="230"/>
    <n v="1247"/>
    <n v="39588"/>
    <n v="200928"/>
    <n v="9.8433269628921793E-2"/>
    <x v="1"/>
    <x v="1"/>
  </r>
  <r>
    <s v="A104"/>
    <x v="1"/>
    <d v="2025-03-23T00:00:00"/>
    <s v="Image"/>
    <s v="#AppleDesign,#Innovation"/>
    <n v="24711"/>
    <n v="882"/>
    <n v="876"/>
    <n v="2728"/>
    <n v="32015"/>
    <n v="180272"/>
    <n v="0.14682812638679299"/>
    <x v="3"/>
    <x v="3"/>
  </r>
  <r>
    <s v="A105"/>
    <x v="3"/>
    <d v="2024-06-14T00:00:00"/>
    <s v="Carousel"/>
    <s v="#iPhone16Launch,#AppleEvent"/>
    <n v="21856"/>
    <n v="1203"/>
    <n v="634"/>
    <n v="2807"/>
    <n v="3647"/>
    <n v="104178"/>
    <n v="0.22742805582752601"/>
    <x v="3"/>
    <x v="3"/>
  </r>
  <r>
    <s v="A106"/>
    <x v="3"/>
    <d v="2025-02-04T00:00:00"/>
    <s v="Carousel"/>
    <s v="#AppleWatch,#Health"/>
    <n v="23833"/>
    <n v="555"/>
    <n v="523"/>
    <n v="1330"/>
    <n v="69141"/>
    <n v="73997"/>
    <n v="0.33664878305877299"/>
    <x v="3"/>
    <x v="3"/>
  </r>
  <r>
    <s v="A107"/>
    <x v="3"/>
    <d v="2024-06-21T00:00:00"/>
    <s v="Video"/>
    <s v="#AppleEvent,#iPadPro"/>
    <n v="21216"/>
    <n v="1207"/>
    <n v="859"/>
    <n v="328"/>
    <n v="91296"/>
    <n v="196683"/>
    <n v="0.118373219851233"/>
    <x v="2"/>
    <x v="2"/>
  </r>
  <r>
    <s v="A108"/>
    <x v="1"/>
    <d v="2025-09-28T00:00:00"/>
    <s v="Carousel"/>
    <s v="#AppleWatch,#Health"/>
    <n v="21963"/>
    <n v="1356"/>
    <n v="349"/>
    <n v="1206"/>
    <n v="51755"/>
    <n v="159273"/>
    <n v="0.14860020216860401"/>
    <x v="1"/>
    <x v="1"/>
  </r>
  <r>
    <s v="A109"/>
    <x v="3"/>
    <d v="2024-08-08T00:00:00"/>
    <s v="Carousel"/>
    <s v="#AppleWatch,#Health"/>
    <n v="24355"/>
    <n v="1087"/>
    <n v="686"/>
    <n v="2426"/>
    <n v="24963"/>
    <n v="212307"/>
    <n v="0.123067067972323"/>
    <x v="0"/>
    <x v="0"/>
  </r>
  <r>
    <s v="A110"/>
    <x v="0"/>
    <d v="2024-07-29T00:00:00"/>
    <s v="Video"/>
    <s v="#AppleWatch,#Health"/>
    <n v="6164"/>
    <n v="326"/>
    <n v="615"/>
    <n v="2806"/>
    <n v="38579"/>
    <n v="206129"/>
    <n v="3.4468706489625398E-2"/>
    <x v="4"/>
    <x v="4"/>
  </r>
  <r>
    <s v="A111"/>
    <x v="1"/>
    <d v="2024-11-23T00:00:00"/>
    <s v="Tweet"/>
    <s v="#ShotOniPhone"/>
    <n v="9941"/>
    <n v="1329"/>
    <n v="238"/>
    <n v="869"/>
    <n v="40281"/>
    <n v="172311"/>
    <n v="6.6786217943137702E-2"/>
    <x v="2"/>
    <x v="2"/>
  </r>
  <r>
    <s v="A112"/>
    <x v="0"/>
    <d v="2024-10-05T00:00:00"/>
    <s v="Carousel"/>
    <s v="#MacBookAirM3,#AppleInnovation"/>
    <n v="16388"/>
    <n v="1208"/>
    <n v="417"/>
    <n v="2306"/>
    <n v="16865"/>
    <n v="236733"/>
    <n v="7.6089940988370894E-2"/>
    <x v="0"/>
    <x v="0"/>
  </r>
  <r>
    <s v="A113"/>
    <x v="1"/>
    <d v="2025-09-29T00:00:00"/>
    <s v="Video"/>
    <s v="#iPhonePhotography,#ShotOniPhone"/>
    <n v="7569"/>
    <n v="803"/>
    <n v="804"/>
    <n v="1753"/>
    <n v="43582"/>
    <n v="166945"/>
    <n v="5.4964209769684601E-2"/>
    <x v="1"/>
    <x v="1"/>
  </r>
  <r>
    <s v="A114"/>
    <x v="3"/>
    <d v="2024-11-14T00:00:00"/>
    <s v="Image"/>
    <s v="#AppleDesign,#Innovation"/>
    <n v="6300"/>
    <n v="1213"/>
    <n v="720"/>
    <n v="1037"/>
    <n v="39569"/>
    <n v="85272"/>
    <n v="9.6549863964724605E-2"/>
    <x v="3"/>
    <x v="3"/>
  </r>
  <r>
    <s v="A115"/>
    <x v="0"/>
    <d v="2025-09-30T00:00:00"/>
    <s v="Tweet"/>
    <s v="#AppleWatchUltra2,#HealthTech"/>
    <n v="8269"/>
    <n v="250"/>
    <n v="638"/>
    <n v="815"/>
    <n v="41991"/>
    <n v="129393"/>
    <n v="7.0768897853825202E-2"/>
    <x v="1"/>
    <x v="1"/>
  </r>
  <r>
    <s v="A116"/>
    <x v="1"/>
    <d v="2025-03-18T00:00:00"/>
    <s v="Image"/>
    <s v="#AppleWatch,#Health"/>
    <n v="5818"/>
    <n v="1252"/>
    <n v="687"/>
    <n v="2300"/>
    <n v="25081"/>
    <n v="101212"/>
    <n v="7.6641109749832001E-2"/>
    <x v="4"/>
    <x v="4"/>
  </r>
  <r>
    <s v="A117"/>
    <x v="2"/>
    <d v="2024-11-04T00:00:00"/>
    <s v="Image"/>
    <s v="#AppleEvent,#iPhone16"/>
    <n v="14015"/>
    <n v="978"/>
    <n v="196"/>
    <n v="2744"/>
    <n v="20190"/>
    <n v="186470"/>
    <n v="8.1455462004611998E-2"/>
    <x v="2"/>
    <x v="2"/>
  </r>
  <r>
    <s v="A118"/>
    <x v="3"/>
    <d v="2024-11-04T00:00:00"/>
    <s v="Video"/>
    <s v="#ShotOniPhone"/>
    <n v="14234"/>
    <n v="1013"/>
    <n v="437"/>
    <n v="338"/>
    <n v="67754"/>
    <n v="160030"/>
    <n v="9.8006623758045405E-2"/>
    <x v="2"/>
    <x v="2"/>
  </r>
  <r>
    <s v="A119"/>
    <x v="1"/>
    <d v="2025-02-07T00:00:00"/>
    <s v="Carousel"/>
    <s v="#Sustainability,#AppleEarth"/>
    <n v="20290"/>
    <n v="619"/>
    <n v="927"/>
    <n v="1186"/>
    <n v="8924"/>
    <n v="96503"/>
    <n v="0.22627275835984401"/>
    <x v="4"/>
    <x v="4"/>
  </r>
  <r>
    <s v="A120"/>
    <x v="2"/>
    <d v="2024-10-21T00:00:00"/>
    <s v="Video"/>
    <s v="#AppleEvent,#iPadPro"/>
    <n v="8254"/>
    <n v="1405"/>
    <n v="165"/>
    <n v="2504"/>
    <n v="8081"/>
    <n v="177710"/>
    <n v="5.5281075910190797E-2"/>
    <x v="0"/>
    <x v="0"/>
  </r>
  <r>
    <s v="A121"/>
    <x v="1"/>
    <d v="2024-07-29T00:00:00"/>
    <s v="Video"/>
    <s v="#AppleWatchUltra2,#HealthTech"/>
    <n v="19144"/>
    <n v="1182"/>
    <n v="860"/>
    <n v="1398"/>
    <n v="4185"/>
    <n v="46570"/>
    <n v="0.454928065278076"/>
    <x v="0"/>
    <x v="0"/>
  </r>
  <r>
    <s v="A122"/>
    <x v="2"/>
    <d v="2024-10-02T00:00:00"/>
    <s v="Video"/>
    <s v="#iPhonePhotography,#ShotOniPhone"/>
    <n v="9350"/>
    <n v="1024"/>
    <n v="550"/>
    <n v="2123"/>
    <n v="53916"/>
    <n v="108785"/>
    <n v="0.10041825619340899"/>
    <x v="2"/>
    <x v="2"/>
  </r>
  <r>
    <s v="A123"/>
    <x v="3"/>
    <d v="2024-06-14T00:00:00"/>
    <s v="Video"/>
    <s v="#AppleEvent,#iPhone16"/>
    <n v="17183"/>
    <n v="1224"/>
    <n v="943"/>
    <n v="2010"/>
    <n v="21481"/>
    <n v="49110"/>
    <n v="0.39401343921808202"/>
    <x v="2"/>
    <x v="2"/>
  </r>
  <r>
    <s v="A124"/>
    <x v="0"/>
    <d v="2025-04-06T00:00:00"/>
    <s v="Tweet"/>
    <s v="#iPhonePhotography,#ShotOniPhone"/>
    <n v="8238"/>
    <n v="766"/>
    <n v="235"/>
    <n v="1273"/>
    <n v="4706"/>
    <n v="119141"/>
    <n v="7.7546772311798601E-2"/>
    <x v="3"/>
    <x v="3"/>
  </r>
  <r>
    <s v="A125"/>
    <x v="2"/>
    <d v="2024-09-08T00:00:00"/>
    <s v="Carousel"/>
    <s v="#AppleWatchUltra2,#HealthTech"/>
    <n v="8090"/>
    <n v="570"/>
    <n v="399"/>
    <n v="1862"/>
    <n v="34088"/>
    <n v="52115"/>
    <n v="0.173827113115226"/>
    <x v="0"/>
    <x v="0"/>
  </r>
  <r>
    <s v="A126"/>
    <x v="1"/>
    <d v="2025-03-28T00:00:00"/>
    <s v="Image"/>
    <s v="#AppleWatch,#Health"/>
    <n v="13637"/>
    <n v="1135"/>
    <n v="540"/>
    <n v="1288"/>
    <n v="45183"/>
    <n v="79062"/>
    <n v="0.193670790012901"/>
    <x v="4"/>
    <x v="4"/>
  </r>
  <r>
    <s v="A127"/>
    <x v="3"/>
    <d v="2025-01-27T00:00:00"/>
    <s v="Image"/>
    <s v="#AppleEvent,#iPhone16"/>
    <n v="24415"/>
    <n v="860"/>
    <n v="931"/>
    <n v="320"/>
    <n v="65049"/>
    <n v="62911"/>
    <n v="0.41655672298961999"/>
    <x v="0"/>
    <x v="0"/>
  </r>
  <r>
    <s v="A128"/>
    <x v="2"/>
    <d v="2025-01-10T00:00:00"/>
    <s v="Carousel"/>
    <s v="#iPhonePhotography,#ShotOniPhone"/>
    <n v="14647"/>
    <n v="1168"/>
    <n v="484"/>
    <n v="2650"/>
    <n v="27217"/>
    <n v="144061"/>
    <n v="0.113139572819847"/>
    <x v="3"/>
    <x v="3"/>
  </r>
  <r>
    <s v="A129"/>
    <x v="1"/>
    <d v="2024-07-21T00:00:00"/>
    <s v="Image"/>
    <s v="#AppleEvent,#iPadPro"/>
    <n v="11911"/>
    <n v="1360"/>
    <n v="778"/>
    <n v="1168"/>
    <n v="16483"/>
    <n v="72556"/>
    <n v="0.19362974805667299"/>
    <x v="2"/>
    <x v="2"/>
  </r>
  <r>
    <s v="A130"/>
    <x v="1"/>
    <d v="2024-09-29T00:00:00"/>
    <s v="Carousel"/>
    <s v="#MacBookAirM3,#AppleInnovation"/>
    <n v="10472"/>
    <n v="401"/>
    <n v="668"/>
    <n v="383"/>
    <n v="37571"/>
    <n v="249203"/>
    <n v="4.6311641513143903E-2"/>
    <x v="2"/>
    <x v="2"/>
  </r>
  <r>
    <s v="A131"/>
    <x v="1"/>
    <d v="2024-10-21T00:00:00"/>
    <s v="Image"/>
    <s v="#iPhone16Launch,#AppleEvent"/>
    <n v="20271"/>
    <n v="512"/>
    <n v="286"/>
    <n v="1982"/>
    <n v="43225"/>
    <n v="168335"/>
    <n v="0.125161137018445"/>
    <x v="3"/>
    <x v="3"/>
  </r>
  <r>
    <s v="A132"/>
    <x v="2"/>
    <d v="2025-03-04T00:00:00"/>
    <s v="Video"/>
    <s v="#MacBookAirM3,#AppleInnovation"/>
    <n v="5266"/>
    <n v="316"/>
    <n v="837"/>
    <n v="2276"/>
    <n v="20967"/>
    <n v="41969"/>
    <n v="0.15294622221163201"/>
    <x v="4"/>
    <x v="4"/>
  </r>
  <r>
    <s v="A133"/>
    <x v="2"/>
    <d v="2025-02-06T00:00:00"/>
    <s v="Image"/>
    <s v="#AppleWatchUltra2,#HealthTech"/>
    <n v="2666"/>
    <n v="1136"/>
    <n v="989"/>
    <n v="1710"/>
    <n v="36467"/>
    <n v="83753"/>
    <n v="5.7203921053574198E-2"/>
    <x v="2"/>
    <x v="2"/>
  </r>
  <r>
    <s v="A134"/>
    <x v="2"/>
    <d v="2025-10-01T00:00:00"/>
    <s v="Carousel"/>
    <s v="#ShotOniPhone"/>
    <n v="6188"/>
    <n v="774"/>
    <n v="647"/>
    <n v="1830"/>
    <n v="55436"/>
    <n v="175542"/>
    <n v="4.3345752013763103E-2"/>
    <x v="1"/>
    <x v="1"/>
  </r>
  <r>
    <s v="A135"/>
    <x v="0"/>
    <d v="2024-11-28T00:00:00"/>
    <s v="Carousel"/>
    <s v="#iPhone16Launch,#AppleEvent"/>
    <n v="19055"/>
    <n v="443"/>
    <n v="976"/>
    <n v="869"/>
    <n v="75437"/>
    <n v="161863"/>
    <n v="0.12648968572187599"/>
    <x v="2"/>
    <x v="2"/>
  </r>
  <r>
    <s v="A136"/>
    <x v="2"/>
    <d v="2025-10-02T00:00:00"/>
    <s v="Carousel"/>
    <s v="#AppleDesign,#Innovation"/>
    <n v="12161"/>
    <n v="736"/>
    <n v="876"/>
    <n v="1233"/>
    <n v="21337"/>
    <n v="50225"/>
    <n v="0.27422598307615698"/>
    <x v="1"/>
    <x v="1"/>
  </r>
  <r>
    <s v="A137"/>
    <x v="2"/>
    <d v="2024-07-31T00:00:00"/>
    <s v="Carousel"/>
    <s v="#AppleEvent,#iPadPro"/>
    <n v="13314"/>
    <n v="274"/>
    <n v="626"/>
    <n v="2280"/>
    <n v="14639"/>
    <n v="163008"/>
    <n v="8.7198174322732594E-2"/>
    <x v="3"/>
    <x v="3"/>
  </r>
  <r>
    <s v="A138"/>
    <x v="2"/>
    <d v="2025-03-29T00:00:00"/>
    <s v="Carousel"/>
    <s v="#AppleDesign,#Innovation"/>
    <n v="23508"/>
    <n v="585"/>
    <n v="743"/>
    <n v="2155"/>
    <n v="3704"/>
    <n v="194268"/>
    <n v="0.12784400930673101"/>
    <x v="3"/>
    <x v="3"/>
  </r>
  <r>
    <s v="A139"/>
    <x v="0"/>
    <d v="2024-10-29T00:00:00"/>
    <s v="Tweet"/>
    <s v="#AppleEvent,#iPhone16"/>
    <n v="23969"/>
    <n v="1433"/>
    <n v="372"/>
    <n v="1092"/>
    <n v="32147"/>
    <n v="145823"/>
    <n v="0.17674852389540699"/>
    <x v="2"/>
    <x v="2"/>
  </r>
  <r>
    <s v="A140"/>
    <x v="2"/>
    <d v="2024-07-15T00:00:00"/>
    <s v="Tweet"/>
    <s v="#AppleMusic,#AppleLifestyle"/>
    <n v="14891"/>
    <n v="674"/>
    <n v="521"/>
    <n v="1091"/>
    <n v="18101"/>
    <n v="53669"/>
    <n v="0.29972609886526702"/>
    <x v="0"/>
    <x v="0"/>
  </r>
  <r>
    <s v="A141"/>
    <x v="1"/>
    <d v="2025-10-03T00:00:00"/>
    <s v="Image"/>
    <s v="#iPhone16Launch,#AppleEvent"/>
    <n v="6777"/>
    <n v="617"/>
    <n v="551"/>
    <n v="2109"/>
    <n v="18559"/>
    <n v="208452"/>
    <n v="3.81142901003588E-2"/>
    <x v="1"/>
    <x v="1"/>
  </r>
  <r>
    <s v="A142"/>
    <x v="2"/>
    <d v="2025-03-25T00:00:00"/>
    <s v="Carousel"/>
    <s v="#AppleDesign,#Innovation"/>
    <n v="5900"/>
    <n v="546"/>
    <n v="592"/>
    <n v="1594"/>
    <n v="38627"/>
    <n v="164398"/>
    <n v="4.2810739790021798E-2"/>
    <x v="4"/>
    <x v="4"/>
  </r>
  <r>
    <s v="A143"/>
    <x v="1"/>
    <d v="2024-10-02T00:00:00"/>
    <s v="Image"/>
    <s v="#AppleDesign,#Innovation"/>
    <n v="15716"/>
    <n v="839"/>
    <n v="639"/>
    <n v="2839"/>
    <n v="349"/>
    <n v="150677"/>
    <n v="0.114111642785561"/>
    <x v="2"/>
    <x v="2"/>
  </r>
  <r>
    <s v="A144"/>
    <x v="1"/>
    <d v="2024-10-28T00:00:00"/>
    <s v="Carousel"/>
    <s v="#iPhonePhotography,#ShotOniPhone"/>
    <n v="8981"/>
    <n v="1138"/>
    <n v="764"/>
    <n v="2555"/>
    <n v="92810"/>
    <n v="88320"/>
    <n v="0.123222373188406"/>
    <x v="4"/>
    <x v="4"/>
  </r>
  <r>
    <s v="A145"/>
    <x v="1"/>
    <d v="2024-08-12T00:00:00"/>
    <s v="Carousel"/>
    <s v="#MacBookAirM3,#AppleInnovation"/>
    <n v="8376"/>
    <n v="1154"/>
    <n v="422"/>
    <n v="1907"/>
    <n v="36874"/>
    <n v="218486"/>
    <n v="4.5549829279679203E-2"/>
    <x v="2"/>
    <x v="2"/>
  </r>
  <r>
    <s v="A146"/>
    <x v="0"/>
    <d v="2024-06-05T00:00:00"/>
    <s v="Tweet"/>
    <s v="#iPhonePhotography,#ShotOniPhone"/>
    <n v="18907"/>
    <n v="1075"/>
    <n v="675"/>
    <n v="1383"/>
    <n v="17875"/>
    <n v="186649"/>
    <n v="0.110672974406506"/>
    <x v="0"/>
    <x v="0"/>
  </r>
  <r>
    <s v="A147"/>
    <x v="0"/>
    <d v="2024-10-21T00:00:00"/>
    <s v="Tweet"/>
    <s v="#iPhone16Launch,#AppleEvent"/>
    <n v="20777"/>
    <n v="962"/>
    <n v="308"/>
    <n v="2777"/>
    <n v="25529"/>
    <n v="165354"/>
    <n v="0.13333212380710499"/>
    <x v="0"/>
    <x v="0"/>
  </r>
  <r>
    <s v="A148"/>
    <x v="0"/>
    <d v="2025-04-15T00:00:00"/>
    <s v="Video"/>
    <s v="#iPhone16Launch,#AppleEvent"/>
    <n v="20977"/>
    <n v="1402"/>
    <n v="301"/>
    <n v="1284"/>
    <n v="24620"/>
    <n v="128009"/>
    <n v="0.177175042379833"/>
    <x v="0"/>
    <x v="0"/>
  </r>
  <r>
    <s v="A149"/>
    <x v="2"/>
    <d v="2024-06-16T00:00:00"/>
    <s v="Tweet"/>
    <s v="#AppleWatchUltra2,#HealthTech"/>
    <n v="12160"/>
    <n v="1405"/>
    <n v="769"/>
    <n v="1980"/>
    <n v="33174"/>
    <n v="226481"/>
    <n v="6.3290077313328696E-2"/>
    <x v="0"/>
    <x v="0"/>
  </r>
  <r>
    <s v="A150"/>
    <x v="1"/>
    <d v="2024-08-22T00:00:00"/>
    <s v="Video"/>
    <s v="#iPhonePhotography,#ShotOniPhone"/>
    <n v="16124"/>
    <n v="863"/>
    <n v="337"/>
    <n v="819"/>
    <n v="85788"/>
    <n v="68625"/>
    <n v="0.25244444444444403"/>
    <x v="3"/>
    <x v="3"/>
  </r>
  <r>
    <s v="A151"/>
    <x v="0"/>
    <d v="2024-07-26T00:00:00"/>
    <s v="Video"/>
    <s v="#MacBookProM3"/>
    <n v="18282"/>
    <n v="224"/>
    <n v="962"/>
    <n v="890"/>
    <n v="35105"/>
    <n v="64089"/>
    <n v="0.30376507669022801"/>
    <x v="3"/>
    <x v="3"/>
  </r>
  <r>
    <s v="A152"/>
    <x v="0"/>
    <d v="2025-10-04T00:00:00"/>
    <s v="Video"/>
    <s v="#Sustainability,#AppleEarth"/>
    <n v="12488"/>
    <n v="1403"/>
    <n v="247"/>
    <n v="1350"/>
    <n v="28370"/>
    <n v="76487"/>
    <n v="0.184841868552826"/>
    <x v="1"/>
    <x v="1"/>
  </r>
  <r>
    <s v="A153"/>
    <x v="2"/>
    <d v="2025-01-01T00:00:00"/>
    <s v="Video"/>
    <s v="#MacBookAirM3,#AppleInnovation"/>
    <n v="24574"/>
    <n v="909"/>
    <n v="280"/>
    <n v="2009"/>
    <n v="6221"/>
    <n v="236910"/>
    <n v="0.108745937275759"/>
    <x v="4"/>
    <x v="4"/>
  </r>
  <r>
    <s v="A154"/>
    <x v="0"/>
    <d v="2024-10-09T00:00:00"/>
    <s v="Video"/>
    <s v="#iPhone16Launch,#AppleEvent"/>
    <n v="7240"/>
    <n v="1384"/>
    <n v="954"/>
    <n v="2335"/>
    <n v="6757"/>
    <n v="150448"/>
    <n v="6.3663192598107002E-2"/>
    <x v="2"/>
    <x v="2"/>
  </r>
  <r>
    <s v="A155"/>
    <x v="2"/>
    <d v="2024-12-21T00:00:00"/>
    <s v="Image"/>
    <s v="#AppleWatchUltra2,#HealthTech"/>
    <n v="12453"/>
    <n v="376"/>
    <n v="320"/>
    <n v="2546"/>
    <n v="22617"/>
    <n v="90138"/>
    <n v="0.14587632297144401"/>
    <x v="2"/>
    <x v="2"/>
  </r>
  <r>
    <s v="A156"/>
    <x v="3"/>
    <d v="2024-10-22T00:00:00"/>
    <s v="Tweet"/>
    <s v="#AppleMusic,#AppleLifestyle"/>
    <n v="12478"/>
    <n v="484"/>
    <n v="332"/>
    <n v="2734"/>
    <n v="43338"/>
    <n v="213895"/>
    <n v="6.2151990462610197E-2"/>
    <x v="3"/>
    <x v="3"/>
  </r>
  <r>
    <s v="A157"/>
    <x v="0"/>
    <d v="2024-07-23T00:00:00"/>
    <s v="Video"/>
    <s v="#iPhonePhotography,#ShotOniPhone"/>
    <n v="24877"/>
    <n v="262"/>
    <n v="513"/>
    <n v="648"/>
    <n v="47544"/>
    <n v="208280"/>
    <n v="0.12316112924908799"/>
    <x v="2"/>
    <x v="2"/>
  </r>
  <r>
    <s v="A158"/>
    <x v="3"/>
    <d v="2024-08-11T00:00:00"/>
    <s v="Carousel"/>
    <s v="#MacBookAirM3,#AppleInnovation"/>
    <n v="14394"/>
    <n v="1202"/>
    <n v="188"/>
    <n v="1259"/>
    <n v="21925"/>
    <n v="94061"/>
    <n v="0.16780599823518799"/>
    <x v="3"/>
    <x v="3"/>
  </r>
  <r>
    <s v="A159"/>
    <x v="2"/>
    <d v="2025-10-05T00:00:00"/>
    <s v="Tweet"/>
    <s v="#AppleMusic,#AppleLifestyle"/>
    <n v="21262"/>
    <n v="861"/>
    <n v="676"/>
    <n v="2263"/>
    <n v="12085"/>
    <n v="201731"/>
    <n v="0.113016839256237"/>
    <x v="1"/>
    <x v="1"/>
  </r>
  <r>
    <s v="A160"/>
    <x v="1"/>
    <d v="2024-08-24T00:00:00"/>
    <s v="Tweet"/>
    <s v="#iPhonePhotography,#ShotOniPhone"/>
    <n v="22527"/>
    <n v="865"/>
    <n v="646"/>
    <n v="992"/>
    <n v="18654"/>
    <n v="141376"/>
    <n v="0.170028859212313"/>
    <x v="4"/>
    <x v="4"/>
  </r>
  <r>
    <s v="A161"/>
    <x v="0"/>
    <d v="2025-10-06T00:00:00"/>
    <s v="Video"/>
    <s v="#AppleDesign,#Innovation"/>
    <n v="22028"/>
    <n v="355"/>
    <n v="665"/>
    <n v="1859"/>
    <n v="50565"/>
    <n v="202962"/>
    <n v="0.11355820301337199"/>
    <x v="1"/>
    <x v="1"/>
  </r>
  <r>
    <s v="A162"/>
    <x v="2"/>
    <d v="2025-04-01T00:00:00"/>
    <s v="Image"/>
    <s v="#AppleMusic,#AppleLifestyle"/>
    <n v="6432"/>
    <n v="1272"/>
    <n v="498"/>
    <n v="677"/>
    <n v="47305"/>
    <n v="119134"/>
    <n v="6.8846844729464299E-2"/>
    <x v="0"/>
    <x v="0"/>
  </r>
  <r>
    <s v="A163"/>
    <x v="1"/>
    <d v="2025-04-08T00:00:00"/>
    <s v="Video"/>
    <s v="#AppleWatchUltra2,#HealthTech"/>
    <n v="15568"/>
    <n v="1166"/>
    <n v="546"/>
    <n v="826"/>
    <n v="21836"/>
    <n v="87055"/>
    <n v="0.19849520418126501"/>
    <x v="0"/>
    <x v="0"/>
  </r>
  <r>
    <s v="A164"/>
    <x v="1"/>
    <d v="2025-02-27T00:00:00"/>
    <s v="Image"/>
    <s v="#MacBookAirM3,#AppleInnovation"/>
    <n v="16178"/>
    <n v="1048"/>
    <n v="871"/>
    <n v="2553"/>
    <n v="39025"/>
    <n v="59508"/>
    <n v="0.30411037171472699"/>
    <x v="0"/>
    <x v="0"/>
  </r>
  <r>
    <s v="A165"/>
    <x v="3"/>
    <d v="2025-10-07T00:00:00"/>
    <s v="Carousel"/>
    <s v="#AppleWatch,#Health"/>
    <n v="19660"/>
    <n v="1307"/>
    <n v="310"/>
    <n v="2802"/>
    <n v="22171"/>
    <n v="213359"/>
    <n v="9.9723939463533307E-2"/>
    <x v="1"/>
    <x v="1"/>
  </r>
  <r>
    <s v="A166"/>
    <x v="2"/>
    <d v="2025-02-16T00:00:00"/>
    <s v="Tweet"/>
    <s v="#AppleEvent,#iPhone16"/>
    <n v="24195"/>
    <n v="888"/>
    <n v="165"/>
    <n v="1559"/>
    <n v="11596"/>
    <n v="249988"/>
    <n v="0.100996847848697"/>
    <x v="2"/>
    <x v="2"/>
  </r>
  <r>
    <s v="A167"/>
    <x v="1"/>
    <d v="2024-11-28T00:00:00"/>
    <s v="Carousel"/>
    <s v="#AppleEvent,#iPhone16"/>
    <n v="2302"/>
    <n v="347"/>
    <n v="642"/>
    <n v="2175"/>
    <n v="56378"/>
    <n v="198056"/>
    <n v="1.6616512501514701E-2"/>
    <x v="4"/>
    <x v="4"/>
  </r>
  <r>
    <s v="A168"/>
    <x v="0"/>
    <d v="2024-11-12T00:00:00"/>
    <s v="Image"/>
    <s v="#MacBookAirM3,#AppleInnovation"/>
    <n v="19022"/>
    <n v="541"/>
    <n v="575"/>
    <n v="2063"/>
    <n v="42743"/>
    <n v="150169"/>
    <n v="0.134102244804187"/>
    <x v="0"/>
    <x v="0"/>
  </r>
  <r>
    <s v="A169"/>
    <x v="0"/>
    <d v="2024-12-03T00:00:00"/>
    <s v="Image"/>
    <s v="#AppleMusic,#AppleLifestyle"/>
    <n v="2055"/>
    <n v="675"/>
    <n v="257"/>
    <n v="820"/>
    <n v="33534"/>
    <n v="48125"/>
    <n v="6.20675324675325E-2"/>
    <x v="0"/>
    <x v="0"/>
  </r>
  <r>
    <s v="A170"/>
    <x v="3"/>
    <d v="2025-04-28T00:00:00"/>
    <s v="Carousel"/>
    <s v="#iPhonePhotography,#ShotOniPhone"/>
    <n v="15013"/>
    <n v="1286"/>
    <n v="599"/>
    <n v="2001"/>
    <n v="67839"/>
    <n v="76059"/>
    <n v="0.22216963147030599"/>
    <x v="0"/>
    <x v="0"/>
  </r>
  <r>
    <s v="A171"/>
    <x v="1"/>
    <d v="2024-12-31T00:00:00"/>
    <s v="Image"/>
    <s v="#AppleWatchUltra2,#HealthTech"/>
    <n v="10717"/>
    <n v="760"/>
    <n v="460"/>
    <n v="1316"/>
    <n v="18164"/>
    <n v="240641"/>
    <n v="4.96050132770392E-2"/>
    <x v="4"/>
    <x v="4"/>
  </r>
  <r>
    <s v="A172"/>
    <x v="2"/>
    <d v="2024-08-14T00:00:00"/>
    <s v="Carousel"/>
    <s v="#Sustainability,#AppleEarth"/>
    <n v="10150"/>
    <n v="526"/>
    <n v="888"/>
    <n v="1313"/>
    <n v="51605"/>
    <n v="143409"/>
    <n v="8.0636501195880297E-2"/>
    <x v="0"/>
    <x v="0"/>
  </r>
  <r>
    <s v="A173"/>
    <x v="0"/>
    <d v="2024-12-05T00:00:00"/>
    <s v="Tweet"/>
    <s v="#AppleEvent,#iPhone16"/>
    <n v="4125"/>
    <n v="1364"/>
    <n v="319"/>
    <n v="2848"/>
    <n v="15379"/>
    <n v="188159"/>
    <n v="3.0867510988047301E-2"/>
    <x v="4"/>
    <x v="4"/>
  </r>
  <r>
    <s v="A174"/>
    <x v="1"/>
    <d v="2024-06-22T00:00:00"/>
    <s v="Carousel"/>
    <s v="#AppleWatchUltra2,#HealthTech"/>
    <n v="13479"/>
    <n v="1189"/>
    <n v="695"/>
    <n v="416"/>
    <n v="30229"/>
    <n v="45704"/>
    <n v="0.33614125678277601"/>
    <x v="0"/>
    <x v="0"/>
  </r>
  <r>
    <s v="A175"/>
    <x v="1"/>
    <d v="2025-10-08T00:00:00"/>
    <s v="Tweet"/>
    <s v="#AppleEvent,#iPhone16"/>
    <n v="17745"/>
    <n v="414"/>
    <n v="563"/>
    <n v="2733"/>
    <n v="995"/>
    <n v="231648"/>
    <n v="8.0820900676889101E-2"/>
    <x v="1"/>
    <x v="1"/>
  </r>
  <r>
    <s v="A176"/>
    <x v="3"/>
    <d v="2025-10-09T00:00:00"/>
    <s v="Carousel"/>
    <s v="#AppleDesign,#Innovation"/>
    <n v="18748"/>
    <n v="634"/>
    <n v="400"/>
    <n v="1667"/>
    <n v="75813"/>
    <n v="244456"/>
    <n v="8.0922538207284803E-2"/>
    <x v="1"/>
    <x v="1"/>
  </r>
  <r>
    <s v="A177"/>
    <x v="0"/>
    <d v="2024-07-10T00:00:00"/>
    <s v="Image"/>
    <s v="#iPhonePhotography,#ShotOniPhone"/>
    <n v="8809"/>
    <n v="1151"/>
    <n v="908"/>
    <n v="883"/>
    <n v="42921"/>
    <n v="151279"/>
    <n v="7.1840771025720701E-2"/>
    <x v="4"/>
    <x v="4"/>
  </r>
  <r>
    <s v="A178"/>
    <x v="0"/>
    <d v="2025-10-10T00:00:00"/>
    <s v="Carousel"/>
    <s v="#AppleDesign,#Innovation"/>
    <n v="6621"/>
    <n v="922"/>
    <n v="930"/>
    <n v="694"/>
    <n v="839"/>
    <n v="243532"/>
    <n v="3.4792142305733999E-2"/>
    <x v="1"/>
    <x v="1"/>
  </r>
  <r>
    <s v="A179"/>
    <x v="2"/>
    <d v="2024-07-15T00:00:00"/>
    <s v="Image"/>
    <s v="#AppleEvent,#iPhone16"/>
    <n v="17034"/>
    <n v="231"/>
    <n v="290"/>
    <n v="1387"/>
    <n v="63550"/>
    <n v="198280"/>
    <n v="8.8536413153116805E-2"/>
    <x v="4"/>
    <x v="4"/>
  </r>
  <r>
    <s v="A180"/>
    <x v="0"/>
    <d v="2025-10-11T00:00:00"/>
    <s v="Carousel"/>
    <s v="#AppleWatch,#Health"/>
    <n v="15623"/>
    <n v="869"/>
    <n v="423"/>
    <n v="371"/>
    <n v="47579"/>
    <n v="158516"/>
    <n v="0.106708471069167"/>
    <x v="1"/>
    <x v="1"/>
  </r>
  <r>
    <s v="A181"/>
    <x v="2"/>
    <d v="2025-10-12T00:00:00"/>
    <s v="Carousel"/>
    <s v="#AppleWatch,#Health"/>
    <n v="7126"/>
    <n v="484"/>
    <n v="565"/>
    <n v="573"/>
    <n v="7389"/>
    <n v="237096"/>
    <n v="3.4479704423524597E-2"/>
    <x v="1"/>
    <x v="1"/>
  </r>
  <r>
    <s v="A182"/>
    <x v="0"/>
    <d v="2024-07-31T00:00:00"/>
    <s v="Video"/>
    <s v="#AppleDesign,#Innovation"/>
    <n v="7122"/>
    <n v="628"/>
    <n v="757"/>
    <n v="2313"/>
    <n v="50924"/>
    <n v="210954"/>
    <n v="4.0326327066564298E-2"/>
    <x v="4"/>
    <x v="4"/>
  </r>
  <r>
    <s v="A183"/>
    <x v="3"/>
    <d v="2024-12-17T00:00:00"/>
    <s v="Image"/>
    <s v="#AppleWatch,#Health"/>
    <n v="20030"/>
    <n v="485"/>
    <n v="888"/>
    <n v="1643"/>
    <n v="4322"/>
    <n v="196995"/>
    <n v="0.108647427599685"/>
    <x v="2"/>
    <x v="2"/>
  </r>
  <r>
    <s v="A184"/>
    <x v="0"/>
    <d v="2025-10-13T00:00:00"/>
    <s v="Video"/>
    <s v="#AppleEvent,#iPhone16"/>
    <n v="19302"/>
    <n v="1367"/>
    <n v="188"/>
    <n v="637"/>
    <n v="31404"/>
    <n v="154044"/>
    <n v="0.13539638025499201"/>
    <x v="1"/>
    <x v="1"/>
  </r>
  <r>
    <s v="A185"/>
    <x v="2"/>
    <d v="2025-01-11T00:00:00"/>
    <s v="Image"/>
    <s v="#MacBookAirM3,#AppleInnovation"/>
    <n v="21181"/>
    <n v="1242"/>
    <n v="963"/>
    <n v="1689"/>
    <n v="49329"/>
    <n v="69165"/>
    <n v="0.338118990819056"/>
    <x v="0"/>
    <x v="0"/>
  </r>
  <r>
    <s v="A186"/>
    <x v="2"/>
    <d v="2024-08-24T00:00:00"/>
    <s v="Video"/>
    <s v="#AppleDesign,#Innovation"/>
    <n v="24890"/>
    <n v="217"/>
    <n v="178"/>
    <n v="906"/>
    <n v="54826"/>
    <n v="107203"/>
    <n v="0.23586093672751701"/>
    <x v="2"/>
    <x v="2"/>
  </r>
  <r>
    <s v="A187"/>
    <x v="3"/>
    <d v="2024-12-22T00:00:00"/>
    <s v="Tweet"/>
    <s v="#Sustainability,#AppleEarth"/>
    <n v="7870"/>
    <n v="968"/>
    <n v="626"/>
    <n v="465"/>
    <n v="27184"/>
    <n v="44114"/>
    <n v="0.214535068232307"/>
    <x v="4"/>
    <x v="4"/>
  </r>
  <r>
    <s v="A188"/>
    <x v="0"/>
    <d v="2024-06-06T00:00:00"/>
    <s v="Carousel"/>
    <s v="#Sustainability,#AppleEarth"/>
    <n v="3531"/>
    <n v="789"/>
    <n v="467"/>
    <n v="1867"/>
    <n v="40816"/>
    <n v="236037"/>
    <n v="2.0280718700881599E-2"/>
    <x v="2"/>
    <x v="2"/>
  </r>
  <r>
    <s v="A189"/>
    <x v="0"/>
    <d v="2025-03-24T00:00:00"/>
    <s v="Image"/>
    <s v="#ShotOniPhone"/>
    <n v="10172"/>
    <n v="1398"/>
    <n v="394"/>
    <n v="2358"/>
    <n v="59610"/>
    <n v="76321"/>
    <n v="0.15675895231980699"/>
    <x v="3"/>
    <x v="3"/>
  </r>
  <r>
    <s v="A190"/>
    <x v="3"/>
    <d v="2024-10-04T00:00:00"/>
    <s v="Image"/>
    <s v="#AppleMusic,#AppleLifestyle"/>
    <n v="21729"/>
    <n v="1209"/>
    <n v="897"/>
    <n v="1624"/>
    <n v="38771"/>
    <n v="113297"/>
    <n v="0.21037626768581699"/>
    <x v="3"/>
    <x v="3"/>
  </r>
  <r>
    <s v="A191"/>
    <x v="0"/>
    <d v="2025-10-14T00:00:00"/>
    <s v="Carousel"/>
    <s v="#iPhonePhotography,#ShotOniPhone"/>
    <n v="9673"/>
    <n v="393"/>
    <n v="846"/>
    <n v="1028"/>
    <n v="55556"/>
    <n v="136652"/>
    <n v="7.9852471972601896E-2"/>
    <x v="1"/>
    <x v="1"/>
  </r>
  <r>
    <s v="A192"/>
    <x v="0"/>
    <d v="2025-10-15T00:00:00"/>
    <s v="Image"/>
    <s v="#AppleWatch,#Health"/>
    <n v="8882"/>
    <n v="701"/>
    <n v="421"/>
    <n v="2343"/>
    <n v="13588"/>
    <n v="139304"/>
    <n v="7.1814161833113205E-2"/>
    <x v="1"/>
    <x v="1"/>
  </r>
  <r>
    <s v="A193"/>
    <x v="2"/>
    <d v="2024-09-11T00:00:00"/>
    <s v="Image"/>
    <s v="#AppleWatch,#Health"/>
    <n v="3906"/>
    <n v="1187"/>
    <n v="589"/>
    <n v="401"/>
    <n v="52687"/>
    <n v="196498"/>
    <n v="2.8916324848090098E-2"/>
    <x v="0"/>
    <x v="0"/>
  </r>
  <r>
    <s v="A194"/>
    <x v="0"/>
    <d v="2024-10-02T00:00:00"/>
    <s v="Video"/>
    <s v="#AppleMusic,#AppleLifestyle"/>
    <n v="5086"/>
    <n v="1336"/>
    <n v="897"/>
    <n v="1715"/>
    <n v="60592"/>
    <n v="57772"/>
    <n v="0.12668766876687701"/>
    <x v="2"/>
    <x v="2"/>
  </r>
  <r>
    <s v="A195"/>
    <x v="0"/>
    <d v="2024-08-15T00:00:00"/>
    <s v="Image"/>
    <s v="#iPhone16Launch,#AppleEvent"/>
    <n v="15503"/>
    <n v="313"/>
    <n v="388"/>
    <n v="1078"/>
    <n v="11500"/>
    <n v="143754"/>
    <n v="0.11272034169484001"/>
    <x v="3"/>
    <x v="3"/>
  </r>
  <r>
    <s v="A196"/>
    <x v="3"/>
    <d v="2025-09-18T00:00:00"/>
    <s v="Tweet"/>
    <s v="#MacBookProM3"/>
    <n v="10152"/>
    <n v="1445"/>
    <n v="526"/>
    <n v="513"/>
    <n v="18959"/>
    <n v="43712"/>
    <n v="0.27733803074670599"/>
    <x v="1"/>
    <x v="1"/>
  </r>
  <r>
    <s v="A197"/>
    <x v="3"/>
    <d v="2024-10-22T00:00:00"/>
    <s v="Tweet"/>
    <s v="#AppleDesign,#Innovation"/>
    <n v="7750"/>
    <n v="1146"/>
    <n v="415"/>
    <n v="1411"/>
    <n v="85339"/>
    <n v="172439"/>
    <n v="5.3995905798572198E-2"/>
    <x v="2"/>
    <x v="2"/>
  </r>
  <r>
    <s v="A198"/>
    <x v="1"/>
    <d v="2025-09-19T00:00:00"/>
    <s v="Carousel"/>
    <s v="#AppleEvent,#iPadPro"/>
    <n v="14772"/>
    <n v="1030"/>
    <n v="508"/>
    <n v="1876"/>
    <n v="8882"/>
    <n v="155142"/>
    <n v="0.10512949426976601"/>
    <x v="1"/>
    <x v="1"/>
  </r>
  <r>
    <s v="A199"/>
    <x v="2"/>
    <d v="2025-09-20T00:00:00"/>
    <s v="Image"/>
    <s v="#AppleWatch,#Health"/>
    <n v="12267"/>
    <n v="1487"/>
    <n v="489"/>
    <n v="2748"/>
    <n v="34685"/>
    <n v="131736"/>
    <n v="0.108117750652821"/>
    <x v="1"/>
    <x v="1"/>
  </r>
  <r>
    <s v="A200"/>
    <x v="0"/>
    <d v="2025-04-07T00:00:00"/>
    <s v="Carousel"/>
    <s v="#iPhonePhotography,#ShotOniPhone"/>
    <n v="3062"/>
    <n v="1124"/>
    <n v="538"/>
    <n v="2935"/>
    <n v="69749"/>
    <n v="91924"/>
    <n v="5.1390278926069399E-2"/>
    <x v="3"/>
    <x v="3"/>
  </r>
  <r>
    <s v="A201"/>
    <x v="0"/>
    <d v="2025-01-15T00:00:00"/>
    <s v="Tweet"/>
    <s v="#ShotOniPhone"/>
    <n v="20360"/>
    <n v="254"/>
    <n v="726"/>
    <n v="1995"/>
    <n v="14280"/>
    <n v="43726"/>
    <n v="0.48803915290673699"/>
    <x v="3"/>
    <x v="3"/>
  </r>
  <r>
    <s v="A202"/>
    <x v="1"/>
    <d v="2025-09-21T00:00:00"/>
    <s v="Image"/>
    <s v="#Sustainability,#AppleEarth"/>
    <n v="19680"/>
    <n v="999"/>
    <n v="838"/>
    <n v="891"/>
    <n v="29576"/>
    <n v="129152"/>
    <n v="0.16660214321110001"/>
    <x v="1"/>
    <x v="1"/>
  </r>
  <r>
    <s v="A203"/>
    <x v="0"/>
    <d v="2024-11-21T00:00:00"/>
    <s v="Image"/>
    <s v="#AppleWatch,#Health"/>
    <n v="8229"/>
    <n v="977"/>
    <n v="152"/>
    <n v="1633"/>
    <n v="71447"/>
    <n v="67723"/>
    <n v="0.138180529509915"/>
    <x v="4"/>
    <x v="4"/>
  </r>
  <r>
    <s v="A204"/>
    <x v="2"/>
    <d v="2025-09-22T00:00:00"/>
    <s v="Carousel"/>
    <s v="#ShotOniPhone"/>
    <n v="18509"/>
    <n v="361"/>
    <n v="578"/>
    <n v="1409"/>
    <n v="10569"/>
    <n v="166969"/>
    <n v="0.1164767112458"/>
    <x v="1"/>
    <x v="1"/>
  </r>
  <r>
    <s v="A205"/>
    <x v="1"/>
    <d v="2025-09-23T00:00:00"/>
    <s v="Tweet"/>
    <s v="#AppleEvent,#iPhone16"/>
    <n v="17147"/>
    <n v="286"/>
    <n v="291"/>
    <n v="2439"/>
    <n v="45631"/>
    <n v="140494"/>
    <n v="0.12615485358805401"/>
    <x v="1"/>
    <x v="1"/>
  </r>
  <r>
    <s v="A206"/>
    <x v="2"/>
    <d v="2024-06-24T00:00:00"/>
    <s v="Image"/>
    <s v="#AppleEvent,#iPhone16"/>
    <n v="6632"/>
    <n v="254"/>
    <n v="525"/>
    <n v="1013"/>
    <n v="13838"/>
    <n v="180180"/>
    <n v="4.1131091131091098E-2"/>
    <x v="0"/>
    <x v="0"/>
  </r>
  <r>
    <s v="A207"/>
    <x v="1"/>
    <d v="2024-12-29T00:00:00"/>
    <s v="Carousel"/>
    <s v="#MacBookProM3"/>
    <n v="8288"/>
    <n v="1401"/>
    <n v="819"/>
    <n v="1235"/>
    <n v="33446"/>
    <n v="248786"/>
    <n v="4.2237103373984099E-2"/>
    <x v="0"/>
    <x v="0"/>
  </r>
  <r>
    <s v="A208"/>
    <x v="1"/>
    <d v="2024-06-24T00:00:00"/>
    <s v="Tweet"/>
    <s v="#MacBookAirM3,#AppleInnovation"/>
    <n v="5596"/>
    <n v="1231"/>
    <n v="473"/>
    <n v="2251"/>
    <n v="43705"/>
    <n v="75643"/>
    <n v="9.6505955607260399E-2"/>
    <x v="0"/>
    <x v="0"/>
  </r>
  <r>
    <s v="A209"/>
    <x v="3"/>
    <d v="2025-03-19T00:00:00"/>
    <s v="Carousel"/>
    <s v="#AppleEvent,#iPadPro"/>
    <n v="13475"/>
    <n v="1032"/>
    <n v="295"/>
    <n v="541"/>
    <n v="43666"/>
    <n v="202396"/>
    <n v="7.3133856400324104E-2"/>
    <x v="4"/>
    <x v="4"/>
  </r>
  <r>
    <s v="A210"/>
    <x v="2"/>
    <d v="2025-02-19T00:00:00"/>
    <s v="Video"/>
    <s v="#iPhone16Launch,#AppleEvent"/>
    <n v="8168"/>
    <n v="512"/>
    <n v="442"/>
    <n v="2343"/>
    <n v="2753"/>
    <n v="143896"/>
    <n v="6.33930060599322E-2"/>
    <x v="4"/>
    <x v="4"/>
  </r>
  <r>
    <s v="A211"/>
    <x v="0"/>
    <d v="2025-09-24T00:00:00"/>
    <s v="Image"/>
    <s v="#MacBookProM3"/>
    <n v="11795"/>
    <n v="958"/>
    <n v="814"/>
    <n v="301"/>
    <n v="12564"/>
    <n v="179999"/>
    <n v="7.5372640959116402E-2"/>
    <x v="1"/>
    <x v="1"/>
  </r>
  <r>
    <s v="A212"/>
    <x v="0"/>
    <d v="2025-03-03T00:00:00"/>
    <s v="Video"/>
    <s v="#AppleWatchUltra2,#HealthTech"/>
    <n v="9561"/>
    <n v="642"/>
    <n v="581"/>
    <n v="2572"/>
    <n v="38552"/>
    <n v="133680"/>
    <n v="8.0670257330939604E-2"/>
    <x v="0"/>
    <x v="0"/>
  </r>
  <r>
    <s v="A213"/>
    <x v="2"/>
    <d v="2025-05-01T00:00:00"/>
    <s v="Tweet"/>
    <s v="#iPhone16Launch,#AppleEvent"/>
    <n v="10258"/>
    <n v="527"/>
    <n v="854"/>
    <n v="2068"/>
    <n v="45632"/>
    <n v="136546"/>
    <n v="8.5238674146441498E-2"/>
    <x v="4"/>
    <x v="4"/>
  </r>
  <r>
    <s v="A214"/>
    <x v="0"/>
    <d v="2024-12-23T00:00:00"/>
    <s v="Video"/>
    <s v="#AppleDesign,#Innovation"/>
    <n v="18616"/>
    <n v="1277"/>
    <n v="734"/>
    <n v="2249"/>
    <n v="3399"/>
    <n v="193515"/>
    <n v="0.106591220318838"/>
    <x v="3"/>
    <x v="3"/>
  </r>
  <r>
    <s v="A215"/>
    <x v="0"/>
    <d v="2025-09-25T00:00:00"/>
    <s v="Video"/>
    <s v="#iPhonePhotography,#ShotOniPhone"/>
    <n v="8371"/>
    <n v="960"/>
    <n v="548"/>
    <n v="2936"/>
    <n v="82543"/>
    <n v="119973"/>
    <n v="8.2343527293641097E-2"/>
    <x v="1"/>
    <x v="1"/>
  </r>
  <r>
    <s v="A216"/>
    <x v="2"/>
    <d v="2024-07-29T00:00:00"/>
    <s v="Tweet"/>
    <s v="#AppleWatchUltra2,#HealthTech"/>
    <n v="22590"/>
    <n v="1462"/>
    <n v="966"/>
    <n v="2463"/>
    <n v="29689"/>
    <n v="103449"/>
    <n v="0.24183897379385"/>
    <x v="2"/>
    <x v="2"/>
  </r>
  <r>
    <s v="A217"/>
    <x v="1"/>
    <d v="2025-09-26T00:00:00"/>
    <s v="Carousel"/>
    <s v="#AppleWatchUltra2,#HealthTech"/>
    <n v="16369"/>
    <n v="1452"/>
    <n v="493"/>
    <n v="1217"/>
    <n v="91440"/>
    <n v="149834"/>
    <n v="0.12222859965028"/>
    <x v="1"/>
    <x v="1"/>
  </r>
  <r>
    <s v="A218"/>
    <x v="2"/>
    <d v="2024-06-11T00:00:00"/>
    <s v="Video"/>
    <s v="#MacBookProM3"/>
    <n v="14910"/>
    <n v="778"/>
    <n v="289"/>
    <n v="2541"/>
    <n v="14309"/>
    <n v="247815"/>
    <n v="6.4471480741682297E-2"/>
    <x v="2"/>
    <x v="2"/>
  </r>
  <r>
    <s v="A219"/>
    <x v="1"/>
    <d v="2025-01-28T00:00:00"/>
    <s v="Carousel"/>
    <s v="#AppleMusic,#AppleLifestyle"/>
    <n v="9943"/>
    <n v="1274"/>
    <n v="336"/>
    <n v="389"/>
    <n v="6145"/>
    <n v="231305"/>
    <n v="4.9947039623008602E-2"/>
    <x v="0"/>
    <x v="0"/>
  </r>
  <r>
    <s v="A220"/>
    <x v="0"/>
    <d v="2024-06-02T00:00:00"/>
    <s v="Video"/>
    <s v="#MacBookAirM3,#AppleInnovation"/>
    <n v="14199"/>
    <n v="1206"/>
    <n v="954"/>
    <n v="2009"/>
    <n v="8"/>
    <n v="65537"/>
    <n v="0.249614721455056"/>
    <x v="2"/>
    <x v="2"/>
  </r>
  <r>
    <s v="A221"/>
    <x v="0"/>
    <d v="2025-03-23T00:00:00"/>
    <s v="Carousel"/>
    <s v="#AppleMusic,#AppleLifestyle"/>
    <n v="17728"/>
    <n v="1487"/>
    <n v="210"/>
    <n v="2469"/>
    <n v="30565"/>
    <n v="117576"/>
    <n v="0.165212288222086"/>
    <x v="0"/>
    <x v="0"/>
  </r>
  <r>
    <s v="A222"/>
    <x v="0"/>
    <d v="2024-10-08T00:00:00"/>
    <s v="Tweet"/>
    <s v="#MacBookProM3"/>
    <n v="8738"/>
    <n v="295"/>
    <n v="529"/>
    <n v="442"/>
    <n v="25286"/>
    <n v="147522"/>
    <n v="6.4817450956467501E-2"/>
    <x v="3"/>
    <x v="3"/>
  </r>
  <r>
    <s v="A223"/>
    <x v="3"/>
    <d v="2024-11-12T00:00:00"/>
    <s v="Video"/>
    <s v="#AppleDesign,#Innovation"/>
    <n v="17913"/>
    <n v="1311"/>
    <n v="859"/>
    <n v="405"/>
    <n v="59842"/>
    <n v="62612"/>
    <n v="0.32075321024723702"/>
    <x v="2"/>
    <x v="2"/>
  </r>
  <r>
    <s v="A224"/>
    <x v="1"/>
    <d v="2025-09-07T00:00:00"/>
    <s v="Tweet"/>
    <s v="#Sustainability,#AppleEarth"/>
    <n v="4472"/>
    <n v="1301"/>
    <n v="956"/>
    <n v="1186"/>
    <n v="3363"/>
    <n v="46471"/>
    <n v="0.14479998278496301"/>
    <x v="1"/>
    <x v="1"/>
  </r>
  <r>
    <s v="A225"/>
    <x v="3"/>
    <d v="2024-06-20T00:00:00"/>
    <s v="Video"/>
    <s v="#AppleWatch,#Health"/>
    <n v="21123"/>
    <n v="1343"/>
    <n v="589"/>
    <n v="727"/>
    <n v="87833"/>
    <n v="206703"/>
    <n v="0.111536842716361"/>
    <x v="0"/>
    <x v="0"/>
  </r>
  <r>
    <s v="A226"/>
    <x v="3"/>
    <d v="2025-09-08T00:00:00"/>
    <s v="Tweet"/>
    <s v="#AppleWatch,#Health"/>
    <n v="23785"/>
    <n v="1013"/>
    <n v="468"/>
    <n v="1628"/>
    <n v="8272"/>
    <n v="71348"/>
    <n v="0.35412345125301298"/>
    <x v="1"/>
    <x v="1"/>
  </r>
  <r>
    <s v="A227"/>
    <x v="2"/>
    <d v="2024-06-12T00:00:00"/>
    <s v="Tweet"/>
    <s v="#MacBookAirM3,#AppleInnovation"/>
    <n v="17679"/>
    <n v="690"/>
    <n v="451"/>
    <n v="2195"/>
    <n v="4390"/>
    <n v="235804"/>
    <n v="7.9812047293515001E-2"/>
    <x v="4"/>
    <x v="4"/>
  </r>
  <r>
    <s v="A228"/>
    <x v="3"/>
    <d v="2024-07-01T00:00:00"/>
    <s v="Video"/>
    <s v="#AppleDesign,#Innovation"/>
    <n v="3761"/>
    <n v="651"/>
    <n v="493"/>
    <n v="2294"/>
    <n v="71696"/>
    <n v="41177"/>
    <n v="0.11911989702989501"/>
    <x v="0"/>
    <x v="0"/>
  </r>
  <r>
    <s v="A229"/>
    <x v="2"/>
    <d v="2024-07-03T00:00:00"/>
    <s v="Video"/>
    <s v="#MacBookAirM3,#AppleInnovation"/>
    <n v="12167"/>
    <n v="364"/>
    <n v="160"/>
    <n v="616"/>
    <n v="42228"/>
    <n v="175832"/>
    <n v="7.2176850630147005E-2"/>
    <x v="2"/>
    <x v="2"/>
  </r>
  <r>
    <s v="A230"/>
    <x v="2"/>
    <d v="2024-07-15T00:00:00"/>
    <s v="Video"/>
    <s v="#ShotOniPhone"/>
    <n v="12554"/>
    <n v="381"/>
    <n v="211"/>
    <n v="2286"/>
    <n v="50567"/>
    <n v="72779"/>
    <n v="0.180629027604117"/>
    <x v="0"/>
    <x v="0"/>
  </r>
  <r>
    <s v="A231"/>
    <x v="3"/>
    <d v="2025-09-09T00:00:00"/>
    <s v="Image"/>
    <s v="#AppleMusic,#AppleLifestyle"/>
    <n v="19260"/>
    <n v="668"/>
    <n v="994"/>
    <n v="934"/>
    <n v="20509"/>
    <n v="61636"/>
    <n v="0.33944448049840997"/>
    <x v="1"/>
    <x v="1"/>
  </r>
  <r>
    <s v="A232"/>
    <x v="1"/>
    <d v="2025-04-29T00:00:00"/>
    <s v="Carousel"/>
    <s v="#AppleWatch,#Health"/>
    <n v="16277"/>
    <n v="1109"/>
    <n v="375"/>
    <n v="2225"/>
    <n v="1044"/>
    <n v="121889"/>
    <n v="0.145714543560124"/>
    <x v="3"/>
    <x v="3"/>
  </r>
  <r>
    <s v="A233"/>
    <x v="1"/>
    <d v="2025-03-08T00:00:00"/>
    <s v="Image"/>
    <s v="#AppleWatchUltra2,#HealthTech"/>
    <n v="5812"/>
    <n v="934"/>
    <n v="302"/>
    <n v="2356"/>
    <n v="37437"/>
    <n v="93551"/>
    <n v="7.5338585370546607E-2"/>
    <x v="0"/>
    <x v="0"/>
  </r>
  <r>
    <s v="A234"/>
    <x v="1"/>
    <d v="2024-06-01T00:00:00"/>
    <s v="Image"/>
    <s v="#AppleMusic,#AppleLifestyle"/>
    <n v="19844"/>
    <n v="1022"/>
    <n v="860"/>
    <n v="2570"/>
    <n v="23719"/>
    <n v="182628"/>
    <n v="0.118963138182535"/>
    <x v="2"/>
    <x v="2"/>
  </r>
  <r>
    <s v="A235"/>
    <x v="1"/>
    <d v="2024-12-22T00:00:00"/>
    <s v="Tweet"/>
    <s v="#AppleEvent,#iPadPro"/>
    <n v="20117"/>
    <n v="1143"/>
    <n v="713"/>
    <n v="1739"/>
    <n v="34444"/>
    <n v="198670"/>
    <n v="0.110600493280314"/>
    <x v="4"/>
    <x v="4"/>
  </r>
  <r>
    <s v="A236"/>
    <x v="1"/>
    <d v="2024-08-19T00:00:00"/>
    <s v="Video"/>
    <s v="#iPhonePhotography,#ShotOniPhone"/>
    <n v="3605"/>
    <n v="206"/>
    <n v="921"/>
    <n v="852"/>
    <n v="11660"/>
    <n v="182635"/>
    <n v="2.5909601116982001E-2"/>
    <x v="3"/>
    <x v="3"/>
  </r>
  <r>
    <s v="A237"/>
    <x v="3"/>
    <d v="2024-10-22T00:00:00"/>
    <s v="Carousel"/>
    <s v="#AppleDesign,#Innovation"/>
    <n v="7622"/>
    <n v="529"/>
    <n v="720"/>
    <n v="1015"/>
    <n v="71322"/>
    <n v="86819"/>
    <n v="0.1021780946567"/>
    <x v="4"/>
    <x v="4"/>
  </r>
  <r>
    <s v="A238"/>
    <x v="3"/>
    <d v="2024-07-16T00:00:00"/>
    <s v="Tweet"/>
    <s v="#iPhone16Launch,#AppleEvent"/>
    <n v="8767"/>
    <n v="974"/>
    <n v="733"/>
    <n v="1587"/>
    <n v="74927"/>
    <n v="113770"/>
    <n v="9.2062933989628198E-2"/>
    <x v="0"/>
    <x v="0"/>
  </r>
  <r>
    <s v="A239"/>
    <x v="0"/>
    <d v="2025-09-10T00:00:00"/>
    <s v="Image"/>
    <s v="#MacBookAirM3,#AppleInnovation"/>
    <n v="13613"/>
    <n v="350"/>
    <n v="809"/>
    <n v="2013"/>
    <n v="20471"/>
    <n v="198038"/>
    <n v="7.4591745018632805E-2"/>
    <x v="1"/>
    <x v="1"/>
  </r>
  <r>
    <s v="A240"/>
    <x v="1"/>
    <d v="2025-09-11T00:00:00"/>
    <s v="Video"/>
    <s v="#AppleMusic,#AppleLifestyle"/>
    <n v="21901"/>
    <n v="1308"/>
    <n v="724"/>
    <n v="2183"/>
    <n v="15996"/>
    <n v="230961"/>
    <n v="0.103623555492053"/>
    <x v="1"/>
    <x v="1"/>
  </r>
  <r>
    <s v="A241"/>
    <x v="3"/>
    <d v="2025-01-18T00:00:00"/>
    <s v="Tweet"/>
    <s v="#iPhonePhotography,#ShotOniPhone"/>
    <n v="12589"/>
    <n v="346"/>
    <n v="459"/>
    <n v="1407"/>
    <n v="29254"/>
    <n v="198059"/>
    <n v="6.7626313371268204E-2"/>
    <x v="2"/>
    <x v="2"/>
  </r>
  <r>
    <s v="A242"/>
    <x v="0"/>
    <d v="2025-09-12T00:00:00"/>
    <s v="Video"/>
    <s v="#AppleMusic,#AppleLifestyle"/>
    <n v="15918"/>
    <n v="1114"/>
    <n v="392"/>
    <n v="1641"/>
    <n v="28044"/>
    <n v="118714"/>
    <n v="0.14677291642097801"/>
    <x v="1"/>
    <x v="1"/>
  </r>
  <r>
    <s v="A243"/>
    <x v="1"/>
    <d v="2025-03-06T00:00:00"/>
    <s v="Tweet"/>
    <s v="#iPhone16Launch,#AppleEvent"/>
    <n v="22119"/>
    <n v="899"/>
    <n v="642"/>
    <n v="410"/>
    <n v="49490"/>
    <n v="229420"/>
    <n v="0.10312963124400699"/>
    <x v="3"/>
    <x v="3"/>
  </r>
  <r>
    <s v="A244"/>
    <x v="2"/>
    <d v="2025-09-13T00:00:00"/>
    <s v="Video"/>
    <s v="#iPhonePhotography,#ShotOniPhone"/>
    <n v="15046"/>
    <n v="281"/>
    <n v="515"/>
    <n v="550"/>
    <n v="22583"/>
    <n v="64596"/>
    <n v="0.24524738373893101"/>
    <x v="1"/>
    <x v="1"/>
  </r>
  <r>
    <s v="A245"/>
    <x v="0"/>
    <d v="2025-01-12T00:00:00"/>
    <s v="Image"/>
    <s v="#AppleEvent,#iPadPro"/>
    <n v="4590"/>
    <n v="713"/>
    <n v="479"/>
    <n v="2730"/>
    <n v="41050"/>
    <n v="204246"/>
    <n v="2.8308999931455199E-2"/>
    <x v="2"/>
    <x v="2"/>
  </r>
  <r>
    <s v="A246"/>
    <x v="3"/>
    <d v="2024-10-11T00:00:00"/>
    <s v="Carousel"/>
    <s v="#iPhone16Launch,#AppleEvent"/>
    <n v="19447"/>
    <n v="1014"/>
    <n v="256"/>
    <n v="2354"/>
    <n v="5472"/>
    <n v="104106"/>
    <n v="0.19899909707413599"/>
    <x v="0"/>
    <x v="0"/>
  </r>
  <r>
    <s v="A247"/>
    <x v="2"/>
    <d v="2024-08-27T00:00:00"/>
    <s v="Image"/>
    <s v="#MacBookProM3"/>
    <n v="6324"/>
    <n v="908"/>
    <n v="375"/>
    <n v="758"/>
    <n v="34850"/>
    <n v="241039"/>
    <n v="3.1559208260903797E-2"/>
    <x v="0"/>
    <x v="0"/>
  </r>
  <r>
    <s v="A248"/>
    <x v="2"/>
    <d v="2025-09-14T00:00:00"/>
    <s v="Carousel"/>
    <s v="#AppleEvent,#iPhone16"/>
    <n v="12787"/>
    <n v="945"/>
    <n v="974"/>
    <n v="1407"/>
    <n v="4037"/>
    <n v="99182"/>
    <n v="0.148272872093727"/>
    <x v="1"/>
    <x v="1"/>
  </r>
  <r>
    <s v="A249"/>
    <x v="2"/>
    <d v="2024-07-18T00:00:00"/>
    <s v="Video"/>
    <s v="#MacBookProM3"/>
    <n v="11111"/>
    <n v="1222"/>
    <n v="367"/>
    <n v="507"/>
    <n v="14129"/>
    <n v="127163"/>
    <n v="9.9871818060284806E-2"/>
    <x v="4"/>
    <x v="4"/>
  </r>
  <r>
    <s v="A250"/>
    <x v="0"/>
    <d v="2024-06-22T00:00:00"/>
    <s v="Tweet"/>
    <s v="#AppleWatch,#Health"/>
    <n v="7342"/>
    <n v="906"/>
    <n v="902"/>
    <n v="1199"/>
    <n v="68488"/>
    <n v="79310"/>
    <n v="0.115370066826378"/>
    <x v="0"/>
    <x v="0"/>
  </r>
  <r>
    <s v="A251"/>
    <x v="3"/>
    <d v="2025-09-15T00:00:00"/>
    <s v="Image"/>
    <s v="#AppleMusic,#AppleLifestyle"/>
    <n v="18389"/>
    <n v="670"/>
    <n v="655"/>
    <n v="321"/>
    <n v="21869"/>
    <n v="96088"/>
    <n v="0.20516609774373501"/>
    <x v="1"/>
    <x v="1"/>
  </r>
  <r>
    <s v="A252"/>
    <x v="2"/>
    <d v="2025-04-28T00:00:00"/>
    <s v="Carousel"/>
    <s v="#AppleEvent,#iPhone16"/>
    <n v="10659"/>
    <n v="1342"/>
    <n v="408"/>
    <n v="709"/>
    <n v="16309"/>
    <n v="168803"/>
    <n v="7.3511726687321893E-2"/>
    <x v="2"/>
    <x v="2"/>
  </r>
  <r>
    <s v="A253"/>
    <x v="1"/>
    <d v="2025-09-16T00:00:00"/>
    <s v="Image"/>
    <s v="#MacBookProM3"/>
    <n v="16043"/>
    <n v="595"/>
    <n v="923"/>
    <n v="1194"/>
    <n v="52613"/>
    <n v="179978"/>
    <n v="9.7573036704486096E-2"/>
    <x v="1"/>
    <x v="1"/>
  </r>
  <r>
    <s v="A254"/>
    <x v="2"/>
    <d v="2025-01-14T00:00:00"/>
    <s v="Carousel"/>
    <s v="#AppleEvent,#iPhone16"/>
    <n v="24350"/>
    <n v="460"/>
    <n v="666"/>
    <n v="814"/>
    <n v="21120"/>
    <n v="76914"/>
    <n v="0.33122708479600599"/>
    <x v="0"/>
    <x v="0"/>
  </r>
  <r>
    <s v="A255"/>
    <x v="2"/>
    <d v="2025-04-03T00:00:00"/>
    <s v="Image"/>
    <s v="#Sustainability,#AppleEarth"/>
    <n v="10837"/>
    <n v="1004"/>
    <n v="922"/>
    <n v="1108"/>
    <n v="36807"/>
    <n v="150350"/>
    <n v="8.4888593282341204E-2"/>
    <x v="2"/>
    <x v="2"/>
  </r>
  <r>
    <s v="A256"/>
    <x v="0"/>
    <d v="2025-09-17T00:00:00"/>
    <s v="Carousel"/>
    <s v="#AppleMusic,#AppleLifestyle"/>
    <n v="2117"/>
    <n v="1133"/>
    <n v="203"/>
    <n v="1173"/>
    <n v="40125"/>
    <n v="85379"/>
    <n v="4.0443200318579502E-2"/>
    <x v="1"/>
    <x v="1"/>
  </r>
  <r>
    <s v="A257"/>
    <x v="0"/>
    <d v="2025-04-06T00:00:00"/>
    <s v="Carousel"/>
    <s v="#AppleEvent,#iPhone16"/>
    <n v="15917"/>
    <n v="1479"/>
    <n v="196"/>
    <n v="313"/>
    <n v="48524"/>
    <n v="249684"/>
    <n v="7.0457057720959296E-2"/>
    <x v="3"/>
    <x v="3"/>
  </r>
  <r>
    <s v="A258"/>
    <x v="3"/>
    <d v="2024-08-05T00:00:00"/>
    <s v="Video"/>
    <s v="#AppleWatchUltra2,#HealthTech"/>
    <n v="20935"/>
    <n v="1104"/>
    <n v="876"/>
    <n v="1270"/>
    <n v="21454"/>
    <n v="208722"/>
    <n v="0.10978718103506099"/>
    <x v="2"/>
    <x v="2"/>
  </r>
  <r>
    <s v="A259"/>
    <x v="1"/>
    <d v="2025-02-10T00:00:00"/>
    <s v="Carousel"/>
    <s v="#MacBookAirM3,#AppleInnovation"/>
    <n v="16309"/>
    <n v="1449"/>
    <n v="838"/>
    <n v="2434"/>
    <n v="2940"/>
    <n v="217953"/>
    <n v="8.5321147219813404E-2"/>
    <x v="3"/>
    <x v="3"/>
  </r>
  <r>
    <s v="A260"/>
    <x v="0"/>
    <d v="2025-02-12T00:00:00"/>
    <s v="Video"/>
    <s v="#MacBookAirM3,#AppleInnovation"/>
    <n v="15234"/>
    <n v="1276"/>
    <n v="670"/>
    <n v="1860"/>
    <n v="60397"/>
    <n v="86413"/>
    <n v="0.19881267864788901"/>
    <x v="4"/>
    <x v="4"/>
  </r>
  <r>
    <s v="A261"/>
    <x v="2"/>
    <d v="2024-10-27T00:00:00"/>
    <s v="Carousel"/>
    <s v="#AppleWatchUltra2,#HealthTech"/>
    <n v="7560"/>
    <n v="1139"/>
    <n v="248"/>
    <n v="1624"/>
    <n v="72237"/>
    <n v="177084"/>
    <n v="5.0524045085947898E-2"/>
    <x v="2"/>
    <x v="2"/>
  </r>
  <r>
    <s v="A262"/>
    <x v="3"/>
    <d v="2025-01-18T00:00:00"/>
    <s v="Tweet"/>
    <s v="#iPhonePhotography,#ShotOniPhone"/>
    <n v="22673"/>
    <n v="1053"/>
    <n v="169"/>
    <n v="1566"/>
    <n v="9417"/>
    <n v="221187"/>
    <n v="0.108030761301523"/>
    <x v="3"/>
    <x v="3"/>
  </r>
  <r>
    <s v="A263"/>
    <x v="2"/>
    <d v="2024-08-20T00:00:00"/>
    <s v="Tweet"/>
    <s v="#ShotOniPhone"/>
    <n v="2846"/>
    <n v="792"/>
    <n v="902"/>
    <n v="2469"/>
    <n v="12130"/>
    <n v="47151"/>
    <n v="9.6286399015927601E-2"/>
    <x v="0"/>
    <x v="0"/>
  </r>
  <r>
    <s v="A264"/>
    <x v="2"/>
    <d v="2025-01-30T00:00:00"/>
    <s v="Tweet"/>
    <s v="#iPhonePhotography,#ShotOniPhone"/>
    <n v="12954"/>
    <n v="913"/>
    <n v="722"/>
    <n v="1049"/>
    <n v="475"/>
    <n v="97716"/>
    <n v="0.14930001228048601"/>
    <x v="0"/>
    <x v="0"/>
  </r>
  <r>
    <s v="A265"/>
    <x v="0"/>
    <d v="2025-02-20T00:00:00"/>
    <s v="Carousel"/>
    <s v="#iPhone16Launch,#AppleEvent"/>
    <n v="15703"/>
    <n v="1381"/>
    <n v="639"/>
    <n v="984"/>
    <n v="10967"/>
    <n v="133747"/>
    <n v="0.132511383432899"/>
    <x v="4"/>
    <x v="4"/>
  </r>
  <r>
    <s v="A266"/>
    <x v="3"/>
    <d v="2024-11-25T00:00:00"/>
    <s v="Video"/>
    <s v="#iPhone16Launch,#AppleEvent"/>
    <n v="17385"/>
    <n v="831"/>
    <n v="568"/>
    <n v="2227"/>
    <n v="49351"/>
    <n v="207450"/>
    <n v="9.0547119787900698E-2"/>
    <x v="2"/>
    <x v="2"/>
  </r>
  <r>
    <s v="A267"/>
    <x v="1"/>
    <d v="2024-10-04T00:00:00"/>
    <s v="Video"/>
    <s v="#AppleEvent,#iPhone16"/>
    <n v="15746"/>
    <n v="258"/>
    <n v="839"/>
    <n v="2656"/>
    <n v="66614"/>
    <n v="213724"/>
    <n v="7.8807246729426697E-2"/>
    <x v="2"/>
    <x v="2"/>
  </r>
  <r>
    <s v="A268"/>
    <x v="1"/>
    <d v="2025-04-13T00:00:00"/>
    <s v="Carousel"/>
    <s v="#MacBookProM3"/>
    <n v="24700"/>
    <n v="327"/>
    <n v="999"/>
    <n v="994"/>
    <n v="59400"/>
    <n v="243502"/>
    <n v="0.106882078997298"/>
    <x v="2"/>
    <x v="2"/>
  </r>
  <r>
    <s v="A269"/>
    <x v="0"/>
    <d v="2024-11-05T00:00:00"/>
    <s v="Tweet"/>
    <s v="#MacBookProM3"/>
    <n v="8469"/>
    <n v="935"/>
    <n v="211"/>
    <n v="2635"/>
    <n v="21890"/>
    <n v="184539"/>
    <n v="5.2102807536618299E-2"/>
    <x v="4"/>
    <x v="4"/>
  </r>
  <r>
    <s v="A270"/>
    <x v="0"/>
    <d v="2025-01-15T00:00:00"/>
    <s v="Tweet"/>
    <s v="#MacBookAirM3,#AppleInnovation"/>
    <n v="11333"/>
    <n v="920"/>
    <n v="294"/>
    <n v="606"/>
    <n v="59490"/>
    <n v="202082"/>
    <n v="6.2088657079799298E-2"/>
    <x v="2"/>
    <x v="2"/>
  </r>
  <r>
    <s v="A271"/>
    <x v="3"/>
    <d v="2024-10-17T00:00:00"/>
    <s v="Video"/>
    <s v="#AppleDesign,#Innovation"/>
    <n v="18608"/>
    <n v="1338"/>
    <n v="365"/>
    <n v="2289"/>
    <n v="20785"/>
    <n v="161999"/>
    <n v="0.12537731714393299"/>
    <x v="0"/>
    <x v="0"/>
  </r>
  <r>
    <s v="A272"/>
    <x v="1"/>
    <d v="2025-03-27T00:00:00"/>
    <s v="Tweet"/>
    <s v="#iPhonePhotography,#ShotOniPhone"/>
    <n v="14819"/>
    <n v="1432"/>
    <n v="152"/>
    <n v="961"/>
    <n v="39154"/>
    <n v="154793"/>
    <n v="0.105967324103803"/>
    <x v="3"/>
    <x v="3"/>
  </r>
  <r>
    <s v="A273"/>
    <x v="1"/>
    <d v="2024-10-12T00:00:00"/>
    <s v="Image"/>
    <s v="#Sustainability,#AppleEarth"/>
    <n v="6208"/>
    <n v="725"/>
    <n v="309"/>
    <n v="848"/>
    <n v="39319"/>
    <n v="225763"/>
    <n v="3.2077886987681797E-2"/>
    <x v="0"/>
    <x v="0"/>
  </r>
  <r>
    <s v="A274"/>
    <x v="1"/>
    <d v="2025-01-01T00:00:00"/>
    <s v="Video"/>
    <s v="#AppleMusic,#AppleLifestyle"/>
    <n v="8283"/>
    <n v="720"/>
    <n v="888"/>
    <n v="611"/>
    <n v="52791"/>
    <n v="235229"/>
    <n v="4.2048386891072098E-2"/>
    <x v="0"/>
    <x v="0"/>
  </r>
  <r>
    <s v="A275"/>
    <x v="2"/>
    <d v="2024-08-05T00:00:00"/>
    <s v="Tweet"/>
    <s v="#AppleWatch,#Health"/>
    <n v="4048"/>
    <n v="751"/>
    <n v="930"/>
    <n v="1382"/>
    <n v="16844"/>
    <n v="148177"/>
    <n v="3.8663220337839199E-2"/>
    <x v="3"/>
    <x v="3"/>
  </r>
  <r>
    <s v="A276"/>
    <x v="1"/>
    <d v="2024-06-07T00:00:00"/>
    <s v="Video"/>
    <s v="#AppleEvent,#iPadPro"/>
    <n v="8233"/>
    <n v="436"/>
    <n v="269"/>
    <n v="2037"/>
    <n v="8875"/>
    <n v="52289"/>
    <n v="0.17093461339861199"/>
    <x v="0"/>
    <x v="0"/>
  </r>
  <r>
    <s v="A277"/>
    <x v="2"/>
    <d v="2025-04-06T00:00:00"/>
    <s v="Image"/>
    <s v="#MacBookProM3"/>
    <n v="14941"/>
    <n v="1424"/>
    <n v="238"/>
    <n v="1054"/>
    <n v="20516"/>
    <n v="216048"/>
    <n v="7.6848663260016298E-2"/>
    <x v="4"/>
    <x v="4"/>
  </r>
  <r>
    <s v="A278"/>
    <x v="3"/>
    <d v="2024-11-26T00:00:00"/>
    <s v="Video"/>
    <s v="#AppleMusic,#AppleLifestyle"/>
    <n v="14607"/>
    <n v="1458"/>
    <n v="478"/>
    <n v="334"/>
    <n v="49257"/>
    <n v="214668"/>
    <n v="7.7063185942944396E-2"/>
    <x v="3"/>
    <x v="3"/>
  </r>
  <r>
    <s v="A279"/>
    <x v="2"/>
    <d v="2024-09-02T00:00:00"/>
    <s v="Video"/>
    <s v="#AppleEvent,#iPadPro"/>
    <n v="11765"/>
    <n v="693"/>
    <n v="729"/>
    <n v="744"/>
    <n v="97772"/>
    <n v="194243"/>
    <n v="6.7889190344053593E-2"/>
    <x v="0"/>
    <x v="0"/>
  </r>
  <r>
    <s v="A280"/>
    <x v="3"/>
    <d v="2025-09-18T00:00:00"/>
    <s v="Video"/>
    <s v="#AppleMusic,#AppleLifestyle"/>
    <n v="3828"/>
    <n v="203"/>
    <n v="506"/>
    <n v="2440"/>
    <n v="63650"/>
    <n v="126365"/>
    <n v="3.5903929094290403E-2"/>
    <x v="1"/>
    <x v="1"/>
  </r>
  <r>
    <s v="A281"/>
    <x v="1"/>
    <d v="2025-03-22T00:00:00"/>
    <s v="Video"/>
    <s v="#AppleEvent,#iPhone16"/>
    <n v="3917"/>
    <n v="865"/>
    <n v="759"/>
    <n v="2282"/>
    <n v="56125"/>
    <n v="154014"/>
    <n v="3.5977248821535697E-2"/>
    <x v="0"/>
    <x v="0"/>
  </r>
  <r>
    <s v="A282"/>
    <x v="1"/>
    <d v="2024-10-03T00:00:00"/>
    <s v="Image"/>
    <s v="#AppleEvent,#iPadPro"/>
    <n v="22618"/>
    <n v="641"/>
    <n v="416"/>
    <n v="1530"/>
    <n v="18395"/>
    <n v="215211"/>
    <n v="0.110008317418719"/>
    <x v="4"/>
    <x v="4"/>
  </r>
  <r>
    <s v="A283"/>
    <x v="3"/>
    <d v="2025-05-09T00:00:00"/>
    <s v="Carousel"/>
    <s v="#AppleWatch,#Health"/>
    <n v="8988"/>
    <n v="228"/>
    <n v="766"/>
    <n v="652"/>
    <n v="63789"/>
    <n v="219785"/>
    <n v="4.5417112177810103E-2"/>
    <x v="2"/>
    <x v="2"/>
  </r>
  <r>
    <s v="A284"/>
    <x v="0"/>
    <d v="2024-09-17T00:00:00"/>
    <s v="Video"/>
    <s v="#AppleMusic,#AppleLifestyle"/>
    <n v="20410"/>
    <n v="1332"/>
    <n v="472"/>
    <n v="1202"/>
    <n v="9418"/>
    <n v="200806"/>
    <n v="0.110624184536319"/>
    <x v="0"/>
    <x v="0"/>
  </r>
  <r>
    <s v="A285"/>
    <x v="3"/>
    <d v="2024-07-18T00:00:00"/>
    <s v="Video"/>
    <s v="#AppleWatchUltra2,#HealthTech"/>
    <n v="16594"/>
    <n v="809"/>
    <n v="784"/>
    <n v="1655"/>
    <n v="35505"/>
    <n v="112588"/>
    <n v="0.161535865278715"/>
    <x v="2"/>
    <x v="2"/>
  </r>
  <r>
    <s v="A286"/>
    <x v="0"/>
    <d v="2025-09-19T00:00:00"/>
    <s v="Tweet"/>
    <s v="#AppleWatch,#Health"/>
    <n v="22128"/>
    <n v="1004"/>
    <n v="690"/>
    <n v="2048"/>
    <n v="19443"/>
    <n v="103646"/>
    <n v="0.22984003241803799"/>
    <x v="1"/>
    <x v="1"/>
  </r>
  <r>
    <s v="A287"/>
    <x v="2"/>
    <d v="2024-08-15T00:00:00"/>
    <s v="Video"/>
    <s v="#AppleEvent,#iPadPro"/>
    <n v="14977"/>
    <n v="274"/>
    <n v="798"/>
    <n v="458"/>
    <n v="6636"/>
    <n v="43654"/>
    <n v="0.367640995097815"/>
    <x v="0"/>
    <x v="0"/>
  </r>
  <r>
    <s v="A288"/>
    <x v="2"/>
    <d v="2025-04-17T00:00:00"/>
    <s v="Tweet"/>
    <s v="#AppleWatch,#Health"/>
    <n v="2009"/>
    <n v="1037"/>
    <n v="344"/>
    <n v="2277"/>
    <n v="85743"/>
    <n v="58743"/>
    <n v="5.7709003625963901E-2"/>
    <x v="3"/>
    <x v="3"/>
  </r>
  <r>
    <s v="A289"/>
    <x v="2"/>
    <d v="2024-11-28T00:00:00"/>
    <s v="Carousel"/>
    <s v="#AppleMusic,#AppleLifestyle"/>
    <n v="18644"/>
    <n v="1369"/>
    <n v="887"/>
    <n v="1256"/>
    <n v="43415"/>
    <n v="88368"/>
    <n v="0.23651095419156301"/>
    <x v="2"/>
    <x v="2"/>
  </r>
  <r>
    <s v="A290"/>
    <x v="1"/>
    <d v="2025-09-20T00:00:00"/>
    <s v="Image"/>
    <s v="#ShotOniPhone"/>
    <n v="24422"/>
    <n v="327"/>
    <n v="481"/>
    <n v="2371"/>
    <n v="35340"/>
    <n v="245244"/>
    <n v="0.10287713460879799"/>
    <x v="1"/>
    <x v="1"/>
  </r>
  <r>
    <s v="A291"/>
    <x v="2"/>
    <d v="2024-11-06T00:00:00"/>
    <s v="Image"/>
    <s v="#AppleMusic,#AppleLifestyle"/>
    <n v="11865"/>
    <n v="241"/>
    <n v="319"/>
    <n v="703"/>
    <n v="69596"/>
    <n v="177513"/>
    <n v="6.9994873614890193E-2"/>
    <x v="3"/>
    <x v="3"/>
  </r>
  <r>
    <s v="A292"/>
    <x v="0"/>
    <d v="2024-11-17T00:00:00"/>
    <s v="Carousel"/>
    <s v="#AppleMusic,#AppleLifestyle"/>
    <n v="4219"/>
    <n v="240"/>
    <n v="670"/>
    <n v="815"/>
    <n v="11978"/>
    <n v="159735"/>
    <n v="3.2109431245500399E-2"/>
    <x v="3"/>
    <x v="3"/>
  </r>
  <r>
    <s v="A293"/>
    <x v="2"/>
    <d v="2025-05-14T00:00:00"/>
    <s v="Image"/>
    <s v="#AppleEvent,#iPhone16"/>
    <n v="9041"/>
    <n v="1133"/>
    <n v="612"/>
    <n v="1687"/>
    <n v="28102"/>
    <n v="195683"/>
    <n v="5.5119760020032403E-2"/>
    <x v="3"/>
    <x v="3"/>
  </r>
  <r>
    <s v="A294"/>
    <x v="3"/>
    <d v="2024-06-19T00:00:00"/>
    <s v="Carousel"/>
    <s v="#iPhonePhotography,#ShotOniPhone"/>
    <n v="20444"/>
    <n v="233"/>
    <n v="189"/>
    <n v="2879"/>
    <n v="28185"/>
    <n v="159891"/>
    <n v="0.13050140408153099"/>
    <x v="3"/>
    <x v="3"/>
  </r>
  <r>
    <s v="A295"/>
    <x v="3"/>
    <d v="2025-05-06T00:00:00"/>
    <s v="Carousel"/>
    <s v="#AppleWatchUltra2,#HealthTech"/>
    <n v="7287"/>
    <n v="1240"/>
    <n v="686"/>
    <n v="1255"/>
    <n v="15403"/>
    <n v="147971"/>
    <n v="6.2262200025680697E-2"/>
    <x v="0"/>
    <x v="0"/>
  </r>
  <r>
    <s v="A296"/>
    <x v="1"/>
    <d v="2025-02-11T00:00:00"/>
    <s v="Carousel"/>
    <s v="#Sustainability,#AppleEarth"/>
    <n v="3619"/>
    <n v="1376"/>
    <n v="410"/>
    <n v="2499"/>
    <n v="58146"/>
    <n v="52149"/>
    <n v="0.103645323975532"/>
    <x v="0"/>
    <x v="0"/>
  </r>
  <r>
    <s v="A297"/>
    <x v="3"/>
    <d v="2024-12-24T00:00:00"/>
    <s v="Image"/>
    <s v="#MacBookProM3"/>
    <n v="10512"/>
    <n v="1197"/>
    <n v="544"/>
    <n v="2012"/>
    <n v="10245"/>
    <n v="140102"/>
    <n v="8.7457709383163704E-2"/>
    <x v="0"/>
    <x v="0"/>
  </r>
  <r>
    <s v="A298"/>
    <x v="0"/>
    <d v="2025-09-24T00:00:00"/>
    <s v="Tweet"/>
    <s v="#iPhone16Launch,#AppleEvent"/>
    <n v="3342"/>
    <n v="787"/>
    <n v="375"/>
    <n v="907"/>
    <n v="85823"/>
    <n v="99189"/>
    <n v="4.5408260996683103E-2"/>
    <x v="1"/>
    <x v="1"/>
  </r>
  <r>
    <s v="A299"/>
    <x v="2"/>
    <d v="2025-09-25T00:00:00"/>
    <s v="Carousel"/>
    <s v="#iPhonePhotography,#ShotOniPhone"/>
    <n v="12568"/>
    <n v="541"/>
    <n v="273"/>
    <n v="2767"/>
    <n v="22331"/>
    <n v="192747"/>
    <n v="6.94277991356545E-2"/>
    <x v="1"/>
    <x v="1"/>
  </r>
  <r>
    <s v="A300"/>
    <x v="1"/>
    <d v="2025-09-26T00:00:00"/>
    <s v="Video"/>
    <s v="#iPhone16Launch,#AppleEvent"/>
    <n v="21216"/>
    <n v="226"/>
    <n v="187"/>
    <n v="1573"/>
    <n v="62688"/>
    <n v="111031"/>
    <n v="0.1948014518467819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BCA4E-011E-458B-954B-04EB6F6F34C5}" name="PivotTable39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Q10:AB17" firstHeaderRow="1" firstDataRow="3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axis="axisCol" showAll="0">
      <items count="6">
        <item x="1"/>
        <item x="0"/>
        <item x="3"/>
        <item x="4"/>
        <item x="2"/>
        <item t="default"/>
      </items>
    </pivotField>
    <pivotField axis="axisCol" showAll="0">
      <items count="6">
        <item x="1"/>
        <item x="0"/>
        <item x="3"/>
        <item x="4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12"/>
  </colFields>
  <colItems count="11">
    <i>
      <x/>
      <x/>
    </i>
    <i t="default">
      <x/>
    </i>
    <i>
      <x v="1"/>
      <x v="1"/>
    </i>
    <i t="default">
      <x v="1"/>
    </i>
    <i>
      <x v="2"/>
      <x v="2"/>
    </i>
    <i t="default">
      <x v="2"/>
    </i>
    <i>
      <x v="3"/>
      <x v="3"/>
    </i>
    <i t="default">
      <x v="3"/>
    </i>
    <i>
      <x v="4"/>
      <x v="4"/>
    </i>
    <i t="default">
      <x v="4"/>
    </i>
    <i t="grand">
      <x/>
    </i>
  </colItems>
  <dataFields count="1">
    <dataField name="Average of Engagement Rate" fld="11" subtotal="average" baseField="1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23379-667D-4ED0-8D1C-5952CA6E736D}" name="PivotTable1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L3:M8" firstHeaderRow="1" firstDataRow="1" firstDataCol="1"/>
  <pivotFields count="8">
    <pivotField numFmtId="14"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dataField="1" numFmtId="10" showAll="0"/>
    <pivotField showAll="0"/>
    <pivotField numFmtId="164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Follower Growth Rate" fld="5" subtotal="average" baseField="1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4A1C0-BD9C-4E75-ACBE-5CD298AE247D}" name="PivotTable15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L1:N5" firstHeaderRow="0" firstDataRow="1" firstDataCol="1"/>
  <pivotFields count="8">
    <pivotField numFmtId="14"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3" showAll="0"/>
    <pivotField numFmtId="3" showAll="0"/>
    <pivotField numFmtId="3" showAll="0"/>
    <pivotField numFmtId="10" showAll="0"/>
    <pivotField dataField="1" numFmtId="2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dataField="1" numFmtId="164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1"/>
  </rowFields>
  <rowItems count="4">
    <i>
      <x v="3"/>
    </i>
    <i>
      <x v="2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Ad_Spend" fld="7" subtotal="average" baseField="1" baseItem="2" numFmtId="164"/>
    <dataField name="Average of Engagement_Rate" fld="6" subtotal="average" baseField="1" baseItem="2" numFmtId="2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0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0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05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206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20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20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8" format="2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15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8" format="21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8" format="21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2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FB84F-49E2-412E-A2C4-5D259343DFEC}" name="Table4__2_1_1_1" displayName="Table4__2_1_1_1" ref="A1:M301" totalsRowShown="0" headerRowDxfId="59">
  <tableColumns count="13">
    <tableColumn id="1" xr3:uid="{0B92C004-E82C-464F-90A2-48693FD99BF2}" name="PostID" dataDxfId="58"/>
    <tableColumn id="2" xr3:uid="{D4FAC4B6-E6E1-416D-84D2-1DAC8152FA48}" name="Platform" dataDxfId="57"/>
    <tableColumn id="3" xr3:uid="{F081175A-0A35-4151-91FA-F2758F96C7C6}" name="Date" dataDxfId="56"/>
    <tableColumn id="4" xr3:uid="{EE928E14-5097-4450-A934-B6CF0675CE62}" name="ContentType" dataDxfId="55"/>
    <tableColumn id="5" xr3:uid="{AB679BE9-133A-4789-BBF3-7B90C84386A0}" name="Hashtags" dataDxfId="54"/>
    <tableColumn id="6" xr3:uid="{FA84D1FF-DBD3-4F19-92BE-237BB238F33D}" name="Likes" dataDxfId="53"/>
    <tableColumn id="7" xr3:uid="{8A6086FF-111C-46CB-9AF8-CDB1BB79A1E0}" name="Shares" dataDxfId="52"/>
    <tableColumn id="8" xr3:uid="{B06B2DD9-8004-4E74-8143-23FE72F21C84}" name="Comments" dataDxfId="51"/>
    <tableColumn id="9" xr3:uid="{2F9DC10E-BB27-4AD3-A936-2B2D17F2CA7F}" name="Clicks" dataDxfId="50"/>
    <tableColumn id="10" xr3:uid="{A7599DC4-0123-456B-A796-55782E67B19A}" name="Reach" dataDxfId="49"/>
    <tableColumn id="11" xr3:uid="{453E6E79-D387-481E-9D3D-8D4BE46FF66B}" name="Impressions" dataDxfId="48"/>
    <tableColumn id="12" xr3:uid="{1693FC63-4E62-4D73-A0DF-C536D21225BC}" name="Engagement Rate" dataDxfId="47" dataCellStyle="Percent"/>
    <tableColumn id="13" xr3:uid="{98696A25-8125-4565-8E30-7F48E09E28E0}" name="Campaign" dataDxfId="46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26D41-3B56-4B77-8E7F-7A365E520229}" name="Table4__2_1_1_13" displayName="Table4__2_1_1_13" ref="A1:M301" totalsRowShown="0" headerRowDxfId="30">
  <tableColumns count="13">
    <tableColumn id="1" xr3:uid="{8EA8B7F6-D849-43B6-8538-65611DCC164F}" name="PostID" dataDxfId="29"/>
    <tableColumn id="2" xr3:uid="{3EC676AA-C59E-4194-95A4-BB1C81931DD3}" name="Platform" dataDxfId="28"/>
    <tableColumn id="3" xr3:uid="{A7104425-5252-4943-9506-3A0C220A59BD}" name="Date" dataDxfId="27"/>
    <tableColumn id="4" xr3:uid="{F7A90709-CB9D-4945-9528-EB6A466E7750}" name="ContentType" dataDxfId="26"/>
    <tableColumn id="5" xr3:uid="{DA93E511-8701-4CB2-9045-0631F1B5D58D}" name="Hashtags" dataDxfId="25"/>
    <tableColumn id="6" xr3:uid="{3A4E3E1F-9CEE-4119-8AAB-F73247E49A58}" name="Likes" dataDxfId="24"/>
    <tableColumn id="7" xr3:uid="{53ED17A2-B1B7-4F72-9567-ED58DDB3CE4A}" name="Shares" dataDxfId="23"/>
    <tableColumn id="8" xr3:uid="{577B6902-CECD-4D0B-884E-6CCF6C8697CA}" name="Comments" dataDxfId="22"/>
    <tableColumn id="9" xr3:uid="{1A14485F-8B75-4140-81A5-D07E7E4CDB6E}" name="Clicks" dataDxfId="21"/>
    <tableColumn id="10" xr3:uid="{D219FE3C-6ADC-4C38-8446-DBFCDE19E352}" name="Reach" dataDxfId="20"/>
    <tableColumn id="11" xr3:uid="{63034B12-8349-4E6B-83F7-AFA0A745C48B}" name="Impressions" dataDxfId="19"/>
    <tableColumn id="12" xr3:uid="{D1487E41-C090-4048-928A-0DF5FDE5FDDF}" name="Engagement Rate" dataDxfId="18" dataCellStyle="Percent"/>
    <tableColumn id="13" xr3:uid="{EE1D1265-0EF7-4A69-99BC-C0E5E2CC969E}" name="Campaign" dataDxfId="17"/>
  </tableColumns>
  <tableStyleInfo name="TableStyleLight1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B773C9-450F-4CD9-8DEA-4F050F69EBFB}" name="Table4__2_1_1_138" displayName="Table4__2_1_1_138" ref="A1:N301" totalsRowShown="0" headerRowDxfId="14">
  <tableColumns count="14">
    <tableColumn id="1" xr3:uid="{E55F9FFB-9245-4FEA-AFCA-1CAEDBA3EDDA}" name="PostID" dataDxfId="13"/>
    <tableColumn id="2" xr3:uid="{CB019C8C-8AA9-4071-A3D9-0D072FDC8FDA}" name="Platform" dataDxfId="12"/>
    <tableColumn id="3" xr3:uid="{75ED00C8-55C3-484F-AF5F-7A3C03637900}" name="Date" dataDxfId="11"/>
    <tableColumn id="4" xr3:uid="{F62C92F7-A54D-4805-A5B8-FF04478B2633}" name="ContentType" dataDxfId="10"/>
    <tableColumn id="5" xr3:uid="{B4B2FA0E-20A9-4B71-BC0D-DB0659FA3D56}" name="Hashtags" dataDxfId="9"/>
    <tableColumn id="6" xr3:uid="{F8A7EC59-14D4-48B6-B335-EE788562F702}" name="Likes" dataDxfId="8"/>
    <tableColumn id="7" xr3:uid="{4D53CE7E-A85C-46BD-A29A-B1CF3C69F929}" name="Shares" dataDxfId="7"/>
    <tableColumn id="8" xr3:uid="{CFA8AF1D-87DB-4E5B-AFBC-881F8437528C}" name="Comments" dataDxfId="6"/>
    <tableColumn id="9" xr3:uid="{9F6D7BF9-C3D3-41AC-90DF-68B66FDD58DE}" name="Clicks" dataDxfId="5"/>
    <tableColumn id="10" xr3:uid="{574170D8-67C6-4D72-9456-B037AFC04AC1}" name="Reach" dataDxfId="4"/>
    <tableColumn id="11" xr3:uid="{1C42DB70-427D-44B1-A5FB-0CBD68E53702}" name="Impressions" dataDxfId="3"/>
    <tableColumn id="12" xr3:uid="{038CDCC6-3202-4446-939C-70A8A7CC0382}" name="Engagement Rate" dataDxfId="2" dataCellStyle="Percent"/>
    <tableColumn id="13" xr3:uid="{FA103614-F540-40E0-8FE0-AD1DA659BB35}" name="Campaign" dataDxfId="1"/>
    <tableColumn id="14" xr3:uid="{1B75B24D-0251-4386-AA9B-DB079E672241}" name="Objective" dataDxfId="0">
      <calculatedColumnFormula>_xlfn.XLOOKUP(Table4__2_1_1_138[[#This Row],[Campaign]],$R$2:$R$6,$U$2:$U$6)</calculatedColumnFormula>
    </tableColumn>
  </tableColumns>
  <tableStyleInfo name="TableStyleLight1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CFFC5B-7C3B-4817-B5E7-EB4046D9BC1A}" name="Table4_1" displayName="Table4_1" ref="A1:H201" totalsRowShown="0">
  <autoFilter ref="A1:H201" xr:uid="{B3CFFC5B-7C3B-4817-B5E7-EB4046D9BC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3ADFAC-DE6E-4332-912C-5D28C6A8A8CB}" name="Week_Start_Date" dataDxfId="45"/>
    <tableColumn id="2" xr3:uid="{8202B78B-E384-43A2-AD41-56713A2964DC}" name="Platform" dataDxfId="44"/>
    <tableColumn id="3" xr3:uid="{F5270012-BE8A-4D77-A9E1-34761B50E79F}" name="New_Followers" dataDxfId="43"/>
    <tableColumn id="4" xr3:uid="{E36019E3-974F-4EC3-A4CE-79158932C3F4}" name="Unfollows" dataDxfId="42"/>
    <tableColumn id="5" xr3:uid="{5E54059A-1C55-4E24-B865-F7916EFAA428}" name="Total_Followers" dataDxfId="41"/>
    <tableColumn id="6" xr3:uid="{CDDD6505-A656-4B29-AF4C-A29986571402}" name="Follower Growth Rate" dataDxfId="40" dataCellStyle="Percent"/>
    <tableColumn id="7" xr3:uid="{1AC093E8-A895-4395-9CC0-0332D7DDA8B2}" name="Engagement_Rate"/>
    <tableColumn id="8" xr3:uid="{B9F1377F-55A5-48CB-9CDB-31158FE426D6}" name="Ad_Spend" dataDxfId="39"/>
  </tableColumns>
  <tableStyleInfo name="TableStyleLight1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D0F7E9-082D-427B-AA9D-6F462F4FE0AA}" name="Table4_17" displayName="Table4_17" ref="A1:H201" totalsRowShown="0">
  <tableColumns count="8">
    <tableColumn id="1" xr3:uid="{F899F99B-1586-4FF8-81AF-DD04076C590E}" name="Week_Start_Date" dataDxfId="38"/>
    <tableColumn id="2" xr3:uid="{B2F8BE87-4C32-452C-A6BA-26A5C882250A}" name="Platform" dataDxfId="37"/>
    <tableColumn id="3" xr3:uid="{A69BAB08-CC74-4014-B0FE-6D797D48B54C}" name="New_Followers" dataDxfId="36"/>
    <tableColumn id="4" xr3:uid="{D34B3EF8-E412-4747-BCB5-1FF9EBB02ECB}" name="Unfollows" dataDxfId="35"/>
    <tableColumn id="5" xr3:uid="{C148BEB0-B10F-4722-9EF5-A4BA2B56EC9A}" name="Total_Followers" dataDxfId="34"/>
    <tableColumn id="6" xr3:uid="{661FFB77-BFB4-4940-A505-C16E96D83F75}" name="Follower Growth Rate" dataDxfId="33" dataCellStyle="Percent"/>
    <tableColumn id="7" xr3:uid="{F08724B6-3C14-4896-8B45-35351C7AABF4}" name="Engagement_Rate" dataDxfId="32"/>
    <tableColumn id="8" xr3:uid="{947358C1-52FA-44BE-A976-E16A7C68432E}" name="Ad_Spend" dataDxfId="31"/>
  </tableColumns>
  <tableStyleInfo name="TableStyleLight1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5DF9BB-0001-4E2F-8DD4-66F3DC08980C}" name="Table3" displayName="Table3" ref="U1:V5" totalsRowShown="0">
  <autoFilter ref="U1:V5" xr:uid="{6B5DF9BB-0001-4E2F-8DD4-66F3DC08980C}">
    <filterColumn colId="0" hiddenButton="1"/>
    <filterColumn colId="1" hiddenButton="1"/>
  </autoFilter>
  <tableColumns count="2">
    <tableColumn id="1" xr3:uid="{F20E2884-537C-4984-9E21-D152C9B28F0F}" name="Platform" dataDxfId="16"/>
    <tableColumn id="2" xr3:uid="{C551AC4A-E932-44E3-9AAB-8DA600020840}" name="Ad Spend per Engagment" dataDxfId="1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4556-4CB9-460A-9FC5-395F2E7B8EF8}">
  <dimension ref="A1:AK301"/>
  <sheetViews>
    <sheetView topLeftCell="W1" workbookViewId="0">
      <selection activeCell="AH5" sqref="AE1:AK6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44140625" bestFit="1" customWidth="1"/>
    <col min="5" max="5" width="31.109375" bestFit="1" customWidth="1"/>
    <col min="6" max="6" width="6.5546875" bestFit="1" customWidth="1"/>
    <col min="7" max="7" width="6.6640625" bestFit="1" customWidth="1"/>
    <col min="8" max="8" width="10.109375" bestFit="1" customWidth="1"/>
    <col min="9" max="9" width="6.21875" bestFit="1" customWidth="1"/>
    <col min="10" max="10" width="6.5546875" bestFit="1" customWidth="1"/>
    <col min="11" max="11" width="11.21875" bestFit="1" customWidth="1"/>
    <col min="12" max="12" width="15.33203125" bestFit="1" customWidth="1"/>
    <col min="13" max="13" width="25.6640625" bestFit="1" customWidth="1"/>
    <col min="15" max="15" width="54" bestFit="1" customWidth="1"/>
    <col min="17" max="17" width="12.44140625" bestFit="1" customWidth="1"/>
    <col min="18" max="18" width="24.77734375" bestFit="1" customWidth="1"/>
    <col min="23" max="23" width="15.77734375" bestFit="1" customWidth="1"/>
    <col min="24" max="24" width="9" bestFit="1" customWidth="1"/>
    <col min="25" max="25" width="13.77734375" bestFit="1" customWidth="1"/>
    <col min="26" max="26" width="9.44140625" bestFit="1" customWidth="1"/>
    <col min="27" max="27" width="14.21875" bestFit="1" customWidth="1"/>
    <col min="28" max="28" width="16.44140625" bestFit="1" customWidth="1"/>
    <col min="29" max="29" width="9.6640625" bestFit="1" customWidth="1"/>
    <col min="31" max="31" width="25.6640625" bestFit="1" customWidth="1"/>
    <col min="32" max="33" width="10.33203125" bestFit="1" customWidth="1"/>
    <col min="34" max="34" width="23.5546875" bestFit="1" customWidth="1"/>
    <col min="35" max="35" width="9.6640625" bestFit="1" customWidth="1"/>
    <col min="36" max="36" width="11" bestFit="1" customWidth="1"/>
    <col min="37" max="37" width="17.44140625" bestFit="1" customWidth="1"/>
  </cols>
  <sheetData>
    <row r="1" spans="1:37" x14ac:dyDescent="0.3">
      <c r="A1" s="3" t="s">
        <v>325</v>
      </c>
      <c r="B1" s="3" t="s">
        <v>326</v>
      </c>
      <c r="C1" s="3" t="s">
        <v>327</v>
      </c>
      <c r="D1" s="3" t="s">
        <v>328</v>
      </c>
      <c r="E1" s="3" t="s">
        <v>329</v>
      </c>
      <c r="F1" s="3" t="s">
        <v>330</v>
      </c>
      <c r="G1" s="3" t="s">
        <v>331</v>
      </c>
      <c r="H1" s="3" t="s">
        <v>332</v>
      </c>
      <c r="I1" s="3" t="s">
        <v>333</v>
      </c>
      <c r="J1" s="3" t="s">
        <v>334</v>
      </c>
      <c r="K1" s="3" t="s">
        <v>335</v>
      </c>
      <c r="L1" s="3" t="s">
        <v>336</v>
      </c>
      <c r="M1" s="3" t="s">
        <v>337</v>
      </c>
      <c r="W1" s="8" t="s">
        <v>344</v>
      </c>
      <c r="X1" s="8" t="s">
        <v>326</v>
      </c>
      <c r="Y1" s="8" t="s">
        <v>345</v>
      </c>
      <c r="Z1" s="8" t="s">
        <v>346</v>
      </c>
      <c r="AA1" s="8" t="s">
        <v>347</v>
      </c>
      <c r="AB1" s="8" t="s">
        <v>348</v>
      </c>
      <c r="AC1" s="8" t="s">
        <v>349</v>
      </c>
      <c r="AE1" s="15" t="s">
        <v>351</v>
      </c>
      <c r="AF1" s="15" t="s">
        <v>352</v>
      </c>
      <c r="AG1" s="15" t="s">
        <v>353</v>
      </c>
      <c r="AH1" s="15" t="s">
        <v>354</v>
      </c>
      <c r="AI1" s="15" t="s">
        <v>349</v>
      </c>
      <c r="AJ1" s="15" t="s">
        <v>335</v>
      </c>
      <c r="AK1" s="15" t="s">
        <v>355</v>
      </c>
    </row>
    <row r="2" spans="1:37" x14ac:dyDescent="0.3">
      <c r="A2" t="s">
        <v>0</v>
      </c>
      <c r="B2" t="s">
        <v>1</v>
      </c>
      <c r="C2" s="1">
        <v>45649</v>
      </c>
      <c r="D2" t="s">
        <v>2</v>
      </c>
      <c r="E2" t="s">
        <v>3</v>
      </c>
      <c r="F2" s="2">
        <v>24516</v>
      </c>
      <c r="G2" s="2">
        <v>976</v>
      </c>
      <c r="H2" s="2">
        <v>974</v>
      </c>
      <c r="I2" s="2">
        <v>2675</v>
      </c>
      <c r="J2" s="2">
        <v>23275</v>
      </c>
      <c r="K2" s="2">
        <v>202932</v>
      </c>
      <c r="L2" s="4">
        <v>0.13041807107799699</v>
      </c>
      <c r="M2" t="s">
        <v>4</v>
      </c>
      <c r="W2" s="9">
        <v>45446</v>
      </c>
      <c r="X2" s="10" t="s">
        <v>10</v>
      </c>
      <c r="Y2" s="11">
        <v>4138</v>
      </c>
      <c r="Z2" s="11">
        <v>361</v>
      </c>
      <c r="AA2" s="11">
        <v>103777</v>
      </c>
      <c r="AB2" s="12">
        <v>56.637790647253247</v>
      </c>
      <c r="AC2" s="13">
        <v>23944</v>
      </c>
      <c r="AE2" s="14" t="s">
        <v>17</v>
      </c>
      <c r="AF2" s="9">
        <v>45458</v>
      </c>
      <c r="AG2" s="9">
        <v>45488</v>
      </c>
      <c r="AH2" s="14" t="s">
        <v>356</v>
      </c>
      <c r="AI2" s="13">
        <v>85000</v>
      </c>
      <c r="AJ2" s="11">
        <v>950000</v>
      </c>
      <c r="AK2" s="16">
        <v>0.45</v>
      </c>
    </row>
    <row r="3" spans="1:37" x14ac:dyDescent="0.3">
      <c r="A3" t="s">
        <v>5</v>
      </c>
      <c r="B3" t="s">
        <v>6</v>
      </c>
      <c r="C3" s="1">
        <v>45903</v>
      </c>
      <c r="D3" t="s">
        <v>2</v>
      </c>
      <c r="E3" t="s">
        <v>7</v>
      </c>
      <c r="F3" s="2">
        <v>4779</v>
      </c>
      <c r="G3" s="2">
        <v>1110</v>
      </c>
      <c r="H3" s="2">
        <v>436</v>
      </c>
      <c r="I3" s="2">
        <v>1574</v>
      </c>
      <c r="J3" s="2">
        <v>77167</v>
      </c>
      <c r="K3" s="2">
        <v>71585</v>
      </c>
      <c r="L3" s="4">
        <v>8.8356499266606103E-2</v>
      </c>
      <c r="M3" t="s">
        <v>8</v>
      </c>
      <c r="W3" s="9">
        <v>45446</v>
      </c>
      <c r="X3" s="10" t="s">
        <v>28</v>
      </c>
      <c r="Y3" s="11">
        <v>8693</v>
      </c>
      <c r="Z3" s="11">
        <v>1261</v>
      </c>
      <c r="AA3" s="11">
        <v>111209</v>
      </c>
      <c r="AB3" s="12">
        <v>69.475492091467416</v>
      </c>
      <c r="AC3" s="13">
        <v>29873</v>
      </c>
      <c r="AE3" s="14" t="s">
        <v>33</v>
      </c>
      <c r="AF3" s="9">
        <v>45566</v>
      </c>
      <c r="AG3" s="9">
        <v>45596</v>
      </c>
      <c r="AH3" s="14" t="s">
        <v>357</v>
      </c>
      <c r="AI3" s="13">
        <v>60000</v>
      </c>
      <c r="AJ3" s="11">
        <v>780000</v>
      </c>
      <c r="AK3" s="16">
        <v>0.38</v>
      </c>
    </row>
    <row r="4" spans="1:37" x14ac:dyDescent="0.3">
      <c r="A4" t="s">
        <v>9</v>
      </c>
      <c r="B4" t="s">
        <v>10</v>
      </c>
      <c r="C4" s="1">
        <v>45789</v>
      </c>
      <c r="D4" t="s">
        <v>11</v>
      </c>
      <c r="E4" t="s">
        <v>12</v>
      </c>
      <c r="F4" s="2">
        <v>19308</v>
      </c>
      <c r="G4" s="2">
        <v>1318</v>
      </c>
      <c r="H4" s="2">
        <v>795</v>
      </c>
      <c r="I4" s="2">
        <v>1499</v>
      </c>
      <c r="J4" s="2">
        <v>52307</v>
      </c>
      <c r="K4" s="2">
        <v>193087</v>
      </c>
      <c r="L4" s="4">
        <v>0.110939628250478</v>
      </c>
      <c r="M4" t="s">
        <v>13</v>
      </c>
      <c r="W4" s="9">
        <v>45446</v>
      </c>
      <c r="X4" s="10" t="s">
        <v>1</v>
      </c>
      <c r="Y4" s="11">
        <v>9264</v>
      </c>
      <c r="Z4" s="11">
        <v>1141</v>
      </c>
      <c r="AA4" s="11">
        <v>119332</v>
      </c>
      <c r="AB4" s="12">
        <v>92.312204605638044</v>
      </c>
      <c r="AC4" s="13">
        <v>50372</v>
      </c>
      <c r="AE4" s="14" t="s">
        <v>4</v>
      </c>
      <c r="AF4" s="9">
        <v>45651</v>
      </c>
      <c r="AG4" s="9">
        <v>45667</v>
      </c>
      <c r="AH4" s="14" t="s">
        <v>358</v>
      </c>
      <c r="AI4" s="13">
        <v>55000</v>
      </c>
      <c r="AJ4" s="11">
        <v>700000</v>
      </c>
      <c r="AK4" s="16">
        <v>0.41</v>
      </c>
    </row>
    <row r="5" spans="1:37" x14ac:dyDescent="0.3">
      <c r="A5" t="s">
        <v>14</v>
      </c>
      <c r="B5" t="s">
        <v>1</v>
      </c>
      <c r="C5" s="1">
        <v>45516</v>
      </c>
      <c r="D5" t="s">
        <v>15</v>
      </c>
      <c r="E5" t="s">
        <v>16</v>
      </c>
      <c r="F5" s="2">
        <v>3581</v>
      </c>
      <c r="G5" s="2">
        <v>517</v>
      </c>
      <c r="H5" s="2">
        <v>880</v>
      </c>
      <c r="I5" s="2">
        <v>1925</v>
      </c>
      <c r="J5" s="2">
        <v>18636</v>
      </c>
      <c r="K5" s="2">
        <v>248611</v>
      </c>
      <c r="L5" s="4">
        <v>2.0023249172401902E-2</v>
      </c>
      <c r="M5" t="s">
        <v>17</v>
      </c>
      <c r="W5" s="9">
        <v>45446</v>
      </c>
      <c r="X5" s="10" t="s">
        <v>1</v>
      </c>
      <c r="Y5" s="11">
        <v>8842</v>
      </c>
      <c r="Z5" s="11">
        <v>971</v>
      </c>
      <c r="AA5" s="11">
        <v>127203</v>
      </c>
      <c r="AB5" s="12">
        <v>16.351815601833291</v>
      </c>
      <c r="AC5" s="13">
        <v>33928</v>
      </c>
      <c r="AE5" s="14" t="s">
        <v>13</v>
      </c>
      <c r="AF5" s="9">
        <v>45717</v>
      </c>
      <c r="AG5" s="9">
        <v>45747</v>
      </c>
      <c r="AH5" s="14" t="s">
        <v>350</v>
      </c>
      <c r="AI5" s="13">
        <v>40000</v>
      </c>
      <c r="AJ5" s="11">
        <v>550000</v>
      </c>
      <c r="AK5" s="16">
        <v>0.32</v>
      </c>
    </row>
    <row r="6" spans="1:37" x14ac:dyDescent="0.3">
      <c r="A6" t="s">
        <v>18</v>
      </c>
      <c r="B6" t="s">
        <v>1</v>
      </c>
      <c r="C6" s="1">
        <v>45904</v>
      </c>
      <c r="D6" t="s">
        <v>15</v>
      </c>
      <c r="E6" t="s">
        <v>3</v>
      </c>
      <c r="F6" s="2">
        <v>21708</v>
      </c>
      <c r="G6" s="2">
        <v>435</v>
      </c>
      <c r="H6" s="2">
        <v>317</v>
      </c>
      <c r="I6" s="2">
        <v>1213</v>
      </c>
      <c r="J6" s="2">
        <v>70701</v>
      </c>
      <c r="K6" s="2">
        <v>83585</v>
      </c>
      <c r="L6" s="4">
        <v>0.26870850032900601</v>
      </c>
      <c r="M6" t="s">
        <v>8</v>
      </c>
      <c r="W6" s="9">
        <v>45453</v>
      </c>
      <c r="X6" s="10" t="s">
        <v>10</v>
      </c>
      <c r="Y6" s="11">
        <v>7721</v>
      </c>
      <c r="Z6" s="11">
        <v>506</v>
      </c>
      <c r="AA6" s="11">
        <v>134418</v>
      </c>
      <c r="AB6" s="12">
        <v>35.577824398518047</v>
      </c>
      <c r="AC6" s="13">
        <v>25379</v>
      </c>
      <c r="AE6" s="14" t="s">
        <v>8</v>
      </c>
      <c r="AF6" s="9">
        <v>45901</v>
      </c>
      <c r="AG6" s="9">
        <v>45930</v>
      </c>
      <c r="AH6" s="14" t="s">
        <v>359</v>
      </c>
      <c r="AI6" s="13">
        <v>75000</v>
      </c>
      <c r="AJ6" s="11">
        <v>880000</v>
      </c>
      <c r="AK6" s="16">
        <v>0.47</v>
      </c>
    </row>
    <row r="7" spans="1:37" x14ac:dyDescent="0.3">
      <c r="A7" t="s">
        <v>19</v>
      </c>
      <c r="B7" t="s">
        <v>6</v>
      </c>
      <c r="C7" s="1">
        <v>45905</v>
      </c>
      <c r="D7" t="s">
        <v>2</v>
      </c>
      <c r="E7" t="s">
        <v>20</v>
      </c>
      <c r="F7" s="2">
        <v>14677</v>
      </c>
      <c r="G7" s="2">
        <v>533</v>
      </c>
      <c r="H7" s="2">
        <v>759</v>
      </c>
      <c r="I7" s="2">
        <v>753</v>
      </c>
      <c r="J7" s="2">
        <v>23275</v>
      </c>
      <c r="K7" s="2">
        <v>66958</v>
      </c>
      <c r="L7" s="4">
        <v>0.23849278652289499</v>
      </c>
      <c r="M7" t="s">
        <v>8</v>
      </c>
      <c r="W7" s="9">
        <v>45453</v>
      </c>
      <c r="X7" s="10" t="s">
        <v>1</v>
      </c>
      <c r="Y7" s="11">
        <v>8002</v>
      </c>
      <c r="Z7" s="11">
        <v>524</v>
      </c>
      <c r="AA7" s="11">
        <v>141896</v>
      </c>
      <c r="AB7" s="12">
        <v>52.064892597395271</v>
      </c>
      <c r="AC7" s="13">
        <v>46751</v>
      </c>
    </row>
    <row r="8" spans="1:37" x14ac:dyDescent="0.3">
      <c r="A8" t="s">
        <v>21</v>
      </c>
      <c r="B8" t="s">
        <v>10</v>
      </c>
      <c r="C8" s="1">
        <v>45467</v>
      </c>
      <c r="D8" t="s">
        <v>22</v>
      </c>
      <c r="E8" t="s">
        <v>23</v>
      </c>
      <c r="F8" s="2">
        <v>7713</v>
      </c>
      <c r="G8" s="2">
        <v>575</v>
      </c>
      <c r="H8" s="2">
        <v>417</v>
      </c>
      <c r="I8" s="2">
        <v>336</v>
      </c>
      <c r="J8" s="2">
        <v>61660</v>
      </c>
      <c r="K8" s="2">
        <v>66017</v>
      </c>
      <c r="L8" s="4">
        <v>0.131859975460866</v>
      </c>
      <c r="M8" t="s">
        <v>17</v>
      </c>
      <c r="W8" s="9">
        <v>45453</v>
      </c>
      <c r="X8" s="10" t="s">
        <v>28</v>
      </c>
      <c r="Y8" s="11">
        <v>5225</v>
      </c>
      <c r="Z8" s="11">
        <v>291</v>
      </c>
      <c r="AA8" s="11">
        <v>146830</v>
      </c>
      <c r="AB8" s="12">
        <v>19.551862698358651</v>
      </c>
      <c r="AC8" s="13">
        <v>44546</v>
      </c>
    </row>
    <row r="9" spans="1:37" x14ac:dyDescent="0.3">
      <c r="A9" t="s">
        <v>24</v>
      </c>
      <c r="B9" t="s">
        <v>10</v>
      </c>
      <c r="C9" s="1">
        <v>45486</v>
      </c>
      <c r="D9" t="s">
        <v>15</v>
      </c>
      <c r="E9" t="s">
        <v>25</v>
      </c>
      <c r="F9" s="2">
        <v>18639</v>
      </c>
      <c r="G9" s="2">
        <v>1360</v>
      </c>
      <c r="H9" s="2">
        <v>898</v>
      </c>
      <c r="I9" s="2">
        <v>2011</v>
      </c>
      <c r="J9" s="2">
        <v>42841</v>
      </c>
      <c r="K9" s="2">
        <v>247779</v>
      </c>
      <c r="L9" s="4">
        <v>8.4337252148083602E-2</v>
      </c>
      <c r="M9" t="s">
        <v>17</v>
      </c>
      <c r="W9" s="9">
        <v>45453</v>
      </c>
      <c r="X9" s="10" t="s">
        <v>28</v>
      </c>
      <c r="Y9" s="11">
        <v>3978</v>
      </c>
      <c r="Z9" s="11">
        <v>543</v>
      </c>
      <c r="AA9" s="11">
        <v>150265</v>
      </c>
      <c r="AB9" s="12">
        <v>49.159817655475329</v>
      </c>
      <c r="AC9" s="13">
        <v>34286</v>
      </c>
    </row>
    <row r="10" spans="1:37" x14ac:dyDescent="0.3">
      <c r="A10" t="s">
        <v>26</v>
      </c>
      <c r="B10" t="s">
        <v>1</v>
      </c>
      <c r="C10" s="1">
        <v>45534</v>
      </c>
      <c r="D10" t="s">
        <v>22</v>
      </c>
      <c r="E10" t="s">
        <v>7</v>
      </c>
      <c r="F10" s="2">
        <v>6804</v>
      </c>
      <c r="G10" s="2">
        <v>787</v>
      </c>
      <c r="H10" s="2">
        <v>970</v>
      </c>
      <c r="I10" s="2">
        <v>1095</v>
      </c>
      <c r="J10" s="2">
        <v>56343</v>
      </c>
      <c r="K10" s="2">
        <v>164677</v>
      </c>
      <c r="L10" s="4">
        <v>5.19866162244879E-2</v>
      </c>
      <c r="M10" t="s">
        <v>4</v>
      </c>
      <c r="W10" s="9">
        <v>45460</v>
      </c>
      <c r="X10" s="10" t="s">
        <v>10</v>
      </c>
      <c r="Y10" s="11">
        <v>8373</v>
      </c>
      <c r="Z10" s="11">
        <v>921</v>
      </c>
      <c r="AA10" s="11">
        <v>157717</v>
      </c>
      <c r="AB10" s="12">
        <v>12.2263294381709</v>
      </c>
      <c r="AC10" s="13">
        <v>15110</v>
      </c>
    </row>
    <row r="11" spans="1:37" x14ac:dyDescent="0.3">
      <c r="A11" t="s">
        <v>27</v>
      </c>
      <c r="B11" t="s">
        <v>28</v>
      </c>
      <c r="C11" s="1">
        <v>45727</v>
      </c>
      <c r="D11" t="s">
        <v>15</v>
      </c>
      <c r="E11" t="s">
        <v>29</v>
      </c>
      <c r="F11" s="2">
        <v>20222</v>
      </c>
      <c r="G11" s="2">
        <v>712</v>
      </c>
      <c r="H11" s="2">
        <v>604</v>
      </c>
      <c r="I11" s="2">
        <v>1272</v>
      </c>
      <c r="J11" s="2">
        <v>71598</v>
      </c>
      <c r="K11" s="2">
        <v>216422</v>
      </c>
      <c r="L11" s="4">
        <v>9.9518533235992607E-2</v>
      </c>
      <c r="M11" t="s">
        <v>13</v>
      </c>
      <c r="W11" s="9">
        <v>45460</v>
      </c>
      <c r="X11" s="10" t="s">
        <v>28</v>
      </c>
      <c r="Y11" s="11">
        <v>6907</v>
      </c>
      <c r="Z11" s="11">
        <v>834</v>
      </c>
      <c r="AA11" s="11">
        <v>163790</v>
      </c>
      <c r="AB11" s="12">
        <v>54.158984064961238</v>
      </c>
      <c r="AC11" s="13">
        <v>22087</v>
      </c>
    </row>
    <row r="12" spans="1:37" x14ac:dyDescent="0.3">
      <c r="A12" t="s">
        <v>30</v>
      </c>
      <c r="B12" t="s">
        <v>1</v>
      </c>
      <c r="C12" s="1">
        <v>45690</v>
      </c>
      <c r="D12" t="s">
        <v>22</v>
      </c>
      <c r="E12" t="s">
        <v>16</v>
      </c>
      <c r="F12" s="2">
        <v>12136</v>
      </c>
      <c r="G12" s="2">
        <v>1117</v>
      </c>
      <c r="H12" s="2">
        <v>834</v>
      </c>
      <c r="I12" s="2">
        <v>892</v>
      </c>
      <c r="J12" s="2">
        <v>24675</v>
      </c>
      <c r="K12" s="2">
        <v>183273</v>
      </c>
      <c r="L12" s="4">
        <v>7.6863476889667298E-2</v>
      </c>
      <c r="M12" t="s">
        <v>13</v>
      </c>
      <c r="W12" s="9">
        <v>45460</v>
      </c>
      <c r="X12" s="10" t="s">
        <v>6</v>
      </c>
      <c r="Y12" s="11">
        <v>7097</v>
      </c>
      <c r="Z12" s="11">
        <v>369</v>
      </c>
      <c r="AA12" s="11">
        <v>170518</v>
      </c>
      <c r="AB12" s="12">
        <v>9.2506362964613711</v>
      </c>
      <c r="AC12" s="13">
        <v>33762</v>
      </c>
    </row>
    <row r="13" spans="1:37" x14ac:dyDescent="0.3">
      <c r="A13" t="s">
        <v>31</v>
      </c>
      <c r="B13" t="s">
        <v>1</v>
      </c>
      <c r="C13" s="1">
        <v>45494</v>
      </c>
      <c r="D13" t="s">
        <v>11</v>
      </c>
      <c r="E13" t="s">
        <v>7</v>
      </c>
      <c r="F13" s="2">
        <v>2009</v>
      </c>
      <c r="G13" s="2">
        <v>1072</v>
      </c>
      <c r="H13" s="2">
        <v>550</v>
      </c>
      <c r="I13" s="2">
        <v>1437</v>
      </c>
      <c r="J13" s="2">
        <v>22982</v>
      </c>
      <c r="K13" s="2">
        <v>69426</v>
      </c>
      <c r="L13" s="4">
        <v>5.2300290957278298E-2</v>
      </c>
      <c r="M13" t="s">
        <v>17</v>
      </c>
      <c r="W13" s="9">
        <v>45460</v>
      </c>
      <c r="X13" s="10" t="s">
        <v>10</v>
      </c>
      <c r="Y13" s="11">
        <v>6656</v>
      </c>
      <c r="Z13" s="11">
        <v>978</v>
      </c>
      <c r="AA13" s="11">
        <v>176196</v>
      </c>
      <c r="AB13" s="12">
        <v>60.425889350496043</v>
      </c>
      <c r="AC13" s="13">
        <v>27081</v>
      </c>
    </row>
    <row r="14" spans="1:37" x14ac:dyDescent="0.3">
      <c r="A14" t="s">
        <v>32</v>
      </c>
      <c r="B14" t="s">
        <v>1</v>
      </c>
      <c r="C14" s="1">
        <v>45614</v>
      </c>
      <c r="D14" t="s">
        <v>22</v>
      </c>
      <c r="E14" t="s">
        <v>23</v>
      </c>
      <c r="F14" s="2">
        <v>21255</v>
      </c>
      <c r="G14" s="2">
        <v>1452</v>
      </c>
      <c r="H14" s="2">
        <v>625</v>
      </c>
      <c r="I14" s="2">
        <v>1624</v>
      </c>
      <c r="J14" s="2">
        <v>21282</v>
      </c>
      <c r="K14" s="2">
        <v>57778</v>
      </c>
      <c r="L14" s="4">
        <v>0.40382152376336999</v>
      </c>
      <c r="M14" t="s">
        <v>33</v>
      </c>
      <c r="W14" s="9">
        <v>45467</v>
      </c>
      <c r="X14" s="10" t="s">
        <v>28</v>
      </c>
      <c r="Y14" s="11">
        <v>9984</v>
      </c>
      <c r="Z14" s="11">
        <v>1330</v>
      </c>
      <c r="AA14" s="11">
        <v>184850</v>
      </c>
      <c r="AB14" s="12">
        <v>57.524479307546663</v>
      </c>
      <c r="AC14" s="13">
        <v>44947</v>
      </c>
    </row>
    <row r="15" spans="1:37" x14ac:dyDescent="0.3">
      <c r="A15" t="s">
        <v>34</v>
      </c>
      <c r="B15" t="s">
        <v>1</v>
      </c>
      <c r="C15" s="1">
        <v>45906</v>
      </c>
      <c r="D15" t="s">
        <v>11</v>
      </c>
      <c r="E15" t="s">
        <v>25</v>
      </c>
      <c r="F15" s="2">
        <v>7124</v>
      </c>
      <c r="G15" s="2">
        <v>469</v>
      </c>
      <c r="H15" s="2">
        <v>851</v>
      </c>
      <c r="I15" s="2">
        <v>2571</v>
      </c>
      <c r="J15" s="2">
        <v>33802</v>
      </c>
      <c r="K15" s="2">
        <v>216313</v>
      </c>
      <c r="L15" s="4">
        <v>3.9036026498638597E-2</v>
      </c>
      <c r="M15" t="s">
        <v>8</v>
      </c>
      <c r="W15" s="9">
        <v>45467</v>
      </c>
      <c r="X15" s="10" t="s">
        <v>10</v>
      </c>
      <c r="Y15" s="11">
        <v>5259</v>
      </c>
      <c r="Z15" s="11">
        <v>374</v>
      </c>
      <c r="AA15" s="11">
        <v>189735</v>
      </c>
      <c r="AB15" s="12">
        <v>14.827522597306769</v>
      </c>
      <c r="AC15" s="13">
        <v>19596</v>
      </c>
    </row>
    <row r="16" spans="1:37" x14ac:dyDescent="0.3">
      <c r="A16" t="s">
        <v>35</v>
      </c>
      <c r="B16" t="s">
        <v>6</v>
      </c>
      <c r="C16" s="1">
        <v>45907</v>
      </c>
      <c r="D16" t="s">
        <v>11</v>
      </c>
      <c r="E16" t="s">
        <v>12</v>
      </c>
      <c r="F16" s="2">
        <v>3015</v>
      </c>
      <c r="G16" s="2">
        <v>997</v>
      </c>
      <c r="H16" s="2">
        <v>783</v>
      </c>
      <c r="I16" s="2">
        <v>617</v>
      </c>
      <c r="J16" s="2">
        <v>77167</v>
      </c>
      <c r="K16" s="2">
        <v>82229</v>
      </c>
      <c r="L16" s="4">
        <v>5.83127607048608E-2</v>
      </c>
      <c r="M16" t="s">
        <v>8</v>
      </c>
      <c r="W16" s="9">
        <v>45467</v>
      </c>
      <c r="X16" s="10" t="s">
        <v>1</v>
      </c>
      <c r="Y16" s="11">
        <v>9286</v>
      </c>
      <c r="Z16" s="11">
        <v>633</v>
      </c>
      <c r="AA16" s="11">
        <v>198388</v>
      </c>
      <c r="AB16" s="12">
        <v>5.4343004617214756</v>
      </c>
      <c r="AC16" s="13">
        <v>48019</v>
      </c>
    </row>
    <row r="17" spans="1:29" x14ac:dyDescent="0.3">
      <c r="A17" t="s">
        <v>36</v>
      </c>
      <c r="B17" t="s">
        <v>10</v>
      </c>
      <c r="C17" s="1">
        <v>45530</v>
      </c>
      <c r="D17" t="s">
        <v>22</v>
      </c>
      <c r="E17" t="s">
        <v>25</v>
      </c>
      <c r="F17" s="2">
        <v>4193</v>
      </c>
      <c r="G17" s="2">
        <v>924</v>
      </c>
      <c r="H17" s="2">
        <v>707</v>
      </c>
      <c r="I17" s="2">
        <v>2696</v>
      </c>
      <c r="J17" s="2">
        <v>55075</v>
      </c>
      <c r="K17" s="2">
        <v>126652</v>
      </c>
      <c r="L17" s="4">
        <v>4.5984271863057799E-2</v>
      </c>
      <c r="M17" t="s">
        <v>17</v>
      </c>
      <c r="W17" s="9">
        <v>45467</v>
      </c>
      <c r="X17" s="10" t="s">
        <v>28</v>
      </c>
      <c r="Y17" s="11">
        <v>6901</v>
      </c>
      <c r="Z17" s="11">
        <v>471</v>
      </c>
      <c r="AA17" s="11">
        <v>204818</v>
      </c>
      <c r="AB17" s="12">
        <v>60.827661631301943</v>
      </c>
      <c r="AC17" s="13">
        <v>52003</v>
      </c>
    </row>
    <row r="18" spans="1:29" x14ac:dyDescent="0.3">
      <c r="A18" t="s">
        <v>37</v>
      </c>
      <c r="B18" t="s">
        <v>6</v>
      </c>
      <c r="C18" s="1">
        <v>45782</v>
      </c>
      <c r="D18" t="s">
        <v>11</v>
      </c>
      <c r="E18" t="s">
        <v>38</v>
      </c>
      <c r="F18" s="2">
        <v>10415</v>
      </c>
      <c r="G18" s="2">
        <v>1388</v>
      </c>
      <c r="H18" s="2">
        <v>725</v>
      </c>
      <c r="I18" s="2">
        <v>2462</v>
      </c>
      <c r="J18" s="2">
        <v>53082</v>
      </c>
      <c r="K18" s="2">
        <v>168267</v>
      </c>
      <c r="L18" s="4">
        <v>7.4453101321114601E-2</v>
      </c>
      <c r="M18" t="s">
        <v>33</v>
      </c>
      <c r="W18" s="9">
        <v>45474</v>
      </c>
      <c r="X18" s="10" t="s">
        <v>6</v>
      </c>
      <c r="Y18" s="11">
        <v>5917</v>
      </c>
      <c r="Z18" s="11">
        <v>475</v>
      </c>
      <c r="AA18" s="11">
        <v>210260</v>
      </c>
      <c r="AB18" s="12">
        <v>17.894035955483691</v>
      </c>
      <c r="AC18" s="13">
        <v>28313</v>
      </c>
    </row>
    <row r="19" spans="1:29" x14ac:dyDescent="0.3">
      <c r="A19" t="s">
        <v>39</v>
      </c>
      <c r="B19" t="s">
        <v>6</v>
      </c>
      <c r="C19" s="1">
        <v>45523</v>
      </c>
      <c r="D19" t="s">
        <v>2</v>
      </c>
      <c r="E19" t="s">
        <v>25</v>
      </c>
      <c r="F19" s="2">
        <v>15550</v>
      </c>
      <c r="G19" s="2">
        <v>204</v>
      </c>
      <c r="H19" s="2">
        <v>279</v>
      </c>
      <c r="I19" s="2">
        <v>1646</v>
      </c>
      <c r="J19" s="2">
        <v>35819</v>
      </c>
      <c r="K19" s="2">
        <v>219436</v>
      </c>
      <c r="L19" s="4">
        <v>7.3064583751070902E-2</v>
      </c>
      <c r="M19" t="s">
        <v>4</v>
      </c>
      <c r="W19" s="9">
        <v>45474</v>
      </c>
      <c r="X19" s="10" t="s">
        <v>28</v>
      </c>
      <c r="Y19" s="11">
        <v>9429</v>
      </c>
      <c r="Z19" s="11">
        <v>966</v>
      </c>
      <c r="AA19" s="11">
        <v>218723</v>
      </c>
      <c r="AB19" s="12">
        <v>7.6914636320825887</v>
      </c>
      <c r="AC19" s="13">
        <v>57639</v>
      </c>
    </row>
    <row r="20" spans="1:29" x14ac:dyDescent="0.3">
      <c r="A20" t="s">
        <v>40</v>
      </c>
      <c r="B20" t="s">
        <v>6</v>
      </c>
      <c r="C20" s="1">
        <v>45466</v>
      </c>
      <c r="D20" t="s">
        <v>11</v>
      </c>
      <c r="E20" t="s">
        <v>38</v>
      </c>
      <c r="F20" s="2">
        <v>16512</v>
      </c>
      <c r="G20" s="2">
        <v>1050</v>
      </c>
      <c r="H20" s="2">
        <v>971</v>
      </c>
      <c r="I20" s="2">
        <v>1891</v>
      </c>
      <c r="J20" s="2">
        <v>15865</v>
      </c>
      <c r="K20" s="2">
        <v>166503</v>
      </c>
      <c r="L20" s="4">
        <v>0.11130730377230399</v>
      </c>
      <c r="M20" t="s">
        <v>17</v>
      </c>
      <c r="W20" s="9">
        <v>45474</v>
      </c>
      <c r="X20" s="10" t="s">
        <v>10</v>
      </c>
      <c r="Y20" s="11">
        <v>3530</v>
      </c>
      <c r="Z20" s="11">
        <v>328</v>
      </c>
      <c r="AA20" s="11">
        <v>221925</v>
      </c>
      <c r="AB20" s="12">
        <v>12.8372197814577</v>
      </c>
      <c r="AC20" s="13">
        <v>11013</v>
      </c>
    </row>
    <row r="21" spans="1:29" x14ac:dyDescent="0.3">
      <c r="A21" t="s">
        <v>41</v>
      </c>
      <c r="B21" t="s">
        <v>1</v>
      </c>
      <c r="C21" s="1">
        <v>45544</v>
      </c>
      <c r="D21" t="s">
        <v>15</v>
      </c>
      <c r="E21" t="s">
        <v>12</v>
      </c>
      <c r="F21" s="2">
        <v>6158</v>
      </c>
      <c r="G21" s="2">
        <v>277</v>
      </c>
      <c r="H21" s="2">
        <v>512</v>
      </c>
      <c r="I21" s="2">
        <v>2189</v>
      </c>
      <c r="J21" s="2">
        <v>76881</v>
      </c>
      <c r="K21" s="2">
        <v>124878</v>
      </c>
      <c r="L21" s="4">
        <v>5.5630295168084001E-2</v>
      </c>
      <c r="M21" t="s">
        <v>17</v>
      </c>
      <c r="W21" s="9">
        <v>45474</v>
      </c>
      <c r="X21" s="10" t="s">
        <v>10</v>
      </c>
      <c r="Y21" s="11">
        <v>2960</v>
      </c>
      <c r="Z21" s="11">
        <v>234</v>
      </c>
      <c r="AA21" s="11">
        <v>224651</v>
      </c>
      <c r="AB21" s="12">
        <v>17.41278694508371</v>
      </c>
      <c r="AC21" s="13">
        <v>59378</v>
      </c>
    </row>
    <row r="22" spans="1:29" x14ac:dyDescent="0.3">
      <c r="A22" t="s">
        <v>42</v>
      </c>
      <c r="B22" t="s">
        <v>28</v>
      </c>
      <c r="C22" s="1">
        <v>45908</v>
      </c>
      <c r="D22" t="s">
        <v>22</v>
      </c>
      <c r="E22" t="s">
        <v>43</v>
      </c>
      <c r="F22" s="2">
        <v>22309</v>
      </c>
      <c r="G22" s="2">
        <v>773</v>
      </c>
      <c r="H22" s="2">
        <v>854</v>
      </c>
      <c r="I22" s="2">
        <v>2387</v>
      </c>
      <c r="J22" s="2">
        <v>72396</v>
      </c>
      <c r="K22" s="2">
        <v>97056</v>
      </c>
      <c r="L22" s="4">
        <v>0.24662050774810401</v>
      </c>
      <c r="M22" t="s">
        <v>8</v>
      </c>
      <c r="W22" s="9">
        <v>45481</v>
      </c>
      <c r="X22" s="10" t="s">
        <v>28</v>
      </c>
      <c r="Y22" s="11">
        <v>8045</v>
      </c>
      <c r="Z22" s="11">
        <v>894</v>
      </c>
      <c r="AA22" s="11">
        <v>231802</v>
      </c>
      <c r="AB22" s="12">
        <v>47.634187798207087</v>
      </c>
      <c r="AC22" s="13">
        <v>33705</v>
      </c>
    </row>
    <row r="23" spans="1:29" x14ac:dyDescent="0.3">
      <c r="A23" t="s">
        <v>44</v>
      </c>
      <c r="B23" t="s">
        <v>10</v>
      </c>
      <c r="C23" s="1">
        <v>45715</v>
      </c>
      <c r="D23" t="s">
        <v>2</v>
      </c>
      <c r="E23" t="s">
        <v>23</v>
      </c>
      <c r="F23" s="2">
        <v>8970</v>
      </c>
      <c r="G23" s="2">
        <v>331</v>
      </c>
      <c r="H23" s="2">
        <v>968</v>
      </c>
      <c r="I23" s="2">
        <v>2296</v>
      </c>
      <c r="J23" s="2">
        <v>24613</v>
      </c>
      <c r="K23" s="2">
        <v>198562</v>
      </c>
      <c r="L23" s="4">
        <v>5.1716844109144802E-2</v>
      </c>
      <c r="M23" t="s">
        <v>17</v>
      </c>
      <c r="W23" s="9">
        <v>45481</v>
      </c>
      <c r="X23" s="10" t="s">
        <v>6</v>
      </c>
      <c r="Y23" s="11">
        <v>2048</v>
      </c>
      <c r="Z23" s="11">
        <v>130</v>
      </c>
      <c r="AA23" s="11">
        <v>233720</v>
      </c>
      <c r="AB23" s="12">
        <v>39.284614068115687</v>
      </c>
      <c r="AC23" s="13">
        <v>11828</v>
      </c>
    </row>
    <row r="24" spans="1:29" x14ac:dyDescent="0.3">
      <c r="A24" t="s">
        <v>45</v>
      </c>
      <c r="B24" t="s">
        <v>28</v>
      </c>
      <c r="C24" s="1">
        <v>45602</v>
      </c>
      <c r="D24" t="s">
        <v>22</v>
      </c>
      <c r="E24" t="s">
        <v>38</v>
      </c>
      <c r="F24" s="2">
        <v>8938</v>
      </c>
      <c r="G24" s="2">
        <v>800</v>
      </c>
      <c r="H24" s="2">
        <v>842</v>
      </c>
      <c r="I24" s="2">
        <v>2072</v>
      </c>
      <c r="J24" s="2">
        <v>31736</v>
      </c>
      <c r="K24" s="2">
        <v>59975</v>
      </c>
      <c r="L24" s="4">
        <v>0.17640683618174199</v>
      </c>
      <c r="M24" t="s">
        <v>17</v>
      </c>
      <c r="W24" s="9">
        <v>45481</v>
      </c>
      <c r="X24" s="10" t="s">
        <v>6</v>
      </c>
      <c r="Y24" s="11">
        <v>6772</v>
      </c>
      <c r="Z24" s="11">
        <v>536</v>
      </c>
      <c r="AA24" s="11">
        <v>239956</v>
      </c>
      <c r="AB24" s="12">
        <v>9.8205504342462788</v>
      </c>
      <c r="AC24" s="13">
        <v>17909</v>
      </c>
    </row>
    <row r="25" spans="1:29" x14ac:dyDescent="0.3">
      <c r="A25" t="s">
        <v>46</v>
      </c>
      <c r="B25" t="s">
        <v>6</v>
      </c>
      <c r="C25" s="1">
        <v>45680</v>
      </c>
      <c r="D25" t="s">
        <v>15</v>
      </c>
      <c r="E25" t="s">
        <v>29</v>
      </c>
      <c r="F25" s="2">
        <v>23168</v>
      </c>
      <c r="G25" s="2">
        <v>1265</v>
      </c>
      <c r="H25" s="2">
        <v>441</v>
      </c>
      <c r="I25" s="2">
        <v>1612</v>
      </c>
      <c r="J25" s="2">
        <v>66615</v>
      </c>
      <c r="K25" s="2">
        <v>197795</v>
      </c>
      <c r="L25" s="4">
        <v>0.125756465026922</v>
      </c>
      <c r="M25" t="s">
        <v>17</v>
      </c>
      <c r="W25" s="9">
        <v>45481</v>
      </c>
      <c r="X25" s="10" t="s">
        <v>6</v>
      </c>
      <c r="Y25" s="11">
        <v>3529</v>
      </c>
      <c r="Z25" s="11">
        <v>305</v>
      </c>
      <c r="AA25" s="11">
        <v>243180</v>
      </c>
      <c r="AB25" s="12">
        <v>41.606628834608109</v>
      </c>
      <c r="AC25" s="13">
        <v>48356</v>
      </c>
    </row>
    <row r="26" spans="1:29" x14ac:dyDescent="0.3">
      <c r="A26" t="s">
        <v>47</v>
      </c>
      <c r="B26" t="s">
        <v>6</v>
      </c>
      <c r="C26" s="1">
        <v>45909</v>
      </c>
      <c r="D26" t="s">
        <v>15</v>
      </c>
      <c r="E26" t="s">
        <v>25</v>
      </c>
      <c r="F26" s="2">
        <v>15772</v>
      </c>
      <c r="G26" s="2">
        <v>288</v>
      </c>
      <c r="H26" s="2">
        <v>520</v>
      </c>
      <c r="I26" s="2">
        <v>1585</v>
      </c>
      <c r="J26" s="2">
        <v>59182</v>
      </c>
      <c r="K26" s="2">
        <v>194351</v>
      </c>
      <c r="L26" s="4">
        <v>8.5309568769906002E-2</v>
      </c>
      <c r="M26" t="s">
        <v>8</v>
      </c>
      <c r="W26" s="9">
        <v>45488</v>
      </c>
      <c r="X26" s="10" t="s">
        <v>10</v>
      </c>
      <c r="Y26" s="11">
        <v>3964</v>
      </c>
      <c r="Z26" s="11">
        <v>378</v>
      </c>
      <c r="AA26" s="11">
        <v>246766</v>
      </c>
      <c r="AB26" s="12">
        <v>13.6355899921383</v>
      </c>
      <c r="AC26" s="13">
        <v>23109</v>
      </c>
    </row>
    <row r="27" spans="1:29" x14ac:dyDescent="0.3">
      <c r="A27" t="s">
        <v>48</v>
      </c>
      <c r="B27" t="s">
        <v>28</v>
      </c>
      <c r="C27" s="1">
        <v>45752</v>
      </c>
      <c r="D27" t="s">
        <v>15</v>
      </c>
      <c r="E27" t="s">
        <v>25</v>
      </c>
      <c r="F27" s="2">
        <v>22384</v>
      </c>
      <c r="G27" s="2">
        <v>601</v>
      </c>
      <c r="H27" s="2">
        <v>943</v>
      </c>
      <c r="I27" s="2">
        <v>515</v>
      </c>
      <c r="J27" s="2">
        <v>41309</v>
      </c>
      <c r="K27" s="2">
        <v>249373</v>
      </c>
      <c r="L27" s="4">
        <v>9.5952649244304702E-2</v>
      </c>
      <c r="M27" t="s">
        <v>4</v>
      </c>
      <c r="W27" s="9">
        <v>45488</v>
      </c>
      <c r="X27" s="10" t="s">
        <v>28</v>
      </c>
      <c r="Y27" s="11">
        <v>8137</v>
      </c>
      <c r="Z27" s="11">
        <v>1045</v>
      </c>
      <c r="AA27" s="11">
        <v>253858</v>
      </c>
      <c r="AB27" s="12">
        <v>20.47246886054408</v>
      </c>
      <c r="AC27" s="13">
        <v>12023</v>
      </c>
    </row>
    <row r="28" spans="1:29" x14ac:dyDescent="0.3">
      <c r="A28" t="s">
        <v>49</v>
      </c>
      <c r="B28" t="s">
        <v>28</v>
      </c>
      <c r="C28" s="1">
        <v>45552</v>
      </c>
      <c r="D28" t="s">
        <v>11</v>
      </c>
      <c r="E28" t="s">
        <v>29</v>
      </c>
      <c r="F28" s="2">
        <v>20017</v>
      </c>
      <c r="G28" s="2">
        <v>495</v>
      </c>
      <c r="H28" s="2">
        <v>178</v>
      </c>
      <c r="I28" s="2">
        <v>2683</v>
      </c>
      <c r="J28" s="2">
        <v>32244</v>
      </c>
      <c r="K28" s="2">
        <v>182633</v>
      </c>
      <c r="L28" s="4">
        <v>0.113287302951821</v>
      </c>
      <c r="M28" t="s">
        <v>4</v>
      </c>
      <c r="W28" s="9">
        <v>45488</v>
      </c>
      <c r="X28" s="10" t="s">
        <v>1</v>
      </c>
      <c r="Y28" s="11">
        <v>1963</v>
      </c>
      <c r="Z28" s="11">
        <v>137</v>
      </c>
      <c r="AA28" s="11">
        <v>255684</v>
      </c>
      <c r="AB28" s="12">
        <v>11.2083665774941</v>
      </c>
      <c r="AC28" s="13">
        <v>24537</v>
      </c>
    </row>
    <row r="29" spans="1:29" x14ac:dyDescent="0.3">
      <c r="A29" t="s">
        <v>50</v>
      </c>
      <c r="B29" t="s">
        <v>28</v>
      </c>
      <c r="C29" s="1">
        <v>45720</v>
      </c>
      <c r="D29" t="s">
        <v>11</v>
      </c>
      <c r="E29" t="s">
        <v>20</v>
      </c>
      <c r="F29" s="2">
        <v>12344</v>
      </c>
      <c r="G29" s="2">
        <v>815</v>
      </c>
      <c r="H29" s="2">
        <v>298</v>
      </c>
      <c r="I29" s="2">
        <v>2439</v>
      </c>
      <c r="J29" s="2">
        <v>6259</v>
      </c>
      <c r="K29" s="2">
        <v>237133</v>
      </c>
      <c r="L29" s="4">
        <v>5.6748744375519203E-2</v>
      </c>
      <c r="M29" t="s">
        <v>17</v>
      </c>
      <c r="W29" s="9">
        <v>45488</v>
      </c>
      <c r="X29" s="10" t="s">
        <v>10</v>
      </c>
      <c r="Y29" s="11">
        <v>1536</v>
      </c>
      <c r="Z29" s="11">
        <v>155</v>
      </c>
      <c r="AA29" s="11">
        <v>257065</v>
      </c>
      <c r="AB29" s="12">
        <v>12.15762550327738</v>
      </c>
      <c r="AC29" s="13">
        <v>36661</v>
      </c>
    </row>
    <row r="30" spans="1:29" x14ac:dyDescent="0.3">
      <c r="A30" t="s">
        <v>51</v>
      </c>
      <c r="B30" t="s">
        <v>6</v>
      </c>
      <c r="C30" s="1">
        <v>45910</v>
      </c>
      <c r="D30" t="s">
        <v>22</v>
      </c>
      <c r="E30" t="s">
        <v>52</v>
      </c>
      <c r="F30" s="2">
        <v>9266</v>
      </c>
      <c r="G30" s="2">
        <v>999</v>
      </c>
      <c r="H30" s="2">
        <v>928</v>
      </c>
      <c r="I30" s="2">
        <v>2700</v>
      </c>
      <c r="J30" s="2">
        <v>12264</v>
      </c>
      <c r="K30" s="2">
        <v>128397</v>
      </c>
      <c r="L30" s="4">
        <v>8.7174933993784898E-2</v>
      </c>
      <c r="M30" t="s">
        <v>8</v>
      </c>
      <c r="W30" s="9">
        <v>45495</v>
      </c>
      <c r="X30" s="10" t="s">
        <v>6</v>
      </c>
      <c r="Y30" s="11">
        <v>8340</v>
      </c>
      <c r="Z30" s="11">
        <v>911</v>
      </c>
      <c r="AA30" s="11">
        <v>264494</v>
      </c>
      <c r="AB30" s="12">
        <v>37.302925586213682</v>
      </c>
      <c r="AC30" s="13">
        <v>48659</v>
      </c>
    </row>
    <row r="31" spans="1:29" x14ac:dyDescent="0.3">
      <c r="A31" t="s">
        <v>53</v>
      </c>
      <c r="B31" t="s">
        <v>6</v>
      </c>
      <c r="C31" s="1">
        <v>45713</v>
      </c>
      <c r="D31" t="s">
        <v>22</v>
      </c>
      <c r="E31" t="s">
        <v>43</v>
      </c>
      <c r="F31" s="2">
        <v>10702</v>
      </c>
      <c r="G31" s="2">
        <v>621</v>
      </c>
      <c r="H31" s="2">
        <v>445</v>
      </c>
      <c r="I31" s="2">
        <v>2918</v>
      </c>
      <c r="J31" s="2">
        <v>54808</v>
      </c>
      <c r="K31" s="2">
        <v>220225</v>
      </c>
      <c r="L31" s="4">
        <v>5.3436258372119398E-2</v>
      </c>
      <c r="M31" t="s">
        <v>4</v>
      </c>
      <c r="W31" s="9">
        <v>45495</v>
      </c>
      <c r="X31" s="10" t="s">
        <v>28</v>
      </c>
      <c r="Y31" s="11">
        <v>8179</v>
      </c>
      <c r="Z31" s="11">
        <v>446</v>
      </c>
      <c r="AA31" s="11">
        <v>272227</v>
      </c>
      <c r="AB31" s="12">
        <v>41.82171496581897</v>
      </c>
      <c r="AC31" s="13">
        <v>43848</v>
      </c>
    </row>
    <row r="32" spans="1:29" x14ac:dyDescent="0.3">
      <c r="A32" t="s">
        <v>54</v>
      </c>
      <c r="B32" t="s">
        <v>10</v>
      </c>
      <c r="C32" s="1">
        <v>45642</v>
      </c>
      <c r="D32" t="s">
        <v>2</v>
      </c>
      <c r="E32" t="s">
        <v>16</v>
      </c>
      <c r="F32" s="2">
        <v>2384</v>
      </c>
      <c r="G32" s="2">
        <v>1246</v>
      </c>
      <c r="H32" s="2">
        <v>160</v>
      </c>
      <c r="I32" s="2">
        <v>2004</v>
      </c>
      <c r="J32" s="2">
        <v>2701</v>
      </c>
      <c r="K32" s="2">
        <v>73142</v>
      </c>
      <c r="L32" s="4">
        <v>5.18170134806267E-2</v>
      </c>
      <c r="M32" t="s">
        <v>4</v>
      </c>
      <c r="W32" s="9">
        <v>45495</v>
      </c>
      <c r="X32" s="10" t="s">
        <v>6</v>
      </c>
      <c r="Y32" s="11">
        <v>8967</v>
      </c>
      <c r="Z32" s="11">
        <v>993</v>
      </c>
      <c r="AA32" s="11">
        <v>280201</v>
      </c>
      <c r="AB32" s="12">
        <v>52.792102811910027</v>
      </c>
      <c r="AC32" s="13">
        <v>47804</v>
      </c>
    </row>
    <row r="33" spans="1:29" x14ac:dyDescent="0.3">
      <c r="A33" t="s">
        <v>55</v>
      </c>
      <c r="B33" t="s">
        <v>10</v>
      </c>
      <c r="C33" s="1">
        <v>45504</v>
      </c>
      <c r="D33" t="s">
        <v>2</v>
      </c>
      <c r="E33" t="s">
        <v>38</v>
      </c>
      <c r="F33" s="2">
        <v>2404</v>
      </c>
      <c r="G33" s="2">
        <v>774</v>
      </c>
      <c r="H33" s="2">
        <v>661</v>
      </c>
      <c r="I33" s="2">
        <v>662</v>
      </c>
      <c r="J33" s="2">
        <v>12676</v>
      </c>
      <c r="K33" s="2">
        <v>66916</v>
      </c>
      <c r="L33" s="4">
        <v>5.7370434574690599E-2</v>
      </c>
      <c r="M33" t="s">
        <v>4</v>
      </c>
      <c r="W33" s="9">
        <v>45495</v>
      </c>
      <c r="X33" s="10" t="s">
        <v>1</v>
      </c>
      <c r="Y33" s="11">
        <v>9734</v>
      </c>
      <c r="Z33" s="11">
        <v>652</v>
      </c>
      <c r="AA33" s="11">
        <v>289283</v>
      </c>
      <c r="AB33" s="12">
        <v>49.647922622483861</v>
      </c>
      <c r="AC33" s="13">
        <v>25379</v>
      </c>
    </row>
    <row r="34" spans="1:29" x14ac:dyDescent="0.3">
      <c r="A34" t="s">
        <v>56</v>
      </c>
      <c r="B34" t="s">
        <v>6</v>
      </c>
      <c r="C34" s="1">
        <v>45911</v>
      </c>
      <c r="D34" t="s">
        <v>22</v>
      </c>
      <c r="E34" t="s">
        <v>29</v>
      </c>
      <c r="F34" s="2">
        <v>10175</v>
      </c>
      <c r="G34" s="2">
        <v>342</v>
      </c>
      <c r="H34" s="2">
        <v>825</v>
      </c>
      <c r="I34" s="2">
        <v>2904</v>
      </c>
      <c r="J34" s="2">
        <v>15954</v>
      </c>
      <c r="K34" s="2">
        <v>104324</v>
      </c>
      <c r="L34" s="4">
        <v>0.10871899083624099</v>
      </c>
      <c r="M34" t="s">
        <v>8</v>
      </c>
      <c r="W34" s="9">
        <v>45502</v>
      </c>
      <c r="X34" s="10" t="s">
        <v>6</v>
      </c>
      <c r="Y34" s="11">
        <v>1845</v>
      </c>
      <c r="Z34" s="11">
        <v>104</v>
      </c>
      <c r="AA34" s="11">
        <v>291024</v>
      </c>
      <c r="AB34" s="12">
        <v>28.158158777282971</v>
      </c>
      <c r="AC34" s="13">
        <v>37766</v>
      </c>
    </row>
    <row r="35" spans="1:29" x14ac:dyDescent="0.3">
      <c r="A35" t="s">
        <v>57</v>
      </c>
      <c r="B35" t="s">
        <v>28</v>
      </c>
      <c r="C35" s="1">
        <v>45912</v>
      </c>
      <c r="D35" t="s">
        <v>11</v>
      </c>
      <c r="E35" t="s">
        <v>12</v>
      </c>
      <c r="F35" s="2">
        <v>17158</v>
      </c>
      <c r="G35" s="2">
        <v>1192</v>
      </c>
      <c r="H35" s="2">
        <v>262</v>
      </c>
      <c r="I35" s="2">
        <v>2016</v>
      </c>
      <c r="J35" s="2">
        <v>28771</v>
      </c>
      <c r="K35" s="2">
        <v>216037</v>
      </c>
      <c r="L35" s="4">
        <v>8.6151909163708101E-2</v>
      </c>
      <c r="M35" t="s">
        <v>8</v>
      </c>
      <c r="W35" s="9">
        <v>45502</v>
      </c>
      <c r="X35" s="10" t="s">
        <v>6</v>
      </c>
      <c r="Y35" s="11">
        <v>6777</v>
      </c>
      <c r="Z35" s="11">
        <v>981</v>
      </c>
      <c r="AA35" s="11">
        <v>296820</v>
      </c>
      <c r="AB35" s="12">
        <v>23.920557913887201</v>
      </c>
      <c r="AC35" s="13">
        <v>53590</v>
      </c>
    </row>
    <row r="36" spans="1:29" x14ac:dyDescent="0.3">
      <c r="A36" t="s">
        <v>58</v>
      </c>
      <c r="B36" t="s">
        <v>28</v>
      </c>
      <c r="C36" s="1">
        <v>45626</v>
      </c>
      <c r="D36" t="s">
        <v>15</v>
      </c>
      <c r="E36" t="s">
        <v>38</v>
      </c>
      <c r="F36" s="2">
        <v>14763</v>
      </c>
      <c r="G36" s="2">
        <v>864</v>
      </c>
      <c r="H36" s="2">
        <v>336</v>
      </c>
      <c r="I36" s="2">
        <v>1493</v>
      </c>
      <c r="J36" s="2">
        <v>33310</v>
      </c>
      <c r="K36" s="2">
        <v>165932</v>
      </c>
      <c r="L36" s="4">
        <v>9.6202058674637797E-2</v>
      </c>
      <c r="M36" t="s">
        <v>17</v>
      </c>
      <c r="W36" s="9">
        <v>45502</v>
      </c>
      <c r="X36" s="10" t="s">
        <v>1</v>
      </c>
      <c r="Y36" s="11">
        <v>4036</v>
      </c>
      <c r="Z36" s="11">
        <v>591</v>
      </c>
      <c r="AA36" s="11">
        <v>300265</v>
      </c>
      <c r="AB36" s="12">
        <v>44.219272975538267</v>
      </c>
      <c r="AC36" s="13">
        <v>12563</v>
      </c>
    </row>
    <row r="37" spans="1:29" x14ac:dyDescent="0.3">
      <c r="A37" t="s">
        <v>59</v>
      </c>
      <c r="B37" t="s">
        <v>10</v>
      </c>
      <c r="C37" s="1">
        <v>45766</v>
      </c>
      <c r="D37" t="s">
        <v>22</v>
      </c>
      <c r="E37" t="s">
        <v>52</v>
      </c>
      <c r="F37" s="2">
        <v>20384</v>
      </c>
      <c r="G37" s="2">
        <v>344</v>
      </c>
      <c r="H37" s="2">
        <v>956</v>
      </c>
      <c r="I37" s="2">
        <v>655</v>
      </c>
      <c r="J37" s="2">
        <v>67621</v>
      </c>
      <c r="K37" s="2">
        <v>175720</v>
      </c>
      <c r="L37" s="4">
        <v>0.12340086501252</v>
      </c>
      <c r="M37" t="s">
        <v>13</v>
      </c>
      <c r="W37" s="9">
        <v>45502</v>
      </c>
      <c r="X37" s="10" t="s">
        <v>28</v>
      </c>
      <c r="Y37" s="11">
        <v>6947</v>
      </c>
      <c r="Z37" s="11">
        <v>908</v>
      </c>
      <c r="AA37" s="11">
        <v>306304</v>
      </c>
      <c r="AB37" s="12">
        <v>14.117673944839121</v>
      </c>
      <c r="AC37" s="13">
        <v>46060</v>
      </c>
    </row>
    <row r="38" spans="1:29" x14ac:dyDescent="0.3">
      <c r="A38" t="s">
        <v>60</v>
      </c>
      <c r="B38" t="s">
        <v>6</v>
      </c>
      <c r="C38" s="1">
        <v>45663</v>
      </c>
      <c r="D38" t="s">
        <v>2</v>
      </c>
      <c r="E38" t="s">
        <v>12</v>
      </c>
      <c r="F38" s="2">
        <v>11860</v>
      </c>
      <c r="G38" s="2">
        <v>1448</v>
      </c>
      <c r="H38" s="2">
        <v>893</v>
      </c>
      <c r="I38" s="2">
        <v>490</v>
      </c>
      <c r="J38" s="2">
        <v>23518</v>
      </c>
      <c r="K38" s="2">
        <v>206205</v>
      </c>
      <c r="L38" s="4">
        <v>6.8868359157149395E-2</v>
      </c>
      <c r="M38" t="s">
        <v>4</v>
      </c>
      <c r="W38" s="9">
        <v>45509</v>
      </c>
      <c r="X38" s="10" t="s">
        <v>10</v>
      </c>
      <c r="Y38" s="11">
        <v>3494</v>
      </c>
      <c r="Z38" s="11">
        <v>281</v>
      </c>
      <c r="AA38" s="11">
        <v>309517</v>
      </c>
      <c r="AB38" s="12">
        <v>27.765518533715429</v>
      </c>
      <c r="AC38" s="13">
        <v>39197</v>
      </c>
    </row>
    <row r="39" spans="1:29" x14ac:dyDescent="0.3">
      <c r="A39" t="s">
        <v>61</v>
      </c>
      <c r="B39" t="s">
        <v>10</v>
      </c>
      <c r="C39" s="1">
        <v>45705</v>
      </c>
      <c r="D39" t="s">
        <v>11</v>
      </c>
      <c r="E39" t="s">
        <v>7</v>
      </c>
      <c r="F39" s="2">
        <v>7989</v>
      </c>
      <c r="G39" s="2">
        <v>1206</v>
      </c>
      <c r="H39" s="2">
        <v>376</v>
      </c>
      <c r="I39" s="2">
        <v>2769</v>
      </c>
      <c r="J39" s="2">
        <v>27550</v>
      </c>
      <c r="K39" s="2">
        <v>221749</v>
      </c>
      <c r="L39" s="4">
        <v>4.3161412227338103E-2</v>
      </c>
      <c r="M39" t="s">
        <v>13</v>
      </c>
      <c r="W39" s="9">
        <v>45509</v>
      </c>
      <c r="X39" s="10" t="s">
        <v>28</v>
      </c>
      <c r="Y39" s="11">
        <v>3719</v>
      </c>
      <c r="Z39" s="11">
        <v>222</v>
      </c>
      <c r="AA39" s="11">
        <v>313014</v>
      </c>
      <c r="AB39" s="12">
        <v>21.669318305251519</v>
      </c>
      <c r="AC39" s="13">
        <v>13586</v>
      </c>
    </row>
    <row r="40" spans="1:29" x14ac:dyDescent="0.3">
      <c r="A40" t="s">
        <v>62</v>
      </c>
      <c r="B40" t="s">
        <v>10</v>
      </c>
      <c r="C40" s="1">
        <v>45913</v>
      </c>
      <c r="D40" t="s">
        <v>22</v>
      </c>
      <c r="E40" t="s">
        <v>23</v>
      </c>
      <c r="F40" s="2">
        <v>17106</v>
      </c>
      <c r="G40" s="2">
        <v>702</v>
      </c>
      <c r="H40" s="2">
        <v>459</v>
      </c>
      <c r="I40" s="2">
        <v>999</v>
      </c>
      <c r="J40" s="2">
        <v>59627</v>
      </c>
      <c r="K40" s="2">
        <v>136059</v>
      </c>
      <c r="L40" s="4">
        <v>0.13425793222058099</v>
      </c>
      <c r="M40" t="s">
        <v>8</v>
      </c>
      <c r="W40" s="9">
        <v>45509</v>
      </c>
      <c r="X40" s="10" t="s">
        <v>1</v>
      </c>
      <c r="Y40" s="11">
        <v>2884</v>
      </c>
      <c r="Z40" s="11">
        <v>341</v>
      </c>
      <c r="AA40" s="11">
        <v>315557</v>
      </c>
      <c r="AB40" s="12">
        <v>46.999749649033298</v>
      </c>
      <c r="AC40" s="13">
        <v>26087</v>
      </c>
    </row>
    <row r="41" spans="1:29" x14ac:dyDescent="0.3">
      <c r="A41" t="s">
        <v>63</v>
      </c>
      <c r="B41" t="s">
        <v>1</v>
      </c>
      <c r="C41" s="1">
        <v>45914</v>
      </c>
      <c r="D41" t="s">
        <v>22</v>
      </c>
      <c r="E41" t="s">
        <v>25</v>
      </c>
      <c r="F41" s="2">
        <v>19844</v>
      </c>
      <c r="G41" s="2">
        <v>1020</v>
      </c>
      <c r="H41" s="2">
        <v>247</v>
      </c>
      <c r="I41" s="2">
        <v>2354</v>
      </c>
      <c r="J41" s="2">
        <v>37792</v>
      </c>
      <c r="K41" s="2">
        <v>138317</v>
      </c>
      <c r="L41" s="4">
        <v>0.152627659651381</v>
      </c>
      <c r="M41" t="s">
        <v>8</v>
      </c>
      <c r="W41" s="9">
        <v>45509</v>
      </c>
      <c r="X41" s="10" t="s">
        <v>6</v>
      </c>
      <c r="Y41" s="11">
        <v>5349</v>
      </c>
      <c r="Z41" s="11">
        <v>502</v>
      </c>
      <c r="AA41" s="11">
        <v>320404</v>
      </c>
      <c r="AB41" s="12">
        <v>5.2152906954969351</v>
      </c>
      <c r="AC41" s="13">
        <v>58868</v>
      </c>
    </row>
    <row r="42" spans="1:29" x14ac:dyDescent="0.3">
      <c r="A42" t="s">
        <v>64</v>
      </c>
      <c r="B42" t="s">
        <v>1</v>
      </c>
      <c r="C42" s="1">
        <v>45915</v>
      </c>
      <c r="D42" t="s">
        <v>11</v>
      </c>
      <c r="E42" t="s">
        <v>7</v>
      </c>
      <c r="F42" s="2">
        <v>5636</v>
      </c>
      <c r="G42" s="2">
        <v>303</v>
      </c>
      <c r="H42" s="2">
        <v>204</v>
      </c>
      <c r="I42" s="2">
        <v>2480</v>
      </c>
      <c r="J42" s="2">
        <v>7377</v>
      </c>
      <c r="K42" s="2">
        <v>241207</v>
      </c>
      <c r="L42" s="4">
        <v>2.5467751765081401E-2</v>
      </c>
      <c r="M42" t="s">
        <v>8</v>
      </c>
      <c r="W42" s="9">
        <v>45516</v>
      </c>
      <c r="X42" s="10" t="s">
        <v>28</v>
      </c>
      <c r="Y42" s="11">
        <v>6179</v>
      </c>
      <c r="Z42" s="11">
        <v>384</v>
      </c>
      <c r="AA42" s="11">
        <v>326199</v>
      </c>
      <c r="AB42" s="12">
        <v>14.71218489327067</v>
      </c>
      <c r="AC42" s="13">
        <v>33225</v>
      </c>
    </row>
    <row r="43" spans="1:29" x14ac:dyDescent="0.3">
      <c r="A43" t="s">
        <v>65</v>
      </c>
      <c r="B43" t="s">
        <v>1</v>
      </c>
      <c r="C43" s="1">
        <v>45721</v>
      </c>
      <c r="D43" t="s">
        <v>22</v>
      </c>
      <c r="E43" t="s">
        <v>38</v>
      </c>
      <c r="F43" s="2">
        <v>12916</v>
      </c>
      <c r="G43" s="2">
        <v>1262</v>
      </c>
      <c r="H43" s="2">
        <v>772</v>
      </c>
      <c r="I43" s="2">
        <v>856</v>
      </c>
      <c r="J43" s="2">
        <v>11496</v>
      </c>
      <c r="K43" s="2">
        <v>75046</v>
      </c>
      <c r="L43" s="4">
        <v>0.199211150494363</v>
      </c>
      <c r="M43" t="s">
        <v>13</v>
      </c>
      <c r="W43" s="9">
        <v>45516</v>
      </c>
      <c r="X43" s="10" t="s">
        <v>10</v>
      </c>
      <c r="Y43" s="11">
        <v>7610</v>
      </c>
      <c r="Z43" s="11">
        <v>757</v>
      </c>
      <c r="AA43" s="11">
        <v>333052</v>
      </c>
      <c r="AB43" s="12">
        <v>44.450416151231643</v>
      </c>
      <c r="AC43" s="13">
        <v>39750</v>
      </c>
    </row>
    <row r="44" spans="1:29" x14ac:dyDescent="0.3">
      <c r="A44" t="s">
        <v>66</v>
      </c>
      <c r="B44" t="s">
        <v>28</v>
      </c>
      <c r="C44" s="1">
        <v>45916</v>
      </c>
      <c r="D44" t="s">
        <v>11</v>
      </c>
      <c r="E44" t="s">
        <v>52</v>
      </c>
      <c r="F44" s="2">
        <v>6809</v>
      </c>
      <c r="G44" s="2">
        <v>397</v>
      </c>
      <c r="H44" s="2">
        <v>813</v>
      </c>
      <c r="I44" s="2">
        <v>1125</v>
      </c>
      <c r="J44" s="2">
        <v>12206</v>
      </c>
      <c r="K44" s="2">
        <v>218136</v>
      </c>
      <c r="L44" s="4">
        <v>3.6761469908680802E-2</v>
      </c>
      <c r="M44" t="s">
        <v>8</v>
      </c>
      <c r="W44" s="9">
        <v>45516</v>
      </c>
      <c r="X44" s="10" t="s">
        <v>1</v>
      </c>
      <c r="Y44" s="11">
        <v>7430</v>
      </c>
      <c r="Z44" s="11">
        <v>397</v>
      </c>
      <c r="AA44" s="11">
        <v>340085</v>
      </c>
      <c r="AB44" s="12">
        <v>28.065042562888689</v>
      </c>
      <c r="AC44" s="13">
        <v>16643</v>
      </c>
    </row>
    <row r="45" spans="1:29" x14ac:dyDescent="0.3">
      <c r="A45" t="s">
        <v>67</v>
      </c>
      <c r="B45" t="s">
        <v>6</v>
      </c>
      <c r="C45" s="1">
        <v>45718</v>
      </c>
      <c r="D45" t="s">
        <v>15</v>
      </c>
      <c r="E45" t="s">
        <v>43</v>
      </c>
      <c r="F45" s="2">
        <v>22562</v>
      </c>
      <c r="G45" s="2">
        <v>778</v>
      </c>
      <c r="H45" s="2">
        <v>907</v>
      </c>
      <c r="I45" s="2">
        <v>1354</v>
      </c>
      <c r="J45" s="2">
        <v>34475</v>
      </c>
      <c r="K45" s="2">
        <v>141459</v>
      </c>
      <c r="L45" s="4">
        <v>0.171406555963212</v>
      </c>
      <c r="M45" t="s">
        <v>17</v>
      </c>
      <c r="W45" s="9">
        <v>45516</v>
      </c>
      <c r="X45" s="10" t="s">
        <v>28</v>
      </c>
      <c r="Y45" s="11">
        <v>8154</v>
      </c>
      <c r="Z45" s="11">
        <v>1149</v>
      </c>
      <c r="AA45" s="11">
        <v>347090</v>
      </c>
      <c r="AB45" s="12">
        <v>26.003918292085629</v>
      </c>
      <c r="AC45" s="13">
        <v>37523</v>
      </c>
    </row>
    <row r="46" spans="1:29" x14ac:dyDescent="0.3">
      <c r="A46" t="s">
        <v>68</v>
      </c>
      <c r="B46" t="s">
        <v>6</v>
      </c>
      <c r="C46" s="1">
        <v>45917</v>
      </c>
      <c r="D46" t="s">
        <v>11</v>
      </c>
      <c r="E46" t="s">
        <v>23</v>
      </c>
      <c r="F46" s="2">
        <v>15456</v>
      </c>
      <c r="G46" s="2">
        <v>590</v>
      </c>
      <c r="H46" s="2">
        <v>555</v>
      </c>
      <c r="I46" s="2">
        <v>2882</v>
      </c>
      <c r="J46" s="2">
        <v>49816</v>
      </c>
      <c r="K46" s="2">
        <v>240422</v>
      </c>
      <c r="L46" s="4">
        <v>6.9049421433978603E-2</v>
      </c>
      <c r="M46" t="s">
        <v>8</v>
      </c>
      <c r="W46" s="9">
        <v>45523</v>
      </c>
      <c r="X46" s="10" t="s">
        <v>10</v>
      </c>
      <c r="Y46" s="11">
        <v>7488</v>
      </c>
      <c r="Z46" s="11">
        <v>568</v>
      </c>
      <c r="AA46" s="11">
        <v>354010</v>
      </c>
      <c r="AB46" s="12">
        <v>13.47730290104799</v>
      </c>
      <c r="AC46" s="13">
        <v>46727</v>
      </c>
    </row>
    <row r="47" spans="1:29" x14ac:dyDescent="0.3">
      <c r="A47" t="s">
        <v>69</v>
      </c>
      <c r="B47" t="s">
        <v>6</v>
      </c>
      <c r="C47" s="1">
        <v>45779</v>
      </c>
      <c r="D47" t="s">
        <v>11</v>
      </c>
      <c r="E47" t="s">
        <v>38</v>
      </c>
      <c r="F47" s="2">
        <v>17444</v>
      </c>
      <c r="G47" s="2">
        <v>1402</v>
      </c>
      <c r="H47" s="2">
        <v>218</v>
      </c>
      <c r="I47" s="2">
        <v>725</v>
      </c>
      <c r="J47" s="2">
        <v>8710</v>
      </c>
      <c r="K47" s="2">
        <v>85893</v>
      </c>
      <c r="L47" s="4">
        <v>0.221950566402384</v>
      </c>
      <c r="M47" t="s">
        <v>33</v>
      </c>
      <c r="W47" s="9">
        <v>45523</v>
      </c>
      <c r="X47" s="10" t="s">
        <v>1</v>
      </c>
      <c r="Y47" s="11">
        <v>5737</v>
      </c>
      <c r="Z47" s="11">
        <v>666</v>
      </c>
      <c r="AA47" s="11">
        <v>359081</v>
      </c>
      <c r="AB47" s="12">
        <v>4.6034181702735593</v>
      </c>
      <c r="AC47" s="13">
        <v>21005</v>
      </c>
    </row>
    <row r="48" spans="1:29" x14ac:dyDescent="0.3">
      <c r="A48" t="s">
        <v>70</v>
      </c>
      <c r="B48" t="s">
        <v>6</v>
      </c>
      <c r="C48" s="1">
        <v>45712</v>
      </c>
      <c r="D48" t="s">
        <v>11</v>
      </c>
      <c r="E48" t="s">
        <v>29</v>
      </c>
      <c r="F48" s="2">
        <v>24984</v>
      </c>
      <c r="G48" s="2">
        <v>753</v>
      </c>
      <c r="H48" s="2">
        <v>461</v>
      </c>
      <c r="I48" s="2">
        <v>2710</v>
      </c>
      <c r="J48" s="2">
        <v>20792</v>
      </c>
      <c r="K48" s="2">
        <v>141520</v>
      </c>
      <c r="L48" s="4">
        <v>0.18511871113623499</v>
      </c>
      <c r="M48" t="s">
        <v>13</v>
      </c>
      <c r="W48" s="9">
        <v>45523</v>
      </c>
      <c r="X48" s="10" t="s">
        <v>10</v>
      </c>
      <c r="Y48" s="11">
        <v>7525</v>
      </c>
      <c r="Z48" s="11">
        <v>610</v>
      </c>
      <c r="AA48" s="11">
        <v>365996</v>
      </c>
      <c r="AB48" s="12">
        <v>5.7694619613329108</v>
      </c>
      <c r="AC48" s="13">
        <v>53543</v>
      </c>
    </row>
    <row r="49" spans="1:29" x14ac:dyDescent="0.3">
      <c r="A49" t="s">
        <v>71</v>
      </c>
      <c r="B49" t="s">
        <v>1</v>
      </c>
      <c r="C49" s="1">
        <v>45727</v>
      </c>
      <c r="D49" t="s">
        <v>22</v>
      </c>
      <c r="E49" t="s">
        <v>3</v>
      </c>
      <c r="F49" s="2">
        <v>7997</v>
      </c>
      <c r="G49" s="2">
        <v>1238</v>
      </c>
      <c r="H49" s="2">
        <v>438</v>
      </c>
      <c r="I49" s="2">
        <v>1874</v>
      </c>
      <c r="J49" s="2">
        <v>36272</v>
      </c>
      <c r="K49" s="2">
        <v>165818</v>
      </c>
      <c r="L49" s="4">
        <v>5.8335042034037297E-2</v>
      </c>
      <c r="M49" t="s">
        <v>33</v>
      </c>
      <c r="W49" s="9">
        <v>45523</v>
      </c>
      <c r="X49" s="10" t="s">
        <v>1</v>
      </c>
      <c r="Y49" s="11">
        <v>4850</v>
      </c>
      <c r="Z49" s="11">
        <v>494</v>
      </c>
      <c r="AA49" s="11">
        <v>370352</v>
      </c>
      <c r="AB49" s="12">
        <v>20.46539508359615</v>
      </c>
      <c r="AC49" s="13">
        <v>10161</v>
      </c>
    </row>
    <row r="50" spans="1:29" x14ac:dyDescent="0.3">
      <c r="A50" t="s">
        <v>72</v>
      </c>
      <c r="B50" t="s">
        <v>28</v>
      </c>
      <c r="C50" s="1">
        <v>45918</v>
      </c>
      <c r="D50" t="s">
        <v>22</v>
      </c>
      <c r="E50" t="s">
        <v>38</v>
      </c>
      <c r="F50" s="2">
        <v>4048</v>
      </c>
      <c r="G50" s="2">
        <v>677</v>
      </c>
      <c r="H50" s="2">
        <v>911</v>
      </c>
      <c r="I50" s="2">
        <v>2429</v>
      </c>
      <c r="J50" s="2">
        <v>27361</v>
      </c>
      <c r="K50" s="2">
        <v>101272</v>
      </c>
      <c r="L50" s="4">
        <v>5.5652105221581503E-2</v>
      </c>
      <c r="M50" t="s">
        <v>8</v>
      </c>
      <c r="W50" s="9">
        <v>45530</v>
      </c>
      <c r="X50" s="10" t="s">
        <v>6</v>
      </c>
      <c r="Y50" s="11">
        <v>1689</v>
      </c>
      <c r="Z50" s="11">
        <v>176</v>
      </c>
      <c r="AA50" s="11">
        <v>371865</v>
      </c>
      <c r="AB50" s="12">
        <v>38.012181840183942</v>
      </c>
      <c r="AC50" s="13">
        <v>26029</v>
      </c>
    </row>
    <row r="51" spans="1:29" x14ac:dyDescent="0.3">
      <c r="A51" t="s">
        <v>73</v>
      </c>
      <c r="B51" t="s">
        <v>28</v>
      </c>
      <c r="C51" s="1">
        <v>45476</v>
      </c>
      <c r="D51" t="s">
        <v>11</v>
      </c>
      <c r="E51" t="s">
        <v>23</v>
      </c>
      <c r="F51" s="2">
        <v>14338</v>
      </c>
      <c r="G51" s="2">
        <v>1454</v>
      </c>
      <c r="H51" s="2">
        <v>697</v>
      </c>
      <c r="I51" s="2">
        <v>2703</v>
      </c>
      <c r="J51" s="2">
        <v>21288</v>
      </c>
      <c r="K51" s="2">
        <v>107649</v>
      </c>
      <c r="L51" s="4">
        <v>0.15317374058281999</v>
      </c>
      <c r="M51" t="s">
        <v>17</v>
      </c>
      <c r="W51" s="9">
        <v>45530</v>
      </c>
      <c r="X51" s="10" t="s">
        <v>28</v>
      </c>
      <c r="Y51" s="11">
        <v>6175</v>
      </c>
      <c r="Z51" s="11">
        <v>422</v>
      </c>
      <c r="AA51" s="11">
        <v>377618</v>
      </c>
      <c r="AB51" s="12">
        <v>37.86101298137271</v>
      </c>
      <c r="AC51" s="13">
        <v>59745</v>
      </c>
    </row>
    <row r="52" spans="1:29" x14ac:dyDescent="0.3">
      <c r="A52" t="s">
        <v>74</v>
      </c>
      <c r="B52" t="s">
        <v>1</v>
      </c>
      <c r="C52" s="1">
        <v>45456</v>
      </c>
      <c r="D52" t="s">
        <v>22</v>
      </c>
      <c r="E52" t="s">
        <v>25</v>
      </c>
      <c r="F52" s="2">
        <v>23164</v>
      </c>
      <c r="G52" s="2">
        <v>1122</v>
      </c>
      <c r="H52" s="2">
        <v>900</v>
      </c>
      <c r="I52" s="2">
        <v>888</v>
      </c>
      <c r="J52" s="2">
        <v>36938</v>
      </c>
      <c r="K52" s="2">
        <v>104674</v>
      </c>
      <c r="L52" s="4">
        <v>0.240613714962646</v>
      </c>
      <c r="M52" t="s">
        <v>4</v>
      </c>
      <c r="W52" s="9">
        <v>45530</v>
      </c>
      <c r="X52" s="10" t="s">
        <v>10</v>
      </c>
      <c r="Y52" s="11">
        <v>9648</v>
      </c>
      <c r="Z52" s="11">
        <v>1417</v>
      </c>
      <c r="AA52" s="11">
        <v>385849</v>
      </c>
      <c r="AB52" s="12">
        <v>3.6633501706626168</v>
      </c>
      <c r="AC52" s="13">
        <v>24226</v>
      </c>
    </row>
    <row r="53" spans="1:29" x14ac:dyDescent="0.3">
      <c r="A53" t="s">
        <v>75</v>
      </c>
      <c r="B53" t="s">
        <v>28</v>
      </c>
      <c r="C53" s="1">
        <v>45919</v>
      </c>
      <c r="D53" t="s">
        <v>2</v>
      </c>
      <c r="E53" t="s">
        <v>25</v>
      </c>
      <c r="F53" s="2">
        <v>19100</v>
      </c>
      <c r="G53" s="2">
        <v>619</v>
      </c>
      <c r="H53" s="2">
        <v>297</v>
      </c>
      <c r="I53" s="2">
        <v>2312</v>
      </c>
      <c r="J53" s="2">
        <v>9730</v>
      </c>
      <c r="K53" s="2">
        <v>184832</v>
      </c>
      <c r="L53" s="4">
        <v>0.108292936288089</v>
      </c>
      <c r="M53" t="s">
        <v>8</v>
      </c>
      <c r="W53" s="9">
        <v>45530</v>
      </c>
      <c r="X53" s="10" t="s">
        <v>1</v>
      </c>
      <c r="Y53" s="11">
        <v>6078</v>
      </c>
      <c r="Z53" s="11">
        <v>775</v>
      </c>
      <c r="AA53" s="11">
        <v>391152</v>
      </c>
      <c r="AB53" s="12">
        <v>37.760512537325639</v>
      </c>
      <c r="AC53" s="13">
        <v>38731</v>
      </c>
    </row>
    <row r="54" spans="1:29" x14ac:dyDescent="0.3">
      <c r="A54" t="s">
        <v>76</v>
      </c>
      <c r="B54" t="s">
        <v>1</v>
      </c>
      <c r="C54" s="1">
        <v>45712</v>
      </c>
      <c r="D54" t="s">
        <v>2</v>
      </c>
      <c r="E54" t="s">
        <v>38</v>
      </c>
      <c r="F54" s="2">
        <v>23949</v>
      </c>
      <c r="G54" s="2">
        <v>356</v>
      </c>
      <c r="H54" s="2">
        <v>616</v>
      </c>
      <c r="I54" s="2">
        <v>1847</v>
      </c>
      <c r="J54" s="2">
        <v>3144</v>
      </c>
      <c r="K54" s="2">
        <v>192999</v>
      </c>
      <c r="L54" s="4">
        <v>0.129125021373168</v>
      </c>
      <c r="M54" t="s">
        <v>17</v>
      </c>
      <c r="W54" s="9">
        <v>45537</v>
      </c>
      <c r="X54" s="10" t="s">
        <v>10</v>
      </c>
      <c r="Y54" s="11">
        <v>6448</v>
      </c>
      <c r="Z54" s="11">
        <v>928</v>
      </c>
      <c r="AA54" s="11">
        <v>396672</v>
      </c>
      <c r="AB54" s="12">
        <v>30.118586640851881</v>
      </c>
      <c r="AC54" s="13">
        <v>53922</v>
      </c>
    </row>
    <row r="55" spans="1:29" x14ac:dyDescent="0.3">
      <c r="A55" t="s">
        <v>77</v>
      </c>
      <c r="B55" t="s">
        <v>6</v>
      </c>
      <c r="C55" s="1">
        <v>45729</v>
      </c>
      <c r="D55" t="s">
        <v>22</v>
      </c>
      <c r="E55" t="s">
        <v>12</v>
      </c>
      <c r="F55" s="2">
        <v>6544</v>
      </c>
      <c r="G55" s="2">
        <v>749</v>
      </c>
      <c r="H55" s="2">
        <v>888</v>
      </c>
      <c r="I55" s="2">
        <v>594</v>
      </c>
      <c r="J55" s="2">
        <v>18171</v>
      </c>
      <c r="K55" s="2">
        <v>126475</v>
      </c>
      <c r="L55" s="4">
        <v>6.4684720300454607E-2</v>
      </c>
      <c r="M55" t="s">
        <v>13</v>
      </c>
      <c r="W55" s="9">
        <v>45537</v>
      </c>
      <c r="X55" s="10" t="s">
        <v>10</v>
      </c>
      <c r="Y55" s="11">
        <v>2179</v>
      </c>
      <c r="Z55" s="11">
        <v>303</v>
      </c>
      <c r="AA55" s="11">
        <v>398548</v>
      </c>
      <c r="AB55" s="12">
        <v>33.909842729106657</v>
      </c>
      <c r="AC55" s="13">
        <v>54848</v>
      </c>
    </row>
    <row r="56" spans="1:29" x14ac:dyDescent="0.3">
      <c r="A56" t="s">
        <v>78</v>
      </c>
      <c r="B56" t="s">
        <v>1</v>
      </c>
      <c r="C56" s="1">
        <v>45460</v>
      </c>
      <c r="D56" t="s">
        <v>22</v>
      </c>
      <c r="E56" t="s">
        <v>3</v>
      </c>
      <c r="F56" s="2">
        <v>6976</v>
      </c>
      <c r="G56" s="2">
        <v>1320</v>
      </c>
      <c r="H56" s="2">
        <v>393</v>
      </c>
      <c r="I56" s="2">
        <v>2285</v>
      </c>
      <c r="J56" s="2">
        <v>14049</v>
      </c>
      <c r="K56" s="2">
        <v>101367</v>
      </c>
      <c r="L56" s="4">
        <v>8.57182317716811E-2</v>
      </c>
      <c r="M56" t="s">
        <v>33</v>
      </c>
      <c r="W56" s="9">
        <v>45537</v>
      </c>
      <c r="X56" s="10" t="s">
        <v>28</v>
      </c>
      <c r="Y56" s="11">
        <v>7406</v>
      </c>
      <c r="Z56" s="11">
        <v>813</v>
      </c>
      <c r="AA56" s="11">
        <v>405141</v>
      </c>
      <c r="AB56" s="12">
        <v>24.457411123534769</v>
      </c>
      <c r="AC56" s="13">
        <v>13390</v>
      </c>
    </row>
    <row r="57" spans="1:29" x14ac:dyDescent="0.3">
      <c r="A57" t="s">
        <v>79</v>
      </c>
      <c r="B57" t="s">
        <v>6</v>
      </c>
      <c r="C57" s="1">
        <v>45644</v>
      </c>
      <c r="D57" t="s">
        <v>11</v>
      </c>
      <c r="E57" t="s">
        <v>29</v>
      </c>
      <c r="F57" s="2">
        <v>14775</v>
      </c>
      <c r="G57" s="2">
        <v>1220</v>
      </c>
      <c r="H57" s="2">
        <v>640</v>
      </c>
      <c r="I57" s="2">
        <v>1547</v>
      </c>
      <c r="J57" s="2">
        <v>28527</v>
      </c>
      <c r="K57" s="2">
        <v>183660</v>
      </c>
      <c r="L57" s="4">
        <v>9.0574975498203203E-2</v>
      </c>
      <c r="M57" t="s">
        <v>33</v>
      </c>
      <c r="W57" s="9">
        <v>45537</v>
      </c>
      <c r="X57" s="10" t="s">
        <v>6</v>
      </c>
      <c r="Y57" s="11">
        <v>9591</v>
      </c>
      <c r="Z57" s="11">
        <v>1363</v>
      </c>
      <c r="AA57" s="11">
        <v>413369</v>
      </c>
      <c r="AB57" s="12">
        <v>10.494255737609739</v>
      </c>
      <c r="AC57" s="13">
        <v>15997</v>
      </c>
    </row>
    <row r="58" spans="1:29" x14ac:dyDescent="0.3">
      <c r="A58" t="s">
        <v>80</v>
      </c>
      <c r="B58" t="s">
        <v>6</v>
      </c>
      <c r="C58" s="1">
        <v>45586</v>
      </c>
      <c r="D58" t="s">
        <v>15</v>
      </c>
      <c r="E58" t="s">
        <v>38</v>
      </c>
      <c r="F58" s="2">
        <v>12015</v>
      </c>
      <c r="G58" s="2">
        <v>1196</v>
      </c>
      <c r="H58" s="2">
        <v>998</v>
      </c>
      <c r="I58" s="2">
        <v>1848</v>
      </c>
      <c r="J58" s="2">
        <v>44739</v>
      </c>
      <c r="K58" s="2">
        <v>161750</v>
      </c>
      <c r="L58" s="4">
        <v>8.7845440494590393E-2</v>
      </c>
      <c r="M58" t="s">
        <v>33</v>
      </c>
      <c r="W58" s="9">
        <v>45544</v>
      </c>
      <c r="X58" s="10" t="s">
        <v>10</v>
      </c>
      <c r="Y58" s="11">
        <v>7907</v>
      </c>
      <c r="Z58" s="11">
        <v>465</v>
      </c>
      <c r="AA58" s="11">
        <v>420811</v>
      </c>
      <c r="AB58" s="12">
        <v>33.257448118038738</v>
      </c>
      <c r="AC58" s="13">
        <v>22693</v>
      </c>
    </row>
    <row r="59" spans="1:29" x14ac:dyDescent="0.3">
      <c r="A59" t="s">
        <v>81</v>
      </c>
      <c r="B59" t="s">
        <v>10</v>
      </c>
      <c r="C59" s="1">
        <v>45762</v>
      </c>
      <c r="D59" t="s">
        <v>22</v>
      </c>
      <c r="E59" t="s">
        <v>12</v>
      </c>
      <c r="F59" s="2">
        <v>5419</v>
      </c>
      <c r="G59" s="2">
        <v>1150</v>
      </c>
      <c r="H59" s="2">
        <v>656</v>
      </c>
      <c r="I59" s="2">
        <v>1990</v>
      </c>
      <c r="J59" s="2">
        <v>410</v>
      </c>
      <c r="K59" s="2">
        <v>158154</v>
      </c>
      <c r="L59" s="4">
        <v>4.56833213197263E-2</v>
      </c>
      <c r="M59" t="s">
        <v>13</v>
      </c>
      <c r="W59" s="9">
        <v>45544</v>
      </c>
      <c r="X59" s="10" t="s">
        <v>1</v>
      </c>
      <c r="Y59" s="11">
        <v>9800</v>
      </c>
      <c r="Z59" s="11">
        <v>682</v>
      </c>
      <c r="AA59" s="11">
        <v>429929</v>
      </c>
      <c r="AB59" s="12">
        <v>6.2966210699906267</v>
      </c>
      <c r="AC59" s="13">
        <v>59815</v>
      </c>
    </row>
    <row r="60" spans="1:29" x14ac:dyDescent="0.3">
      <c r="A60" t="s">
        <v>82</v>
      </c>
      <c r="B60" t="s">
        <v>1</v>
      </c>
      <c r="C60" s="1">
        <v>45465</v>
      </c>
      <c r="D60" t="s">
        <v>2</v>
      </c>
      <c r="E60" t="s">
        <v>25</v>
      </c>
      <c r="F60" s="2">
        <v>16430</v>
      </c>
      <c r="G60" s="2">
        <v>488</v>
      </c>
      <c r="H60" s="2">
        <v>514</v>
      </c>
      <c r="I60" s="2">
        <v>1436</v>
      </c>
      <c r="J60" s="2">
        <v>30059</v>
      </c>
      <c r="K60" s="2">
        <v>223305</v>
      </c>
      <c r="L60" s="4">
        <v>7.8063634938760895E-2</v>
      </c>
      <c r="M60" t="s">
        <v>17</v>
      </c>
      <c r="W60" s="9">
        <v>45544</v>
      </c>
      <c r="X60" s="10" t="s">
        <v>1</v>
      </c>
      <c r="Y60" s="11">
        <v>2638</v>
      </c>
      <c r="Z60" s="11">
        <v>143</v>
      </c>
      <c r="AA60" s="11">
        <v>432424</v>
      </c>
      <c r="AB60" s="12">
        <v>6.9547481175882924</v>
      </c>
      <c r="AC60" s="13">
        <v>52092</v>
      </c>
    </row>
    <row r="61" spans="1:29" x14ac:dyDescent="0.3">
      <c r="A61" t="s">
        <v>83</v>
      </c>
      <c r="B61" t="s">
        <v>10</v>
      </c>
      <c r="C61" s="1">
        <v>45685</v>
      </c>
      <c r="D61" t="s">
        <v>11</v>
      </c>
      <c r="E61" t="s">
        <v>25</v>
      </c>
      <c r="F61" s="2">
        <v>9239</v>
      </c>
      <c r="G61" s="2">
        <v>1477</v>
      </c>
      <c r="H61" s="2">
        <v>631</v>
      </c>
      <c r="I61" s="2">
        <v>1556</v>
      </c>
      <c r="J61" s="2">
        <v>11580</v>
      </c>
      <c r="K61" s="2">
        <v>84738</v>
      </c>
      <c r="L61" s="4">
        <v>0.13390686586891401</v>
      </c>
      <c r="M61" t="s">
        <v>13</v>
      </c>
      <c r="W61" s="9">
        <v>45544</v>
      </c>
      <c r="X61" s="10" t="s">
        <v>6</v>
      </c>
      <c r="Y61" s="11">
        <v>6671</v>
      </c>
      <c r="Z61" s="11">
        <v>550</v>
      </c>
      <c r="AA61" s="11">
        <v>438545</v>
      </c>
      <c r="AB61" s="12">
        <v>17.750287883797562</v>
      </c>
      <c r="AC61" s="13">
        <v>10541</v>
      </c>
    </row>
    <row r="62" spans="1:29" x14ac:dyDescent="0.3">
      <c r="A62" t="s">
        <v>84</v>
      </c>
      <c r="B62" t="s">
        <v>1</v>
      </c>
      <c r="C62" s="1">
        <v>45540</v>
      </c>
      <c r="D62" t="s">
        <v>22</v>
      </c>
      <c r="E62" t="s">
        <v>52</v>
      </c>
      <c r="F62" s="2">
        <v>16489</v>
      </c>
      <c r="G62" s="2">
        <v>395</v>
      </c>
      <c r="H62" s="2">
        <v>350</v>
      </c>
      <c r="I62" s="2">
        <v>2364</v>
      </c>
      <c r="J62" s="2">
        <v>43239</v>
      </c>
      <c r="K62" s="2">
        <v>73397</v>
      </c>
      <c r="L62" s="4">
        <v>0.234805237271278</v>
      </c>
      <c r="M62" t="s">
        <v>33</v>
      </c>
      <c r="W62" s="9">
        <v>45551</v>
      </c>
      <c r="X62" s="10" t="s">
        <v>1</v>
      </c>
      <c r="Y62" s="11">
        <v>7928</v>
      </c>
      <c r="Z62" s="11">
        <v>704</v>
      </c>
      <c r="AA62" s="11">
        <v>445769</v>
      </c>
      <c r="AB62" s="12">
        <v>11.194362999670229</v>
      </c>
      <c r="AC62" s="13">
        <v>31817</v>
      </c>
    </row>
    <row r="63" spans="1:29" x14ac:dyDescent="0.3">
      <c r="A63" t="s">
        <v>85</v>
      </c>
      <c r="B63" t="s">
        <v>1</v>
      </c>
      <c r="C63" s="1">
        <v>45920</v>
      </c>
      <c r="D63" t="s">
        <v>2</v>
      </c>
      <c r="E63" t="s">
        <v>38</v>
      </c>
      <c r="F63" s="2">
        <v>18633</v>
      </c>
      <c r="G63" s="2">
        <v>797</v>
      </c>
      <c r="H63" s="2">
        <v>303</v>
      </c>
      <c r="I63" s="2">
        <v>659</v>
      </c>
      <c r="J63" s="2">
        <v>7</v>
      </c>
      <c r="K63" s="2">
        <v>122189</v>
      </c>
      <c r="L63" s="4">
        <v>0.161495715653619</v>
      </c>
      <c r="M63" t="s">
        <v>8</v>
      </c>
      <c r="W63" s="9">
        <v>45551</v>
      </c>
      <c r="X63" s="10" t="s">
        <v>6</v>
      </c>
      <c r="Y63" s="11">
        <v>2382</v>
      </c>
      <c r="Z63" s="11">
        <v>183</v>
      </c>
      <c r="AA63" s="11">
        <v>447968</v>
      </c>
      <c r="AB63" s="12">
        <v>4.7335970426459033</v>
      </c>
      <c r="AC63" s="13">
        <v>47861</v>
      </c>
    </row>
    <row r="64" spans="1:29" x14ac:dyDescent="0.3">
      <c r="A64" t="s">
        <v>86</v>
      </c>
      <c r="B64" t="s">
        <v>10</v>
      </c>
      <c r="C64" s="1">
        <v>45504</v>
      </c>
      <c r="D64" t="s">
        <v>2</v>
      </c>
      <c r="E64" t="s">
        <v>3</v>
      </c>
      <c r="F64" s="2">
        <v>12357</v>
      </c>
      <c r="G64" s="2">
        <v>716</v>
      </c>
      <c r="H64" s="2">
        <v>599</v>
      </c>
      <c r="I64" s="2">
        <v>999</v>
      </c>
      <c r="J64" s="2">
        <v>89591</v>
      </c>
      <c r="K64" s="2">
        <v>116367</v>
      </c>
      <c r="L64" s="4">
        <v>0.117490353794461</v>
      </c>
      <c r="M64" t="s">
        <v>4</v>
      </c>
      <c r="W64" s="9">
        <v>45551</v>
      </c>
      <c r="X64" s="10" t="s">
        <v>1</v>
      </c>
      <c r="Y64" s="11">
        <v>2403</v>
      </c>
      <c r="Z64" s="11">
        <v>319</v>
      </c>
      <c r="AA64" s="11">
        <v>450052</v>
      </c>
      <c r="AB64" s="12">
        <v>29.92120910472568</v>
      </c>
      <c r="AC64" s="13">
        <v>23428</v>
      </c>
    </row>
    <row r="65" spans="1:29" x14ac:dyDescent="0.3">
      <c r="A65" t="s">
        <v>87</v>
      </c>
      <c r="B65" t="s">
        <v>10</v>
      </c>
      <c r="C65" s="1">
        <v>45521</v>
      </c>
      <c r="D65" t="s">
        <v>15</v>
      </c>
      <c r="E65" t="s">
        <v>20</v>
      </c>
      <c r="F65" s="2">
        <v>19154</v>
      </c>
      <c r="G65" s="2">
        <v>1064</v>
      </c>
      <c r="H65" s="2">
        <v>650</v>
      </c>
      <c r="I65" s="2">
        <v>747</v>
      </c>
      <c r="J65" s="2">
        <v>42667</v>
      </c>
      <c r="K65" s="2">
        <v>242332</v>
      </c>
      <c r="L65" s="4">
        <v>8.6113266097750205E-2</v>
      </c>
      <c r="M65" t="s">
        <v>13</v>
      </c>
      <c r="W65" s="9">
        <v>45551</v>
      </c>
      <c r="X65" s="10" t="s">
        <v>28</v>
      </c>
      <c r="Y65" s="11">
        <v>4292</v>
      </c>
      <c r="Z65" s="11">
        <v>367</v>
      </c>
      <c r="AA65" s="11">
        <v>453977</v>
      </c>
      <c r="AB65" s="12">
        <v>3.5037017293827661</v>
      </c>
      <c r="AC65" s="13">
        <v>53934</v>
      </c>
    </row>
    <row r="66" spans="1:29" x14ac:dyDescent="0.3">
      <c r="A66" t="s">
        <v>88</v>
      </c>
      <c r="B66" t="s">
        <v>1</v>
      </c>
      <c r="C66" s="1">
        <v>45744</v>
      </c>
      <c r="D66" t="s">
        <v>11</v>
      </c>
      <c r="E66" t="s">
        <v>3</v>
      </c>
      <c r="F66" s="2">
        <v>6363</v>
      </c>
      <c r="G66" s="2">
        <v>1341</v>
      </c>
      <c r="H66" s="2">
        <v>222</v>
      </c>
      <c r="I66" s="2">
        <v>2712</v>
      </c>
      <c r="J66" s="2">
        <v>19987</v>
      </c>
      <c r="K66" s="2">
        <v>160585</v>
      </c>
      <c r="L66" s="4">
        <v>4.9357038328610998E-2</v>
      </c>
      <c r="M66" t="s">
        <v>13</v>
      </c>
      <c r="W66" s="9">
        <v>45558</v>
      </c>
      <c r="X66" s="10" t="s">
        <v>10</v>
      </c>
      <c r="Y66" s="11">
        <v>1419</v>
      </c>
      <c r="Z66" s="11">
        <v>110</v>
      </c>
      <c r="AA66" s="11">
        <v>455286</v>
      </c>
      <c r="AB66" s="12">
        <v>31.554451487636339</v>
      </c>
      <c r="AC66" s="13">
        <v>58831</v>
      </c>
    </row>
    <row r="67" spans="1:29" x14ac:dyDescent="0.3">
      <c r="A67" t="s">
        <v>89</v>
      </c>
      <c r="B67" t="s">
        <v>28</v>
      </c>
      <c r="C67" s="1">
        <v>45499</v>
      </c>
      <c r="D67" t="s">
        <v>11</v>
      </c>
      <c r="E67" t="s">
        <v>25</v>
      </c>
      <c r="F67" s="2">
        <v>12176</v>
      </c>
      <c r="G67" s="2">
        <v>1005</v>
      </c>
      <c r="H67" s="2">
        <v>862</v>
      </c>
      <c r="I67" s="2">
        <v>974</v>
      </c>
      <c r="J67" s="2">
        <v>2285</v>
      </c>
      <c r="K67" s="2">
        <v>116619</v>
      </c>
      <c r="L67" s="4">
        <v>0.12041777068916699</v>
      </c>
      <c r="M67" t="s">
        <v>17</v>
      </c>
      <c r="W67" s="9">
        <v>45558</v>
      </c>
      <c r="X67" s="10" t="s">
        <v>28</v>
      </c>
      <c r="Y67" s="11">
        <v>5517</v>
      </c>
      <c r="Z67" s="11">
        <v>575</v>
      </c>
      <c r="AA67" s="11">
        <v>460228</v>
      </c>
      <c r="AB67" s="12">
        <v>29.45844233727631</v>
      </c>
      <c r="AC67" s="13">
        <v>20258</v>
      </c>
    </row>
    <row r="68" spans="1:29" x14ac:dyDescent="0.3">
      <c r="A68" t="s">
        <v>90</v>
      </c>
      <c r="B68" t="s">
        <v>6</v>
      </c>
      <c r="C68" s="1">
        <v>45745</v>
      </c>
      <c r="D68" t="s">
        <v>15</v>
      </c>
      <c r="E68" t="s">
        <v>25</v>
      </c>
      <c r="F68" s="2">
        <v>19461</v>
      </c>
      <c r="G68" s="2">
        <v>1382</v>
      </c>
      <c r="H68" s="2">
        <v>445</v>
      </c>
      <c r="I68" s="2">
        <v>1307</v>
      </c>
      <c r="J68" s="2">
        <v>84691</v>
      </c>
      <c r="K68" s="2">
        <v>151453</v>
      </c>
      <c r="L68" s="4">
        <v>0.14055845707909401</v>
      </c>
      <c r="M68" t="s">
        <v>17</v>
      </c>
      <c r="W68" s="9">
        <v>45558</v>
      </c>
      <c r="X68" s="10" t="s">
        <v>10</v>
      </c>
      <c r="Y68" s="11">
        <v>4302</v>
      </c>
      <c r="Z68" s="11">
        <v>275</v>
      </c>
      <c r="AA68" s="11">
        <v>464255</v>
      </c>
      <c r="AB68" s="12">
        <v>15.72131694865968</v>
      </c>
      <c r="AC68" s="13">
        <v>26044</v>
      </c>
    </row>
    <row r="69" spans="1:29" x14ac:dyDescent="0.3">
      <c r="A69" t="s">
        <v>91</v>
      </c>
      <c r="B69" t="s">
        <v>10</v>
      </c>
      <c r="C69" s="1">
        <v>45634</v>
      </c>
      <c r="D69" t="s">
        <v>15</v>
      </c>
      <c r="E69" t="s">
        <v>7</v>
      </c>
      <c r="F69" s="2">
        <v>10427</v>
      </c>
      <c r="G69" s="2">
        <v>1014</v>
      </c>
      <c r="H69" s="2">
        <v>166</v>
      </c>
      <c r="I69" s="2">
        <v>1649</v>
      </c>
      <c r="J69" s="2">
        <v>15145</v>
      </c>
      <c r="K69" s="2">
        <v>59816</v>
      </c>
      <c r="L69" s="4">
        <v>0.19404507155276199</v>
      </c>
      <c r="M69" t="s">
        <v>13</v>
      </c>
      <c r="W69" s="9">
        <v>45558</v>
      </c>
      <c r="X69" s="10" t="s">
        <v>10</v>
      </c>
      <c r="Y69" s="11">
        <v>8857</v>
      </c>
      <c r="Z69" s="11">
        <v>1153</v>
      </c>
      <c r="AA69" s="11">
        <v>471959</v>
      </c>
      <c r="AB69" s="12">
        <v>19.214592793018038</v>
      </c>
      <c r="AC69" s="13">
        <v>39411</v>
      </c>
    </row>
    <row r="70" spans="1:29" x14ac:dyDescent="0.3">
      <c r="A70" t="s">
        <v>92</v>
      </c>
      <c r="B70" t="s">
        <v>6</v>
      </c>
      <c r="C70" s="1">
        <v>45724</v>
      </c>
      <c r="D70" t="s">
        <v>11</v>
      </c>
      <c r="E70" t="s">
        <v>25</v>
      </c>
      <c r="F70" s="2">
        <v>10580</v>
      </c>
      <c r="G70" s="2">
        <v>427</v>
      </c>
      <c r="H70" s="2">
        <v>790</v>
      </c>
      <c r="I70" s="2">
        <v>2814</v>
      </c>
      <c r="J70" s="2">
        <v>24916</v>
      </c>
      <c r="K70" s="2">
        <v>213312</v>
      </c>
      <c r="L70" s="4">
        <v>5.5303967896789701E-2</v>
      </c>
      <c r="M70" t="s">
        <v>33</v>
      </c>
      <c r="W70" s="9">
        <v>45565</v>
      </c>
      <c r="X70" s="10" t="s">
        <v>10</v>
      </c>
      <c r="Y70" s="11">
        <v>8870</v>
      </c>
      <c r="Z70" s="11">
        <v>509</v>
      </c>
      <c r="AA70" s="11">
        <v>480320</v>
      </c>
      <c r="AB70" s="12">
        <v>25.077864756828781</v>
      </c>
      <c r="AC70" s="13">
        <v>15469</v>
      </c>
    </row>
    <row r="71" spans="1:29" x14ac:dyDescent="0.3">
      <c r="A71" t="s">
        <v>93</v>
      </c>
      <c r="B71" t="s">
        <v>28</v>
      </c>
      <c r="C71" s="1">
        <v>45749</v>
      </c>
      <c r="D71" t="s">
        <v>11</v>
      </c>
      <c r="E71" t="s">
        <v>29</v>
      </c>
      <c r="F71" s="2">
        <v>6858</v>
      </c>
      <c r="G71" s="2">
        <v>415</v>
      </c>
      <c r="H71" s="2">
        <v>366</v>
      </c>
      <c r="I71" s="2">
        <v>2761</v>
      </c>
      <c r="J71" s="2">
        <v>2988</v>
      </c>
      <c r="K71" s="2">
        <v>177348</v>
      </c>
      <c r="L71" s="4">
        <v>4.3073505198818099E-2</v>
      </c>
      <c r="M71" t="s">
        <v>4</v>
      </c>
      <c r="W71" s="9">
        <v>45565</v>
      </c>
      <c r="X71" s="10" t="s">
        <v>28</v>
      </c>
      <c r="Y71" s="11">
        <v>6693</v>
      </c>
      <c r="Z71" s="11">
        <v>995</v>
      </c>
      <c r="AA71" s="11">
        <v>486018</v>
      </c>
      <c r="AB71" s="12">
        <v>23.761877132122681</v>
      </c>
      <c r="AC71" s="13">
        <v>38854</v>
      </c>
    </row>
    <row r="72" spans="1:29" x14ac:dyDescent="0.3">
      <c r="A72" t="s">
        <v>94</v>
      </c>
      <c r="B72" t="s">
        <v>28</v>
      </c>
      <c r="C72" s="1">
        <v>45537</v>
      </c>
      <c r="D72" t="s">
        <v>22</v>
      </c>
      <c r="E72" t="s">
        <v>16</v>
      </c>
      <c r="F72" s="2">
        <v>12040</v>
      </c>
      <c r="G72" s="2">
        <v>1147</v>
      </c>
      <c r="H72" s="2">
        <v>210</v>
      </c>
      <c r="I72" s="2">
        <v>885</v>
      </c>
      <c r="J72" s="2">
        <v>30360</v>
      </c>
      <c r="K72" s="2">
        <v>119530</v>
      </c>
      <c r="L72" s="4">
        <v>0.112080649209404</v>
      </c>
      <c r="M72" t="s">
        <v>17</v>
      </c>
      <c r="W72" s="9">
        <v>45565</v>
      </c>
      <c r="X72" s="10" t="s">
        <v>10</v>
      </c>
      <c r="Y72" s="11">
        <v>1767</v>
      </c>
      <c r="Z72" s="11">
        <v>224</v>
      </c>
      <c r="AA72" s="11">
        <v>487561</v>
      </c>
      <c r="AB72" s="12">
        <v>13.208603641390511</v>
      </c>
      <c r="AC72" s="13">
        <v>16256</v>
      </c>
    </row>
    <row r="73" spans="1:29" x14ac:dyDescent="0.3">
      <c r="A73" t="s">
        <v>95</v>
      </c>
      <c r="B73" t="s">
        <v>28</v>
      </c>
      <c r="C73" s="1">
        <v>45719</v>
      </c>
      <c r="D73" t="s">
        <v>22</v>
      </c>
      <c r="E73" t="s">
        <v>38</v>
      </c>
      <c r="F73" s="2">
        <v>24928</v>
      </c>
      <c r="G73" s="2">
        <v>214</v>
      </c>
      <c r="H73" s="2">
        <v>765</v>
      </c>
      <c r="I73" s="2">
        <v>1556</v>
      </c>
      <c r="J73" s="2">
        <v>5239</v>
      </c>
      <c r="K73" s="2">
        <v>194571</v>
      </c>
      <c r="L73" s="4">
        <v>0.13314933880177399</v>
      </c>
      <c r="M73" t="s">
        <v>33</v>
      </c>
      <c r="W73" s="9">
        <v>45565</v>
      </c>
      <c r="X73" s="10" t="s">
        <v>28</v>
      </c>
      <c r="Y73" s="11">
        <v>3044</v>
      </c>
      <c r="Z73" s="11">
        <v>212</v>
      </c>
      <c r="AA73" s="11">
        <v>490393</v>
      </c>
      <c r="AB73" s="12">
        <v>8.5343795690395261</v>
      </c>
      <c r="AC73" s="13">
        <v>20720</v>
      </c>
    </row>
    <row r="74" spans="1:29" x14ac:dyDescent="0.3">
      <c r="A74" t="s">
        <v>96</v>
      </c>
      <c r="B74" t="s">
        <v>10</v>
      </c>
      <c r="C74" s="1">
        <v>45921</v>
      </c>
      <c r="D74" t="s">
        <v>15</v>
      </c>
      <c r="E74" t="s">
        <v>3</v>
      </c>
      <c r="F74" s="2">
        <v>23103</v>
      </c>
      <c r="G74" s="2">
        <v>1380</v>
      </c>
      <c r="H74" s="2">
        <v>191</v>
      </c>
      <c r="I74" s="2">
        <v>1547</v>
      </c>
      <c r="J74" s="2">
        <v>77798</v>
      </c>
      <c r="K74" s="2">
        <v>148856</v>
      </c>
      <c r="L74" s="4">
        <v>0.16575751061428501</v>
      </c>
      <c r="M74" t="s">
        <v>8</v>
      </c>
      <c r="W74" s="9">
        <v>45572</v>
      </c>
      <c r="X74" s="10" t="s">
        <v>6</v>
      </c>
      <c r="Y74" s="11">
        <v>2549</v>
      </c>
      <c r="Z74" s="11">
        <v>128</v>
      </c>
      <c r="AA74" s="11">
        <v>492814</v>
      </c>
      <c r="AB74" s="12">
        <v>12.734216154573531</v>
      </c>
      <c r="AC74" s="13">
        <v>43937</v>
      </c>
    </row>
    <row r="75" spans="1:29" x14ac:dyDescent="0.3">
      <c r="A75" t="s">
        <v>97</v>
      </c>
      <c r="B75" t="s">
        <v>28</v>
      </c>
      <c r="C75" s="1">
        <v>45593</v>
      </c>
      <c r="D75" t="s">
        <v>22</v>
      </c>
      <c r="E75" t="s">
        <v>16</v>
      </c>
      <c r="F75" s="2">
        <v>21198</v>
      </c>
      <c r="G75" s="2">
        <v>1484</v>
      </c>
      <c r="H75" s="2">
        <v>174</v>
      </c>
      <c r="I75" s="2">
        <v>1293</v>
      </c>
      <c r="J75" s="2">
        <v>16330</v>
      </c>
      <c r="K75" s="2">
        <v>111635</v>
      </c>
      <c r="L75" s="4">
        <v>0.204738657231155</v>
      </c>
      <c r="M75" t="s">
        <v>17</v>
      </c>
      <c r="W75" s="9">
        <v>45572</v>
      </c>
      <c r="X75" s="10" t="s">
        <v>1</v>
      </c>
      <c r="Y75" s="11">
        <v>7140</v>
      </c>
      <c r="Z75" s="11">
        <v>939</v>
      </c>
      <c r="AA75" s="11">
        <v>499015</v>
      </c>
      <c r="AB75" s="12">
        <v>25.120888149654821</v>
      </c>
      <c r="AC75" s="13">
        <v>43598</v>
      </c>
    </row>
    <row r="76" spans="1:29" x14ac:dyDescent="0.3">
      <c r="A76" t="s">
        <v>98</v>
      </c>
      <c r="B76" t="s">
        <v>10</v>
      </c>
      <c r="C76" s="1">
        <v>45505</v>
      </c>
      <c r="D76" t="s">
        <v>2</v>
      </c>
      <c r="E76" t="s">
        <v>12</v>
      </c>
      <c r="F76" s="2">
        <v>21758</v>
      </c>
      <c r="G76" s="2">
        <v>1380</v>
      </c>
      <c r="H76" s="2">
        <v>188</v>
      </c>
      <c r="I76" s="2">
        <v>1735</v>
      </c>
      <c r="J76" s="2">
        <v>20998</v>
      </c>
      <c r="K76" s="2">
        <v>147803</v>
      </c>
      <c r="L76" s="4">
        <v>0.157818176897627</v>
      </c>
      <c r="M76" t="s">
        <v>33</v>
      </c>
      <c r="W76" s="9">
        <v>45572</v>
      </c>
      <c r="X76" s="10" t="s">
        <v>1</v>
      </c>
      <c r="Y76" s="11">
        <v>4716</v>
      </c>
      <c r="Z76" s="11">
        <v>569</v>
      </c>
      <c r="AA76" s="11">
        <v>503162</v>
      </c>
      <c r="AB76" s="12">
        <v>25.64820077827817</v>
      </c>
      <c r="AC76" s="13">
        <v>11651</v>
      </c>
    </row>
    <row r="77" spans="1:29" x14ac:dyDescent="0.3">
      <c r="A77" t="s">
        <v>99</v>
      </c>
      <c r="B77" t="s">
        <v>28</v>
      </c>
      <c r="C77" s="1">
        <v>45603</v>
      </c>
      <c r="D77" t="s">
        <v>22</v>
      </c>
      <c r="E77" t="s">
        <v>20</v>
      </c>
      <c r="F77" s="2">
        <v>17254</v>
      </c>
      <c r="G77" s="2">
        <v>246</v>
      </c>
      <c r="H77" s="2">
        <v>952</v>
      </c>
      <c r="I77" s="2">
        <v>871</v>
      </c>
      <c r="J77" s="2">
        <v>14957</v>
      </c>
      <c r="K77" s="2">
        <v>75946</v>
      </c>
      <c r="L77" s="4">
        <v>0.242962104653306</v>
      </c>
      <c r="M77" t="s">
        <v>33</v>
      </c>
      <c r="W77" s="9">
        <v>45572</v>
      </c>
      <c r="X77" s="10" t="s">
        <v>10</v>
      </c>
      <c r="Y77" s="11">
        <v>5481</v>
      </c>
      <c r="Z77" s="11">
        <v>673</v>
      </c>
      <c r="AA77" s="11">
        <v>507970</v>
      </c>
      <c r="AB77" s="12">
        <v>13.08758391243577</v>
      </c>
      <c r="AC77" s="13">
        <v>29194</v>
      </c>
    </row>
    <row r="78" spans="1:29" x14ac:dyDescent="0.3">
      <c r="A78" t="s">
        <v>100</v>
      </c>
      <c r="B78" t="s">
        <v>6</v>
      </c>
      <c r="C78" s="1">
        <v>45720</v>
      </c>
      <c r="D78" t="s">
        <v>22</v>
      </c>
      <c r="E78" t="s">
        <v>29</v>
      </c>
      <c r="F78" s="2">
        <v>13470</v>
      </c>
      <c r="G78" s="2">
        <v>523</v>
      </c>
      <c r="H78" s="2">
        <v>280</v>
      </c>
      <c r="I78" s="2">
        <v>2682</v>
      </c>
      <c r="J78" s="2">
        <v>8538</v>
      </c>
      <c r="K78" s="2">
        <v>95204</v>
      </c>
      <c r="L78" s="4">
        <v>0.14992017142136899</v>
      </c>
      <c r="M78" t="s">
        <v>4</v>
      </c>
      <c r="W78" s="9">
        <v>45579</v>
      </c>
      <c r="X78" s="10" t="s">
        <v>28</v>
      </c>
      <c r="Y78" s="11">
        <v>8898</v>
      </c>
      <c r="Z78" s="11">
        <v>1131</v>
      </c>
      <c r="AA78" s="11">
        <v>515737</v>
      </c>
      <c r="AB78" s="12">
        <v>2.1877429775253669</v>
      </c>
      <c r="AC78" s="13">
        <v>35051</v>
      </c>
    </row>
    <row r="79" spans="1:29" x14ac:dyDescent="0.3">
      <c r="A79" t="s">
        <v>101</v>
      </c>
      <c r="B79" t="s">
        <v>6</v>
      </c>
      <c r="C79" s="1">
        <v>45460</v>
      </c>
      <c r="D79" t="s">
        <v>2</v>
      </c>
      <c r="E79" t="s">
        <v>23</v>
      </c>
      <c r="F79" s="2">
        <v>3252</v>
      </c>
      <c r="G79" s="2">
        <v>1043</v>
      </c>
      <c r="H79" s="2">
        <v>647</v>
      </c>
      <c r="I79" s="2">
        <v>1545</v>
      </c>
      <c r="J79" s="2">
        <v>18859</v>
      </c>
      <c r="K79" s="2">
        <v>222958</v>
      </c>
      <c r="L79" s="4">
        <v>2.2165609666394599E-2</v>
      </c>
      <c r="M79" t="s">
        <v>4</v>
      </c>
      <c r="W79" s="9">
        <v>45579</v>
      </c>
      <c r="X79" s="10" t="s">
        <v>1</v>
      </c>
      <c r="Y79" s="11">
        <v>7548</v>
      </c>
      <c r="Z79" s="11">
        <v>433</v>
      </c>
      <c r="AA79" s="11">
        <v>522852</v>
      </c>
      <c r="AB79" s="12">
        <v>8.3562843787534522</v>
      </c>
      <c r="AC79" s="13">
        <v>37386</v>
      </c>
    </row>
    <row r="80" spans="1:29" x14ac:dyDescent="0.3">
      <c r="A80" t="s">
        <v>102</v>
      </c>
      <c r="B80" t="s">
        <v>1</v>
      </c>
      <c r="C80" s="1">
        <v>45922</v>
      </c>
      <c r="D80" t="s">
        <v>15</v>
      </c>
      <c r="E80" t="s">
        <v>103</v>
      </c>
      <c r="F80" s="2">
        <v>8996</v>
      </c>
      <c r="G80" s="2">
        <v>329</v>
      </c>
      <c r="H80" s="2">
        <v>378</v>
      </c>
      <c r="I80" s="2">
        <v>2384</v>
      </c>
      <c r="J80" s="2">
        <v>39404</v>
      </c>
      <c r="K80" s="2">
        <v>242724</v>
      </c>
      <c r="L80" s="4">
        <v>3.9975445361810101E-2</v>
      </c>
      <c r="M80" t="s">
        <v>8</v>
      </c>
      <c r="W80" s="9">
        <v>45579</v>
      </c>
      <c r="X80" s="10" t="s">
        <v>28</v>
      </c>
      <c r="Y80" s="11">
        <v>3293</v>
      </c>
      <c r="Z80" s="11">
        <v>282</v>
      </c>
      <c r="AA80" s="11">
        <v>525863</v>
      </c>
      <c r="AB80" s="12">
        <v>27.040693108281051</v>
      </c>
      <c r="AC80" s="13">
        <v>19518</v>
      </c>
    </row>
    <row r="81" spans="1:29" x14ac:dyDescent="0.3">
      <c r="A81" t="s">
        <v>104</v>
      </c>
      <c r="B81" t="s">
        <v>6</v>
      </c>
      <c r="C81" s="1">
        <v>45456</v>
      </c>
      <c r="D81" t="s">
        <v>2</v>
      </c>
      <c r="E81" t="s">
        <v>3</v>
      </c>
      <c r="F81" s="2">
        <v>14173</v>
      </c>
      <c r="G81" s="2">
        <v>294</v>
      </c>
      <c r="H81" s="2">
        <v>257</v>
      </c>
      <c r="I81" s="2">
        <v>1288</v>
      </c>
      <c r="J81" s="2">
        <v>39466</v>
      </c>
      <c r="K81" s="2">
        <v>55563</v>
      </c>
      <c r="L81" s="4">
        <v>0.26499649047027701</v>
      </c>
      <c r="M81" t="s">
        <v>33</v>
      </c>
      <c r="W81" s="9">
        <v>45579</v>
      </c>
      <c r="X81" s="10" t="s">
        <v>28</v>
      </c>
      <c r="Y81" s="11">
        <v>5837</v>
      </c>
      <c r="Z81" s="11">
        <v>359</v>
      </c>
      <c r="AA81" s="11">
        <v>531341</v>
      </c>
      <c r="AB81" s="12">
        <v>6.8073045370110723</v>
      </c>
      <c r="AC81" s="13">
        <v>56026</v>
      </c>
    </row>
    <row r="82" spans="1:29" x14ac:dyDescent="0.3">
      <c r="A82" t="s">
        <v>105</v>
      </c>
      <c r="B82" t="s">
        <v>1</v>
      </c>
      <c r="C82" s="1">
        <v>45584</v>
      </c>
      <c r="D82" t="s">
        <v>22</v>
      </c>
      <c r="E82" t="s">
        <v>16</v>
      </c>
      <c r="F82" s="2">
        <v>6673</v>
      </c>
      <c r="G82" s="2">
        <v>826</v>
      </c>
      <c r="H82" s="2">
        <v>321</v>
      </c>
      <c r="I82" s="2">
        <v>577</v>
      </c>
      <c r="J82" s="2">
        <v>19262</v>
      </c>
      <c r="K82" s="2">
        <v>132324</v>
      </c>
      <c r="L82" s="4">
        <v>5.9097367068710098E-2</v>
      </c>
      <c r="M82" t="s">
        <v>33</v>
      </c>
      <c r="W82" s="9">
        <v>45586</v>
      </c>
      <c r="X82" s="10" t="s">
        <v>10</v>
      </c>
      <c r="Y82" s="11">
        <v>8758</v>
      </c>
      <c r="Z82" s="11">
        <v>1193</v>
      </c>
      <c r="AA82" s="11">
        <v>538906</v>
      </c>
      <c r="AB82" s="12">
        <v>3.4213758985797149</v>
      </c>
      <c r="AC82" s="13">
        <v>26184</v>
      </c>
    </row>
    <row r="83" spans="1:29" x14ac:dyDescent="0.3">
      <c r="A83" t="s">
        <v>106</v>
      </c>
      <c r="B83" t="s">
        <v>6</v>
      </c>
      <c r="C83" s="1">
        <v>45497</v>
      </c>
      <c r="D83" t="s">
        <v>15</v>
      </c>
      <c r="E83" t="s">
        <v>23</v>
      </c>
      <c r="F83" s="2">
        <v>22914</v>
      </c>
      <c r="G83" s="2">
        <v>954</v>
      </c>
      <c r="H83" s="2">
        <v>584</v>
      </c>
      <c r="I83" s="2">
        <v>1519</v>
      </c>
      <c r="J83" s="2">
        <v>13637</v>
      </c>
      <c r="K83" s="2">
        <v>49847</v>
      </c>
      <c r="L83" s="4">
        <v>0.49054105563022798</v>
      </c>
      <c r="M83" t="s">
        <v>4</v>
      </c>
      <c r="W83" s="9">
        <v>45586</v>
      </c>
      <c r="X83" s="10" t="s">
        <v>1</v>
      </c>
      <c r="Y83" s="11">
        <v>7793</v>
      </c>
      <c r="Z83" s="11">
        <v>875</v>
      </c>
      <c r="AA83" s="11">
        <v>545824</v>
      </c>
      <c r="AB83" s="12">
        <v>5.5136820660139527</v>
      </c>
      <c r="AC83" s="13">
        <v>43787</v>
      </c>
    </row>
    <row r="84" spans="1:29" x14ac:dyDescent="0.3">
      <c r="A84" t="s">
        <v>107</v>
      </c>
      <c r="B84" t="s">
        <v>10</v>
      </c>
      <c r="C84" s="1">
        <v>45580</v>
      </c>
      <c r="D84" t="s">
        <v>22</v>
      </c>
      <c r="E84" t="s">
        <v>20</v>
      </c>
      <c r="F84" s="2">
        <v>17781</v>
      </c>
      <c r="G84" s="2">
        <v>993</v>
      </c>
      <c r="H84" s="2">
        <v>627</v>
      </c>
      <c r="I84" s="2">
        <v>2187</v>
      </c>
      <c r="J84" s="2">
        <v>9609</v>
      </c>
      <c r="K84" s="2">
        <v>66155</v>
      </c>
      <c r="L84" s="4">
        <v>0.29326581513113098</v>
      </c>
      <c r="M84" t="s">
        <v>17</v>
      </c>
      <c r="W84" s="9">
        <v>45586</v>
      </c>
      <c r="X84" s="10" t="s">
        <v>10</v>
      </c>
      <c r="Y84" s="11">
        <v>8638</v>
      </c>
      <c r="Z84" s="11">
        <v>717</v>
      </c>
      <c r="AA84" s="11">
        <v>553745</v>
      </c>
      <c r="AB84" s="12">
        <v>26.921416897669499</v>
      </c>
      <c r="AC84" s="13">
        <v>31621</v>
      </c>
    </row>
    <row r="85" spans="1:29" x14ac:dyDescent="0.3">
      <c r="A85" t="s">
        <v>108</v>
      </c>
      <c r="B85" t="s">
        <v>6</v>
      </c>
      <c r="C85" s="1">
        <v>45635</v>
      </c>
      <c r="D85" t="s">
        <v>2</v>
      </c>
      <c r="E85" t="s">
        <v>7</v>
      </c>
      <c r="F85" s="2">
        <v>15051</v>
      </c>
      <c r="G85" s="2">
        <v>268</v>
      </c>
      <c r="H85" s="2">
        <v>251</v>
      </c>
      <c r="I85" s="2">
        <v>783</v>
      </c>
      <c r="J85" s="2">
        <v>34154</v>
      </c>
      <c r="K85" s="2">
        <v>119671</v>
      </c>
      <c r="L85" s="4">
        <v>0.13010670922779999</v>
      </c>
      <c r="M85" t="s">
        <v>17</v>
      </c>
      <c r="W85" s="9">
        <v>45586</v>
      </c>
      <c r="X85" s="10" t="s">
        <v>10</v>
      </c>
      <c r="Y85" s="11">
        <v>8993</v>
      </c>
      <c r="Z85" s="11">
        <v>506</v>
      </c>
      <c r="AA85" s="11">
        <v>562232</v>
      </c>
      <c r="AB85" s="12">
        <v>3.5131404829323132</v>
      </c>
      <c r="AC85" s="13">
        <v>20028</v>
      </c>
    </row>
    <row r="86" spans="1:29" x14ac:dyDescent="0.3">
      <c r="A86" t="s">
        <v>109</v>
      </c>
      <c r="B86" t="s">
        <v>1</v>
      </c>
      <c r="C86" s="1">
        <v>45766</v>
      </c>
      <c r="D86" t="s">
        <v>2</v>
      </c>
      <c r="E86" t="s">
        <v>23</v>
      </c>
      <c r="F86" s="2">
        <v>8881</v>
      </c>
      <c r="G86" s="2">
        <v>210</v>
      </c>
      <c r="H86" s="2">
        <v>673</v>
      </c>
      <c r="I86" s="2">
        <v>1565</v>
      </c>
      <c r="J86" s="2">
        <v>24847</v>
      </c>
      <c r="K86" s="2">
        <v>156891</v>
      </c>
      <c r="L86" s="4">
        <v>6.2234290048505003E-2</v>
      </c>
      <c r="M86" t="s">
        <v>13</v>
      </c>
      <c r="W86" s="9">
        <v>45593</v>
      </c>
      <c r="X86" s="10" t="s">
        <v>1</v>
      </c>
      <c r="Y86" s="11">
        <v>7007</v>
      </c>
      <c r="Z86" s="11">
        <v>568</v>
      </c>
      <c r="AA86" s="11">
        <v>568671</v>
      </c>
      <c r="AB86" s="12">
        <v>11.50507059442103</v>
      </c>
      <c r="AC86" s="13">
        <v>22448</v>
      </c>
    </row>
    <row r="87" spans="1:29" x14ac:dyDescent="0.3">
      <c r="A87" t="s">
        <v>110</v>
      </c>
      <c r="B87" t="s">
        <v>1</v>
      </c>
      <c r="C87" s="1">
        <v>45684</v>
      </c>
      <c r="D87" t="s">
        <v>22</v>
      </c>
      <c r="E87" t="s">
        <v>29</v>
      </c>
      <c r="F87" s="2">
        <v>8949</v>
      </c>
      <c r="G87" s="2">
        <v>1477</v>
      </c>
      <c r="H87" s="2">
        <v>424</v>
      </c>
      <c r="I87" s="2">
        <v>1030</v>
      </c>
      <c r="J87" s="2">
        <v>58052</v>
      </c>
      <c r="K87" s="2">
        <v>123310</v>
      </c>
      <c r="L87" s="4">
        <v>8.7989619657773105E-2</v>
      </c>
      <c r="M87" t="s">
        <v>4</v>
      </c>
      <c r="W87" s="9">
        <v>45593</v>
      </c>
      <c r="X87" s="10" t="s">
        <v>1</v>
      </c>
      <c r="Y87" s="11">
        <v>6542</v>
      </c>
      <c r="Z87" s="11">
        <v>539</v>
      </c>
      <c r="AA87" s="11">
        <v>574674</v>
      </c>
      <c r="AB87" s="12">
        <v>6.4069368024305948</v>
      </c>
      <c r="AC87" s="13">
        <v>55253</v>
      </c>
    </row>
    <row r="88" spans="1:29" x14ac:dyDescent="0.3">
      <c r="A88" t="s">
        <v>111</v>
      </c>
      <c r="B88" t="s">
        <v>28</v>
      </c>
      <c r="C88" s="1">
        <v>45449</v>
      </c>
      <c r="D88" t="s">
        <v>11</v>
      </c>
      <c r="E88" t="s">
        <v>29</v>
      </c>
      <c r="F88" s="2">
        <v>11521</v>
      </c>
      <c r="G88" s="2">
        <v>1071</v>
      </c>
      <c r="H88" s="2">
        <v>762</v>
      </c>
      <c r="I88" s="2">
        <v>2539</v>
      </c>
      <c r="J88" s="2">
        <v>12701</v>
      </c>
      <c r="K88" s="2">
        <v>238350</v>
      </c>
      <c r="L88" s="4">
        <v>5.6026851269142003E-2</v>
      </c>
      <c r="M88" t="s">
        <v>13</v>
      </c>
      <c r="W88" s="9">
        <v>45593</v>
      </c>
      <c r="X88" s="10" t="s">
        <v>6</v>
      </c>
      <c r="Y88" s="11">
        <v>7356</v>
      </c>
      <c r="Z88" s="11">
        <v>904</v>
      </c>
      <c r="AA88" s="11">
        <v>581126</v>
      </c>
      <c r="AB88" s="12">
        <v>17.560907617280929</v>
      </c>
      <c r="AC88" s="13">
        <v>44051</v>
      </c>
    </row>
    <row r="89" spans="1:29" x14ac:dyDescent="0.3">
      <c r="A89" t="s">
        <v>112</v>
      </c>
      <c r="B89" t="s">
        <v>10</v>
      </c>
      <c r="C89" s="1">
        <v>45480</v>
      </c>
      <c r="D89" t="s">
        <v>11</v>
      </c>
      <c r="E89" t="s">
        <v>7</v>
      </c>
      <c r="F89" s="2">
        <v>24625</v>
      </c>
      <c r="G89" s="2">
        <v>749</v>
      </c>
      <c r="H89" s="2">
        <v>193</v>
      </c>
      <c r="I89" s="2">
        <v>1340</v>
      </c>
      <c r="J89" s="2">
        <v>4890</v>
      </c>
      <c r="K89" s="2">
        <v>189381</v>
      </c>
      <c r="L89" s="4">
        <v>0.13500298340382599</v>
      </c>
      <c r="M89" t="s">
        <v>4</v>
      </c>
      <c r="W89" s="9">
        <v>45593</v>
      </c>
      <c r="X89" s="10" t="s">
        <v>6</v>
      </c>
      <c r="Y89" s="11">
        <v>9433</v>
      </c>
      <c r="Z89" s="11">
        <v>1073</v>
      </c>
      <c r="AA89" s="11">
        <v>589486</v>
      </c>
      <c r="AB89" s="12">
        <v>7.2934726185185053</v>
      </c>
      <c r="AC89" s="13">
        <v>59811</v>
      </c>
    </row>
    <row r="90" spans="1:29" x14ac:dyDescent="0.3">
      <c r="A90" t="s">
        <v>113</v>
      </c>
      <c r="B90" t="s">
        <v>6</v>
      </c>
      <c r="C90" s="1">
        <v>45923</v>
      </c>
      <c r="D90" t="s">
        <v>2</v>
      </c>
      <c r="E90" t="s">
        <v>103</v>
      </c>
      <c r="F90" s="2">
        <v>10017</v>
      </c>
      <c r="G90" s="2">
        <v>1357</v>
      </c>
      <c r="H90" s="2">
        <v>966</v>
      </c>
      <c r="I90" s="2">
        <v>2871</v>
      </c>
      <c r="J90" s="2">
        <v>14800</v>
      </c>
      <c r="K90" s="2">
        <v>171691</v>
      </c>
      <c r="L90" s="4">
        <v>7.1873307278774098E-2</v>
      </c>
      <c r="M90" t="s">
        <v>8</v>
      </c>
      <c r="W90" s="9">
        <v>45600</v>
      </c>
      <c r="X90" s="10" t="s">
        <v>28</v>
      </c>
      <c r="Y90" s="11">
        <v>8380</v>
      </c>
      <c r="Z90" s="11">
        <v>1162</v>
      </c>
      <c r="AA90" s="11">
        <v>596704</v>
      </c>
      <c r="AB90" s="12">
        <v>18.05853488496809</v>
      </c>
      <c r="AC90" s="13">
        <v>40447</v>
      </c>
    </row>
    <row r="91" spans="1:29" x14ac:dyDescent="0.3">
      <c r="A91" t="s">
        <v>114</v>
      </c>
      <c r="B91" t="s">
        <v>28</v>
      </c>
      <c r="C91" s="1">
        <v>45446</v>
      </c>
      <c r="D91" t="s">
        <v>2</v>
      </c>
      <c r="E91" t="s">
        <v>38</v>
      </c>
      <c r="F91" s="2">
        <v>8941</v>
      </c>
      <c r="G91" s="2">
        <v>911</v>
      </c>
      <c r="H91" s="2">
        <v>166</v>
      </c>
      <c r="I91" s="2">
        <v>1217</v>
      </c>
      <c r="J91" s="2">
        <v>68817</v>
      </c>
      <c r="K91" s="2">
        <v>221180</v>
      </c>
      <c r="L91" s="4">
        <v>4.5293426168731402E-2</v>
      </c>
      <c r="M91" t="s">
        <v>33</v>
      </c>
      <c r="W91" s="9">
        <v>45600</v>
      </c>
      <c r="X91" s="10" t="s">
        <v>1</v>
      </c>
      <c r="Y91" s="11">
        <v>3385</v>
      </c>
      <c r="Z91" s="11">
        <v>329</v>
      </c>
      <c r="AA91" s="11">
        <v>599760</v>
      </c>
      <c r="AB91" s="12">
        <v>17.61788048552755</v>
      </c>
      <c r="AC91" s="13">
        <v>28394</v>
      </c>
    </row>
    <row r="92" spans="1:29" x14ac:dyDescent="0.3">
      <c r="A92" t="s">
        <v>115</v>
      </c>
      <c r="B92" t="s">
        <v>6</v>
      </c>
      <c r="C92" s="1">
        <v>45924</v>
      </c>
      <c r="D92" t="s">
        <v>11</v>
      </c>
      <c r="E92" t="s">
        <v>23</v>
      </c>
      <c r="F92" s="2">
        <v>12209</v>
      </c>
      <c r="G92" s="2">
        <v>222</v>
      </c>
      <c r="H92" s="2">
        <v>479</v>
      </c>
      <c r="I92" s="2">
        <v>2748</v>
      </c>
      <c r="J92" s="2">
        <v>24615</v>
      </c>
      <c r="K92" s="2">
        <v>74707</v>
      </c>
      <c r="L92" s="4">
        <v>0.17280843829895501</v>
      </c>
      <c r="M92" t="s">
        <v>8</v>
      </c>
      <c r="W92" s="9">
        <v>45600</v>
      </c>
      <c r="X92" s="10" t="s">
        <v>6</v>
      </c>
      <c r="Y92" s="11">
        <v>5268</v>
      </c>
      <c r="Z92" s="11">
        <v>326</v>
      </c>
      <c r="AA92" s="11">
        <v>604702</v>
      </c>
      <c r="AB92" s="12">
        <v>23.435841125050029</v>
      </c>
      <c r="AC92" s="13">
        <v>44501</v>
      </c>
    </row>
    <row r="93" spans="1:29" x14ac:dyDescent="0.3">
      <c r="A93" t="s">
        <v>116</v>
      </c>
      <c r="B93" t="s">
        <v>6</v>
      </c>
      <c r="C93" s="1">
        <v>45586</v>
      </c>
      <c r="D93" t="s">
        <v>11</v>
      </c>
      <c r="E93" t="s">
        <v>7</v>
      </c>
      <c r="F93" s="2">
        <v>19715</v>
      </c>
      <c r="G93" s="2">
        <v>1014</v>
      </c>
      <c r="H93" s="2">
        <v>718</v>
      </c>
      <c r="I93" s="2">
        <v>1185</v>
      </c>
      <c r="J93" s="2">
        <v>37625</v>
      </c>
      <c r="K93" s="2">
        <v>191409</v>
      </c>
      <c r="L93" s="4">
        <v>0.11204802282024399</v>
      </c>
      <c r="M93" t="s">
        <v>4</v>
      </c>
      <c r="W93" s="9">
        <v>45600</v>
      </c>
      <c r="X93" s="10" t="s">
        <v>28</v>
      </c>
      <c r="Y93" s="11">
        <v>1671</v>
      </c>
      <c r="Z93" s="11">
        <v>202</v>
      </c>
      <c r="AA93" s="11">
        <v>606171</v>
      </c>
      <c r="AB93" s="12">
        <v>15.150015424690389</v>
      </c>
      <c r="AC93" s="13">
        <v>40254</v>
      </c>
    </row>
    <row r="94" spans="1:29" x14ac:dyDescent="0.3">
      <c r="A94" t="s">
        <v>117</v>
      </c>
      <c r="B94" t="s">
        <v>28</v>
      </c>
      <c r="C94" s="1">
        <v>45637</v>
      </c>
      <c r="D94" t="s">
        <v>22</v>
      </c>
      <c r="E94" t="s">
        <v>29</v>
      </c>
      <c r="F94" s="2">
        <v>22645</v>
      </c>
      <c r="G94" s="2">
        <v>545</v>
      </c>
      <c r="H94" s="2">
        <v>972</v>
      </c>
      <c r="I94" s="2">
        <v>321</v>
      </c>
      <c r="J94" s="2">
        <v>8396</v>
      </c>
      <c r="K94" s="2">
        <v>121537</v>
      </c>
      <c r="L94" s="4">
        <v>0.198803656499667</v>
      </c>
      <c r="M94" t="s">
        <v>33</v>
      </c>
      <c r="W94" s="9">
        <v>45607</v>
      </c>
      <c r="X94" s="10" t="s">
        <v>28</v>
      </c>
      <c r="Y94" s="11">
        <v>1163</v>
      </c>
      <c r="Z94" s="11">
        <v>146</v>
      </c>
      <c r="AA94" s="11">
        <v>607188</v>
      </c>
      <c r="AB94" s="12">
        <v>21.77776899411715</v>
      </c>
      <c r="AC94" s="13">
        <v>28509</v>
      </c>
    </row>
    <row r="95" spans="1:29" x14ac:dyDescent="0.3">
      <c r="A95" t="s">
        <v>118</v>
      </c>
      <c r="B95" t="s">
        <v>28</v>
      </c>
      <c r="C95" s="1">
        <v>45603</v>
      </c>
      <c r="D95" t="s">
        <v>22</v>
      </c>
      <c r="E95" t="s">
        <v>29</v>
      </c>
      <c r="F95" s="2">
        <v>11550</v>
      </c>
      <c r="G95" s="2">
        <v>501</v>
      </c>
      <c r="H95" s="2">
        <v>646</v>
      </c>
      <c r="I95" s="2">
        <v>773</v>
      </c>
      <c r="J95" s="2">
        <v>17841</v>
      </c>
      <c r="K95" s="2">
        <v>237576</v>
      </c>
      <c r="L95" s="4">
        <v>5.3443950567397397E-2</v>
      </c>
      <c r="M95" t="s">
        <v>17</v>
      </c>
      <c r="W95" s="9">
        <v>45607</v>
      </c>
      <c r="X95" s="10" t="s">
        <v>28</v>
      </c>
      <c r="Y95" s="11">
        <v>9656</v>
      </c>
      <c r="Z95" s="11">
        <v>1024</v>
      </c>
      <c r="AA95" s="11">
        <v>615820</v>
      </c>
      <c r="AB95" s="12">
        <v>8.7252768666168681</v>
      </c>
      <c r="AC95" s="13">
        <v>58998</v>
      </c>
    </row>
    <row r="96" spans="1:29" x14ac:dyDescent="0.3">
      <c r="A96" t="s">
        <v>119</v>
      </c>
      <c r="B96" t="s">
        <v>28</v>
      </c>
      <c r="C96" s="1">
        <v>45604</v>
      </c>
      <c r="D96" t="s">
        <v>11</v>
      </c>
      <c r="E96" t="s">
        <v>16</v>
      </c>
      <c r="F96" s="2">
        <v>23499</v>
      </c>
      <c r="G96" s="2">
        <v>562</v>
      </c>
      <c r="H96" s="2">
        <v>964</v>
      </c>
      <c r="I96" s="2">
        <v>2557</v>
      </c>
      <c r="J96" s="2">
        <v>56890</v>
      </c>
      <c r="K96" s="2">
        <v>218686</v>
      </c>
      <c r="L96" s="4">
        <v>0.11443347996670999</v>
      </c>
      <c r="M96" t="s">
        <v>17</v>
      </c>
      <c r="W96" s="9">
        <v>45607</v>
      </c>
      <c r="X96" s="10" t="s">
        <v>6</v>
      </c>
      <c r="Y96" s="11">
        <v>5592</v>
      </c>
      <c r="Z96" s="11">
        <v>710</v>
      </c>
      <c r="AA96" s="11">
        <v>620702</v>
      </c>
      <c r="AB96" s="12">
        <v>9.07118069540617</v>
      </c>
      <c r="AC96" s="13">
        <v>24472</v>
      </c>
    </row>
    <row r="97" spans="1:29" x14ac:dyDescent="0.3">
      <c r="A97" t="s">
        <v>120</v>
      </c>
      <c r="B97" t="s">
        <v>28</v>
      </c>
      <c r="C97" s="1">
        <v>45545</v>
      </c>
      <c r="D97" t="s">
        <v>22</v>
      </c>
      <c r="E97" t="s">
        <v>25</v>
      </c>
      <c r="F97" s="2">
        <v>6637</v>
      </c>
      <c r="G97" s="2">
        <v>595</v>
      </c>
      <c r="H97" s="2">
        <v>161</v>
      </c>
      <c r="I97" s="2">
        <v>2653</v>
      </c>
      <c r="J97" s="2">
        <v>19334</v>
      </c>
      <c r="K97" s="2">
        <v>131155</v>
      </c>
      <c r="L97" s="4">
        <v>5.6368419046166802E-2</v>
      </c>
      <c r="M97" t="s">
        <v>13</v>
      </c>
      <c r="W97" s="9">
        <v>45607</v>
      </c>
      <c r="X97" s="10" t="s">
        <v>1</v>
      </c>
      <c r="Y97" s="11">
        <v>5795</v>
      </c>
      <c r="Z97" s="11">
        <v>575</v>
      </c>
      <c r="AA97" s="11">
        <v>625922</v>
      </c>
      <c r="AB97" s="12">
        <v>3.0908004511744269</v>
      </c>
      <c r="AC97" s="13">
        <v>55657</v>
      </c>
    </row>
    <row r="98" spans="1:29" x14ac:dyDescent="0.3">
      <c r="A98" t="s">
        <v>121</v>
      </c>
      <c r="B98" t="s">
        <v>28</v>
      </c>
      <c r="C98" s="1">
        <v>45517</v>
      </c>
      <c r="D98" t="s">
        <v>22</v>
      </c>
      <c r="E98" t="s">
        <v>103</v>
      </c>
      <c r="F98" s="2">
        <v>6854</v>
      </c>
      <c r="G98" s="2">
        <v>417</v>
      </c>
      <c r="H98" s="2">
        <v>467</v>
      </c>
      <c r="I98" s="2">
        <v>1003</v>
      </c>
      <c r="J98" s="2">
        <v>61333</v>
      </c>
      <c r="K98" s="2">
        <v>40281</v>
      </c>
      <c r="L98" s="4">
        <v>0.19210049402944299</v>
      </c>
      <c r="M98" t="s">
        <v>4</v>
      </c>
      <c r="W98" s="9">
        <v>45614</v>
      </c>
      <c r="X98" s="10" t="s">
        <v>10</v>
      </c>
      <c r="Y98" s="11">
        <v>5798</v>
      </c>
      <c r="Z98" s="11">
        <v>592</v>
      </c>
      <c r="AA98" s="11">
        <v>631128</v>
      </c>
      <c r="AB98" s="12">
        <v>1.6774727155188811</v>
      </c>
      <c r="AC98" s="13">
        <v>13471</v>
      </c>
    </row>
    <row r="99" spans="1:29" x14ac:dyDescent="0.3">
      <c r="A99" t="s">
        <v>122</v>
      </c>
      <c r="B99" t="s">
        <v>6</v>
      </c>
      <c r="C99" s="1">
        <v>45453</v>
      </c>
      <c r="D99" t="s">
        <v>15</v>
      </c>
      <c r="E99" t="s">
        <v>23</v>
      </c>
      <c r="F99" s="2">
        <v>21561</v>
      </c>
      <c r="G99" s="2">
        <v>340</v>
      </c>
      <c r="H99" s="2">
        <v>741</v>
      </c>
      <c r="I99" s="2">
        <v>986</v>
      </c>
      <c r="J99" s="2">
        <v>24826</v>
      </c>
      <c r="K99" s="2">
        <v>198492</v>
      </c>
      <c r="L99" s="4">
        <v>0.114070088467041</v>
      </c>
      <c r="M99" t="s">
        <v>4</v>
      </c>
      <c r="W99" s="9">
        <v>45614</v>
      </c>
      <c r="X99" s="10" t="s">
        <v>28</v>
      </c>
      <c r="Y99" s="11">
        <v>7036</v>
      </c>
      <c r="Z99" s="11">
        <v>652</v>
      </c>
      <c r="AA99" s="11">
        <v>637512</v>
      </c>
      <c r="AB99" s="12">
        <v>3.5705994553828009</v>
      </c>
      <c r="AC99" s="13">
        <v>51796</v>
      </c>
    </row>
    <row r="100" spans="1:29" x14ac:dyDescent="0.3">
      <c r="A100" t="s">
        <v>123</v>
      </c>
      <c r="B100" t="s">
        <v>28</v>
      </c>
      <c r="C100" s="1">
        <v>45475</v>
      </c>
      <c r="D100" t="s">
        <v>22</v>
      </c>
      <c r="E100" t="s">
        <v>23</v>
      </c>
      <c r="F100" s="2">
        <v>12320</v>
      </c>
      <c r="G100" s="2">
        <v>1157</v>
      </c>
      <c r="H100" s="2">
        <v>365</v>
      </c>
      <c r="I100" s="2">
        <v>584</v>
      </c>
      <c r="J100" s="2">
        <v>66634</v>
      </c>
      <c r="K100" s="2">
        <v>210102</v>
      </c>
      <c r="L100" s="4">
        <v>6.5882285746922897E-2</v>
      </c>
      <c r="M100" t="s">
        <v>17</v>
      </c>
      <c r="W100" s="9">
        <v>45614</v>
      </c>
      <c r="X100" s="10" t="s">
        <v>6</v>
      </c>
      <c r="Y100" s="11">
        <v>3355</v>
      </c>
      <c r="Z100" s="11">
        <v>176</v>
      </c>
      <c r="AA100" s="11">
        <v>640691</v>
      </c>
      <c r="AB100" s="12">
        <v>12.426427091999111</v>
      </c>
      <c r="AC100" s="13">
        <v>40268</v>
      </c>
    </row>
    <row r="101" spans="1:29" x14ac:dyDescent="0.3">
      <c r="A101" t="s">
        <v>124</v>
      </c>
      <c r="B101" t="s">
        <v>10</v>
      </c>
      <c r="C101" s="1">
        <v>45925</v>
      </c>
      <c r="D101" t="s">
        <v>2</v>
      </c>
      <c r="E101" t="s">
        <v>20</v>
      </c>
      <c r="F101" s="2">
        <v>20564</v>
      </c>
      <c r="G101" s="2">
        <v>1433</v>
      </c>
      <c r="H101" s="2">
        <v>488</v>
      </c>
      <c r="I101" s="2">
        <v>1015</v>
      </c>
      <c r="J101" s="2">
        <v>24333</v>
      </c>
      <c r="K101" s="2">
        <v>172130</v>
      </c>
      <c r="L101" s="4">
        <v>0.13062801371056801</v>
      </c>
      <c r="M101" t="s">
        <v>8</v>
      </c>
      <c r="W101" s="9">
        <v>45614</v>
      </c>
      <c r="X101" s="10" t="s">
        <v>6</v>
      </c>
      <c r="Y101" s="11">
        <v>6887</v>
      </c>
      <c r="Z101" s="11">
        <v>418</v>
      </c>
      <c r="AA101" s="11">
        <v>647160</v>
      </c>
      <c r="AB101" s="12">
        <v>20.240280610668151</v>
      </c>
      <c r="AC101" s="13">
        <v>18329</v>
      </c>
    </row>
    <row r="102" spans="1:29" x14ac:dyDescent="0.3">
      <c r="A102" t="s">
        <v>125</v>
      </c>
      <c r="B102" t="s">
        <v>1</v>
      </c>
      <c r="C102" s="1">
        <v>45583</v>
      </c>
      <c r="D102" t="s">
        <v>22</v>
      </c>
      <c r="E102" t="s">
        <v>7</v>
      </c>
      <c r="F102" s="2">
        <v>6892</v>
      </c>
      <c r="G102" s="2">
        <v>1184</v>
      </c>
      <c r="H102" s="2">
        <v>925</v>
      </c>
      <c r="I102" s="2">
        <v>1062</v>
      </c>
      <c r="J102" s="2">
        <v>75008</v>
      </c>
      <c r="K102" s="2">
        <v>116260</v>
      </c>
      <c r="L102" s="4">
        <v>7.7421297092723204E-2</v>
      </c>
      <c r="M102" t="s">
        <v>33</v>
      </c>
      <c r="W102" s="9">
        <v>45621</v>
      </c>
      <c r="X102" s="10" t="s">
        <v>10</v>
      </c>
      <c r="Y102" s="11">
        <v>8961</v>
      </c>
      <c r="Z102" s="11">
        <v>476</v>
      </c>
      <c r="AA102" s="11">
        <v>655645</v>
      </c>
      <c r="AB102" s="12">
        <v>15.458517947974901</v>
      </c>
      <c r="AC102" s="13">
        <v>44865</v>
      </c>
    </row>
    <row r="103" spans="1:29" x14ac:dyDescent="0.3">
      <c r="A103" t="s">
        <v>126</v>
      </c>
      <c r="B103" t="s">
        <v>28</v>
      </c>
      <c r="C103" s="1">
        <v>45926</v>
      </c>
      <c r="D103" t="s">
        <v>22</v>
      </c>
      <c r="E103" t="s">
        <v>20</v>
      </c>
      <c r="F103" s="2">
        <v>9043</v>
      </c>
      <c r="G103" s="2">
        <v>1192</v>
      </c>
      <c r="H103" s="2">
        <v>810</v>
      </c>
      <c r="I103" s="2">
        <v>1550</v>
      </c>
      <c r="J103" s="2">
        <v>5221</v>
      </c>
      <c r="K103" s="2">
        <v>199476</v>
      </c>
      <c r="L103" s="4">
        <v>5.53700695823056E-2</v>
      </c>
      <c r="M103" t="s">
        <v>8</v>
      </c>
      <c r="W103" s="9">
        <v>45621</v>
      </c>
      <c r="X103" s="10" t="s">
        <v>10</v>
      </c>
      <c r="Y103" s="11">
        <v>6827</v>
      </c>
      <c r="Z103" s="11">
        <v>775</v>
      </c>
      <c r="AA103" s="11">
        <v>661697</v>
      </c>
      <c r="AB103" s="12">
        <v>15.96622018839439</v>
      </c>
      <c r="AC103" s="13">
        <v>56850</v>
      </c>
    </row>
    <row r="104" spans="1:29" x14ac:dyDescent="0.3">
      <c r="A104" t="s">
        <v>127</v>
      </c>
      <c r="B104" t="s">
        <v>28</v>
      </c>
      <c r="C104" s="1">
        <v>45927</v>
      </c>
      <c r="D104" t="s">
        <v>11</v>
      </c>
      <c r="E104" t="s">
        <v>7</v>
      </c>
      <c r="F104" s="2">
        <v>18521</v>
      </c>
      <c r="G104" s="2">
        <v>1027</v>
      </c>
      <c r="H104" s="2">
        <v>230</v>
      </c>
      <c r="I104" s="2">
        <v>1247</v>
      </c>
      <c r="J104" s="2">
        <v>39588</v>
      </c>
      <c r="K104" s="2">
        <v>200928</v>
      </c>
      <c r="L104" s="4">
        <v>9.8433269628921793E-2</v>
      </c>
      <c r="M104" t="s">
        <v>8</v>
      </c>
      <c r="W104" s="9">
        <v>45621</v>
      </c>
      <c r="X104" s="10" t="s">
        <v>6</v>
      </c>
      <c r="Y104" s="11">
        <v>9737</v>
      </c>
      <c r="Z104" s="11">
        <v>792</v>
      </c>
      <c r="AA104" s="11">
        <v>670642</v>
      </c>
      <c r="AB104" s="12">
        <v>5.301785453341723</v>
      </c>
      <c r="AC104" s="13">
        <v>56698</v>
      </c>
    </row>
    <row r="105" spans="1:29" x14ac:dyDescent="0.3">
      <c r="A105" t="s">
        <v>128</v>
      </c>
      <c r="B105" t="s">
        <v>6</v>
      </c>
      <c r="C105" s="1">
        <v>45739</v>
      </c>
      <c r="D105" t="s">
        <v>2</v>
      </c>
      <c r="E105" t="s">
        <v>12</v>
      </c>
      <c r="F105" s="2">
        <v>24711</v>
      </c>
      <c r="G105" s="2">
        <v>882</v>
      </c>
      <c r="H105" s="2">
        <v>876</v>
      </c>
      <c r="I105" s="2">
        <v>2728</v>
      </c>
      <c r="J105" s="2">
        <v>32015</v>
      </c>
      <c r="K105" s="2">
        <v>180272</v>
      </c>
      <c r="L105" s="4">
        <v>0.14682812638679299</v>
      </c>
      <c r="M105" t="s">
        <v>17</v>
      </c>
      <c r="W105" s="9">
        <v>45621</v>
      </c>
      <c r="X105" s="10" t="s">
        <v>1</v>
      </c>
      <c r="Y105" s="11">
        <v>5719</v>
      </c>
      <c r="Z105" s="11">
        <v>576</v>
      </c>
      <c r="AA105" s="11">
        <v>675785</v>
      </c>
      <c r="AB105" s="12">
        <v>10.21656296011305</v>
      </c>
      <c r="AC105" s="13">
        <v>38272</v>
      </c>
    </row>
    <row r="106" spans="1:29" x14ac:dyDescent="0.3">
      <c r="A106" t="s">
        <v>129</v>
      </c>
      <c r="B106" t="s">
        <v>28</v>
      </c>
      <c r="C106" s="1">
        <v>45457</v>
      </c>
      <c r="D106" t="s">
        <v>22</v>
      </c>
      <c r="E106" t="s">
        <v>29</v>
      </c>
      <c r="F106" s="2">
        <v>21856</v>
      </c>
      <c r="G106" s="2">
        <v>1203</v>
      </c>
      <c r="H106" s="2">
        <v>634</v>
      </c>
      <c r="I106" s="2">
        <v>2807</v>
      </c>
      <c r="J106" s="2">
        <v>3647</v>
      </c>
      <c r="K106" s="2">
        <v>104178</v>
      </c>
      <c r="L106" s="4">
        <v>0.22742805582752601</v>
      </c>
      <c r="M106" t="s">
        <v>17</v>
      </c>
      <c r="W106" s="9">
        <v>45628</v>
      </c>
      <c r="X106" s="10" t="s">
        <v>10</v>
      </c>
      <c r="Y106" s="11">
        <v>1593</v>
      </c>
      <c r="Z106" s="11">
        <v>224</v>
      </c>
      <c r="AA106" s="11">
        <v>677154</v>
      </c>
      <c r="AB106" s="12">
        <v>4.1495730660972248</v>
      </c>
      <c r="AC106" s="13">
        <v>52845</v>
      </c>
    </row>
    <row r="107" spans="1:29" x14ac:dyDescent="0.3">
      <c r="A107" t="s">
        <v>130</v>
      </c>
      <c r="B107" t="s">
        <v>28</v>
      </c>
      <c r="C107" s="1">
        <v>45692</v>
      </c>
      <c r="D107" t="s">
        <v>22</v>
      </c>
      <c r="E107" t="s">
        <v>25</v>
      </c>
      <c r="F107" s="2">
        <v>23833</v>
      </c>
      <c r="G107" s="2">
        <v>555</v>
      </c>
      <c r="H107" s="2">
        <v>523</v>
      </c>
      <c r="I107" s="2">
        <v>1330</v>
      </c>
      <c r="J107" s="2">
        <v>69141</v>
      </c>
      <c r="K107" s="2">
        <v>73997</v>
      </c>
      <c r="L107" s="4">
        <v>0.33664878305877299</v>
      </c>
      <c r="M107" t="s">
        <v>17</v>
      </c>
      <c r="W107" s="9">
        <v>45628</v>
      </c>
      <c r="X107" s="10" t="s">
        <v>6</v>
      </c>
      <c r="Y107" s="11">
        <v>5839</v>
      </c>
      <c r="Z107" s="11">
        <v>437</v>
      </c>
      <c r="AA107" s="11">
        <v>682556</v>
      </c>
      <c r="AB107" s="12">
        <v>17.44750613869045</v>
      </c>
      <c r="AC107" s="13">
        <v>16397</v>
      </c>
    </row>
    <row r="108" spans="1:29" x14ac:dyDescent="0.3">
      <c r="A108" t="s">
        <v>131</v>
      </c>
      <c r="B108" t="s">
        <v>28</v>
      </c>
      <c r="C108" s="1">
        <v>45464</v>
      </c>
      <c r="D108" t="s">
        <v>15</v>
      </c>
      <c r="E108" t="s">
        <v>16</v>
      </c>
      <c r="F108" s="2">
        <v>21216</v>
      </c>
      <c r="G108" s="2">
        <v>1207</v>
      </c>
      <c r="H108" s="2">
        <v>859</v>
      </c>
      <c r="I108" s="2">
        <v>328</v>
      </c>
      <c r="J108" s="2">
        <v>91296</v>
      </c>
      <c r="K108" s="2">
        <v>196683</v>
      </c>
      <c r="L108" s="4">
        <v>0.118373219851233</v>
      </c>
      <c r="M108" t="s">
        <v>13</v>
      </c>
      <c r="W108" s="9">
        <v>45628</v>
      </c>
      <c r="X108" s="10" t="s">
        <v>10</v>
      </c>
      <c r="Y108" s="11">
        <v>8394</v>
      </c>
      <c r="Z108" s="11">
        <v>764</v>
      </c>
      <c r="AA108" s="11">
        <v>690186</v>
      </c>
      <c r="AB108" s="12">
        <v>6.3556780346167558</v>
      </c>
      <c r="AC108" s="13">
        <v>42373</v>
      </c>
    </row>
    <row r="109" spans="1:29" x14ac:dyDescent="0.3">
      <c r="A109" t="s">
        <v>132</v>
      </c>
      <c r="B109" t="s">
        <v>6</v>
      </c>
      <c r="C109" s="1">
        <v>45928</v>
      </c>
      <c r="D109" t="s">
        <v>22</v>
      </c>
      <c r="E109" t="s">
        <v>25</v>
      </c>
      <c r="F109" s="2">
        <v>21963</v>
      </c>
      <c r="G109" s="2">
        <v>1356</v>
      </c>
      <c r="H109" s="2">
        <v>349</v>
      </c>
      <c r="I109" s="2">
        <v>1206</v>
      </c>
      <c r="J109" s="2">
        <v>51755</v>
      </c>
      <c r="K109" s="2">
        <v>159273</v>
      </c>
      <c r="L109" s="4">
        <v>0.14860020216860401</v>
      </c>
      <c r="M109" t="s">
        <v>8</v>
      </c>
      <c r="W109" s="9">
        <v>45628</v>
      </c>
      <c r="X109" s="10" t="s">
        <v>1</v>
      </c>
      <c r="Y109" s="11">
        <v>4493</v>
      </c>
      <c r="Z109" s="11">
        <v>564</v>
      </c>
      <c r="AA109" s="11">
        <v>694115</v>
      </c>
      <c r="AB109" s="12">
        <v>16.625487131094989</v>
      </c>
      <c r="AC109" s="13">
        <v>45525</v>
      </c>
    </row>
    <row r="110" spans="1:29" x14ac:dyDescent="0.3">
      <c r="A110" t="s">
        <v>133</v>
      </c>
      <c r="B110" t="s">
        <v>28</v>
      </c>
      <c r="C110" s="1">
        <v>45512</v>
      </c>
      <c r="D110" t="s">
        <v>22</v>
      </c>
      <c r="E110" t="s">
        <v>25</v>
      </c>
      <c r="F110" s="2">
        <v>24355</v>
      </c>
      <c r="G110" s="2">
        <v>1087</v>
      </c>
      <c r="H110" s="2">
        <v>686</v>
      </c>
      <c r="I110" s="2">
        <v>2426</v>
      </c>
      <c r="J110" s="2">
        <v>24963</v>
      </c>
      <c r="K110" s="2">
        <v>212307</v>
      </c>
      <c r="L110" s="4">
        <v>0.123067067972323</v>
      </c>
      <c r="M110" t="s">
        <v>4</v>
      </c>
      <c r="W110" s="9">
        <v>45635</v>
      </c>
      <c r="X110" s="10" t="s">
        <v>28</v>
      </c>
      <c r="Y110" s="11">
        <v>7164</v>
      </c>
      <c r="Z110" s="11">
        <v>522</v>
      </c>
      <c r="AA110" s="11">
        <v>700757</v>
      </c>
      <c r="AB110" s="12">
        <v>13.449169969047761</v>
      </c>
      <c r="AC110" s="13">
        <v>34570</v>
      </c>
    </row>
    <row r="111" spans="1:29" x14ac:dyDescent="0.3">
      <c r="A111" t="s">
        <v>134</v>
      </c>
      <c r="B111" t="s">
        <v>1</v>
      </c>
      <c r="C111" s="1">
        <v>45502</v>
      </c>
      <c r="D111" t="s">
        <v>15</v>
      </c>
      <c r="E111" t="s">
        <v>25</v>
      </c>
      <c r="F111" s="2">
        <v>6164</v>
      </c>
      <c r="G111" s="2">
        <v>326</v>
      </c>
      <c r="H111" s="2">
        <v>615</v>
      </c>
      <c r="I111" s="2">
        <v>2806</v>
      </c>
      <c r="J111" s="2">
        <v>38579</v>
      </c>
      <c r="K111" s="2">
        <v>206129</v>
      </c>
      <c r="L111" s="4">
        <v>3.4468706489625398E-2</v>
      </c>
      <c r="M111" t="s">
        <v>33</v>
      </c>
      <c r="W111" s="9">
        <v>45635</v>
      </c>
      <c r="X111" s="10" t="s">
        <v>10</v>
      </c>
      <c r="Y111" s="11">
        <v>3672</v>
      </c>
      <c r="Z111" s="11">
        <v>211</v>
      </c>
      <c r="AA111" s="11">
        <v>704218</v>
      </c>
      <c r="AB111" s="12">
        <v>12.35057894004413</v>
      </c>
      <c r="AC111" s="13">
        <v>28284</v>
      </c>
    </row>
    <row r="112" spans="1:29" x14ac:dyDescent="0.3">
      <c r="A112" t="s">
        <v>135</v>
      </c>
      <c r="B112" t="s">
        <v>6</v>
      </c>
      <c r="C112" s="1">
        <v>45619</v>
      </c>
      <c r="D112" t="s">
        <v>11</v>
      </c>
      <c r="E112" t="s">
        <v>20</v>
      </c>
      <c r="F112" s="2">
        <v>9941</v>
      </c>
      <c r="G112" s="2">
        <v>1329</v>
      </c>
      <c r="H112" s="2">
        <v>238</v>
      </c>
      <c r="I112" s="2">
        <v>869</v>
      </c>
      <c r="J112" s="2">
        <v>40281</v>
      </c>
      <c r="K112" s="2">
        <v>172311</v>
      </c>
      <c r="L112" s="4">
        <v>6.6786217943137702E-2</v>
      </c>
      <c r="M112" t="s">
        <v>13</v>
      </c>
      <c r="W112" s="9">
        <v>45635</v>
      </c>
      <c r="X112" s="10" t="s">
        <v>1</v>
      </c>
      <c r="Y112" s="11">
        <v>5200</v>
      </c>
      <c r="Z112" s="11">
        <v>410</v>
      </c>
      <c r="AA112" s="11">
        <v>709008</v>
      </c>
      <c r="AB112" s="12">
        <v>12.913394489201821</v>
      </c>
      <c r="AC112" s="13">
        <v>28994</v>
      </c>
    </row>
    <row r="113" spans="1:29" x14ac:dyDescent="0.3">
      <c r="A113" t="s">
        <v>136</v>
      </c>
      <c r="B113" t="s">
        <v>1</v>
      </c>
      <c r="C113" s="1">
        <v>45570</v>
      </c>
      <c r="D113" t="s">
        <v>22</v>
      </c>
      <c r="E113" t="s">
        <v>7</v>
      </c>
      <c r="F113" s="2">
        <v>16388</v>
      </c>
      <c r="G113" s="2">
        <v>1208</v>
      </c>
      <c r="H113" s="2">
        <v>417</v>
      </c>
      <c r="I113" s="2">
        <v>2306</v>
      </c>
      <c r="J113" s="2">
        <v>16865</v>
      </c>
      <c r="K113" s="2">
        <v>236733</v>
      </c>
      <c r="L113" s="4">
        <v>7.6089940988370894E-2</v>
      </c>
      <c r="M113" t="s">
        <v>4</v>
      </c>
      <c r="W113" s="9">
        <v>45635</v>
      </c>
      <c r="X113" s="10" t="s">
        <v>6</v>
      </c>
      <c r="Y113" s="11">
        <v>1016</v>
      </c>
      <c r="Z113" s="11">
        <v>67</v>
      </c>
      <c r="AA113" s="11">
        <v>709957</v>
      </c>
      <c r="AB113" s="12">
        <v>20.774215903216671</v>
      </c>
      <c r="AC113" s="13">
        <v>33284</v>
      </c>
    </row>
    <row r="114" spans="1:29" x14ac:dyDescent="0.3">
      <c r="A114" t="s">
        <v>137</v>
      </c>
      <c r="B114" t="s">
        <v>6</v>
      </c>
      <c r="C114" s="1">
        <v>45929</v>
      </c>
      <c r="D114" t="s">
        <v>15</v>
      </c>
      <c r="E114" t="s">
        <v>43</v>
      </c>
      <c r="F114" s="2">
        <v>7569</v>
      </c>
      <c r="G114" s="2">
        <v>803</v>
      </c>
      <c r="H114" s="2">
        <v>804</v>
      </c>
      <c r="I114" s="2">
        <v>1753</v>
      </c>
      <c r="J114" s="2">
        <v>43582</v>
      </c>
      <c r="K114" s="2">
        <v>166945</v>
      </c>
      <c r="L114" s="4">
        <v>5.4964209769684601E-2</v>
      </c>
      <c r="M114" t="s">
        <v>8</v>
      </c>
      <c r="W114" s="9">
        <v>45642</v>
      </c>
      <c r="X114" s="10" t="s">
        <v>10</v>
      </c>
      <c r="Y114" s="11">
        <v>4191</v>
      </c>
      <c r="Z114" s="11">
        <v>599</v>
      </c>
      <c r="AA114" s="11">
        <v>713549</v>
      </c>
      <c r="AB114" s="12">
        <v>11.56416728213479</v>
      </c>
      <c r="AC114" s="13">
        <v>27833</v>
      </c>
    </row>
    <row r="115" spans="1:29" x14ac:dyDescent="0.3">
      <c r="A115" t="s">
        <v>138</v>
      </c>
      <c r="B115" t="s">
        <v>28</v>
      </c>
      <c r="C115" s="1">
        <v>45610</v>
      </c>
      <c r="D115" t="s">
        <v>2</v>
      </c>
      <c r="E115" t="s">
        <v>12</v>
      </c>
      <c r="F115" s="2">
        <v>6300</v>
      </c>
      <c r="G115" s="2">
        <v>1213</v>
      </c>
      <c r="H115" s="2">
        <v>720</v>
      </c>
      <c r="I115" s="2">
        <v>1037</v>
      </c>
      <c r="J115" s="2">
        <v>39569</v>
      </c>
      <c r="K115" s="2">
        <v>85272</v>
      </c>
      <c r="L115" s="4">
        <v>9.6549863964724605E-2</v>
      </c>
      <c r="M115" t="s">
        <v>17</v>
      </c>
      <c r="W115" s="9">
        <v>45642</v>
      </c>
      <c r="X115" s="10" t="s">
        <v>10</v>
      </c>
      <c r="Y115" s="11">
        <v>1392</v>
      </c>
      <c r="Z115" s="11">
        <v>182</v>
      </c>
      <c r="AA115" s="11">
        <v>714759</v>
      </c>
      <c r="AB115" s="12">
        <v>5.9603306848881932</v>
      </c>
      <c r="AC115" s="13">
        <v>35122</v>
      </c>
    </row>
    <row r="116" spans="1:29" x14ac:dyDescent="0.3">
      <c r="A116" t="s">
        <v>139</v>
      </c>
      <c r="B116" t="s">
        <v>1</v>
      </c>
      <c r="C116" s="1">
        <v>45930</v>
      </c>
      <c r="D116" t="s">
        <v>11</v>
      </c>
      <c r="E116" t="s">
        <v>3</v>
      </c>
      <c r="F116" s="2">
        <v>8269</v>
      </c>
      <c r="G116" s="2">
        <v>250</v>
      </c>
      <c r="H116" s="2">
        <v>638</v>
      </c>
      <c r="I116" s="2">
        <v>815</v>
      </c>
      <c r="J116" s="2">
        <v>41991</v>
      </c>
      <c r="K116" s="2">
        <v>129393</v>
      </c>
      <c r="L116" s="4">
        <v>7.0768897853825202E-2</v>
      </c>
      <c r="M116" t="s">
        <v>8</v>
      </c>
      <c r="W116" s="9">
        <v>45642</v>
      </c>
      <c r="X116" s="10" t="s">
        <v>6</v>
      </c>
      <c r="Y116" s="11">
        <v>9616</v>
      </c>
      <c r="Z116" s="11">
        <v>1089</v>
      </c>
      <c r="AA116" s="11">
        <v>723286</v>
      </c>
      <c r="AB116" s="12">
        <v>19.25863351426683</v>
      </c>
      <c r="AC116" s="13">
        <v>15017</v>
      </c>
    </row>
    <row r="117" spans="1:29" x14ac:dyDescent="0.3">
      <c r="A117" t="s">
        <v>140</v>
      </c>
      <c r="B117" t="s">
        <v>6</v>
      </c>
      <c r="C117" s="1">
        <v>45734</v>
      </c>
      <c r="D117" t="s">
        <v>2</v>
      </c>
      <c r="E117" t="s">
        <v>25</v>
      </c>
      <c r="F117" s="2">
        <v>5818</v>
      </c>
      <c r="G117" s="2">
        <v>1252</v>
      </c>
      <c r="H117" s="2">
        <v>687</v>
      </c>
      <c r="I117" s="2">
        <v>2300</v>
      </c>
      <c r="J117" s="2">
        <v>25081</v>
      </c>
      <c r="K117" s="2">
        <v>101212</v>
      </c>
      <c r="L117" s="4">
        <v>7.6641109749832001E-2</v>
      </c>
      <c r="M117" t="s">
        <v>33</v>
      </c>
      <c r="W117" s="9">
        <v>45642</v>
      </c>
      <c r="X117" s="10" t="s">
        <v>28</v>
      </c>
      <c r="Y117" s="11">
        <v>7272</v>
      </c>
      <c r="Z117" s="11">
        <v>997</v>
      </c>
      <c r="AA117" s="11">
        <v>729561</v>
      </c>
      <c r="AB117" s="12">
        <v>13.428486445958599</v>
      </c>
      <c r="AC117" s="13">
        <v>26370</v>
      </c>
    </row>
    <row r="118" spans="1:29" x14ac:dyDescent="0.3">
      <c r="A118" t="s">
        <v>141</v>
      </c>
      <c r="B118" t="s">
        <v>10</v>
      </c>
      <c r="C118" s="1">
        <v>45600</v>
      </c>
      <c r="D118" t="s">
        <v>2</v>
      </c>
      <c r="E118" t="s">
        <v>38</v>
      </c>
      <c r="F118" s="2">
        <v>14015</v>
      </c>
      <c r="G118" s="2">
        <v>978</v>
      </c>
      <c r="H118" s="2">
        <v>196</v>
      </c>
      <c r="I118" s="2">
        <v>2744</v>
      </c>
      <c r="J118" s="2">
        <v>20190</v>
      </c>
      <c r="K118" s="2">
        <v>186470</v>
      </c>
      <c r="L118" s="4">
        <v>8.1455462004611998E-2</v>
      </c>
      <c r="M118" t="s">
        <v>13</v>
      </c>
      <c r="W118" s="9">
        <v>45649</v>
      </c>
      <c r="X118" s="10" t="s">
        <v>6</v>
      </c>
      <c r="Y118" s="11">
        <v>1571</v>
      </c>
      <c r="Z118" s="11">
        <v>204</v>
      </c>
      <c r="AA118" s="11">
        <v>730928</v>
      </c>
      <c r="AB118" s="12">
        <v>19.449384891535139</v>
      </c>
      <c r="AC118" s="13">
        <v>39252</v>
      </c>
    </row>
    <row r="119" spans="1:29" x14ac:dyDescent="0.3">
      <c r="A119" t="s">
        <v>142</v>
      </c>
      <c r="B119" t="s">
        <v>28</v>
      </c>
      <c r="C119" s="1">
        <v>45600</v>
      </c>
      <c r="D119" t="s">
        <v>15</v>
      </c>
      <c r="E119" t="s">
        <v>20</v>
      </c>
      <c r="F119" s="2">
        <v>14234</v>
      </c>
      <c r="G119" s="2">
        <v>1013</v>
      </c>
      <c r="H119" s="2">
        <v>437</v>
      </c>
      <c r="I119" s="2">
        <v>338</v>
      </c>
      <c r="J119" s="2">
        <v>67754</v>
      </c>
      <c r="K119" s="2">
        <v>160030</v>
      </c>
      <c r="L119" s="4">
        <v>9.8006623758045405E-2</v>
      </c>
      <c r="M119" t="s">
        <v>13</v>
      </c>
      <c r="W119" s="9">
        <v>45649</v>
      </c>
      <c r="X119" s="10" t="s">
        <v>10</v>
      </c>
      <c r="Y119" s="11">
        <v>4631</v>
      </c>
      <c r="Z119" s="11">
        <v>317</v>
      </c>
      <c r="AA119" s="11">
        <v>735242</v>
      </c>
      <c r="AB119" s="12">
        <v>1.381177897889402</v>
      </c>
      <c r="AC119" s="13">
        <v>17999</v>
      </c>
    </row>
    <row r="120" spans="1:29" x14ac:dyDescent="0.3">
      <c r="A120" t="s">
        <v>143</v>
      </c>
      <c r="B120" t="s">
        <v>6</v>
      </c>
      <c r="C120" s="1">
        <v>45695</v>
      </c>
      <c r="D120" t="s">
        <v>22</v>
      </c>
      <c r="E120" t="s">
        <v>103</v>
      </c>
      <c r="F120" s="2">
        <v>20290</v>
      </c>
      <c r="G120" s="2">
        <v>619</v>
      </c>
      <c r="H120" s="2">
        <v>927</v>
      </c>
      <c r="I120" s="2">
        <v>1186</v>
      </c>
      <c r="J120" s="2">
        <v>8924</v>
      </c>
      <c r="K120" s="2">
        <v>96503</v>
      </c>
      <c r="L120" s="4">
        <v>0.22627275835984401</v>
      </c>
      <c r="M120" t="s">
        <v>33</v>
      </c>
      <c r="W120" s="9">
        <v>45649</v>
      </c>
      <c r="X120" s="10" t="s">
        <v>6</v>
      </c>
      <c r="Y120" s="11">
        <v>7172</v>
      </c>
      <c r="Z120" s="11">
        <v>998</v>
      </c>
      <c r="AA120" s="11">
        <v>741416</v>
      </c>
      <c r="AB120" s="12">
        <v>18.0667803230575</v>
      </c>
      <c r="AC120" s="13">
        <v>32436</v>
      </c>
    </row>
    <row r="121" spans="1:29" x14ac:dyDescent="0.3">
      <c r="A121" t="s">
        <v>144</v>
      </c>
      <c r="B121" t="s">
        <v>10</v>
      </c>
      <c r="C121" s="1">
        <v>45586</v>
      </c>
      <c r="D121" t="s">
        <v>15</v>
      </c>
      <c r="E121" t="s">
        <v>16</v>
      </c>
      <c r="F121" s="2">
        <v>8254</v>
      </c>
      <c r="G121" s="2">
        <v>1405</v>
      </c>
      <c r="H121" s="2">
        <v>165</v>
      </c>
      <c r="I121" s="2">
        <v>2504</v>
      </c>
      <c r="J121" s="2">
        <v>8081</v>
      </c>
      <c r="K121" s="2">
        <v>177710</v>
      </c>
      <c r="L121" s="4">
        <v>5.5281075910190797E-2</v>
      </c>
      <c r="M121" t="s">
        <v>4</v>
      </c>
      <c r="W121" s="9">
        <v>45649</v>
      </c>
      <c r="X121" s="10" t="s">
        <v>1</v>
      </c>
      <c r="Y121" s="11">
        <v>8177</v>
      </c>
      <c r="Z121" s="11">
        <v>849</v>
      </c>
      <c r="AA121" s="11">
        <v>748744</v>
      </c>
      <c r="AB121" s="12">
        <v>10.34986590877523</v>
      </c>
      <c r="AC121" s="13">
        <v>52963</v>
      </c>
    </row>
    <row r="122" spans="1:29" x14ac:dyDescent="0.3">
      <c r="A122" t="s">
        <v>145</v>
      </c>
      <c r="B122" t="s">
        <v>6</v>
      </c>
      <c r="C122" s="1">
        <v>45502</v>
      </c>
      <c r="D122" t="s">
        <v>15</v>
      </c>
      <c r="E122" t="s">
        <v>3</v>
      </c>
      <c r="F122" s="2">
        <v>19144</v>
      </c>
      <c r="G122" s="2">
        <v>1182</v>
      </c>
      <c r="H122" s="2">
        <v>860</v>
      </c>
      <c r="I122" s="2">
        <v>1398</v>
      </c>
      <c r="J122" s="2">
        <v>4185</v>
      </c>
      <c r="K122" s="2">
        <v>46570</v>
      </c>
      <c r="L122" s="4">
        <v>0.454928065278076</v>
      </c>
      <c r="M122" t="s">
        <v>4</v>
      </c>
      <c r="W122" s="9">
        <v>45656</v>
      </c>
      <c r="X122" s="10" t="s">
        <v>6</v>
      </c>
      <c r="Y122" s="11">
        <v>9433</v>
      </c>
      <c r="Z122" s="11">
        <v>1233</v>
      </c>
      <c r="AA122" s="11">
        <v>756944</v>
      </c>
      <c r="AB122" s="12">
        <v>11.391727789638329</v>
      </c>
      <c r="AC122" s="13">
        <v>12096</v>
      </c>
    </row>
    <row r="123" spans="1:29" x14ac:dyDescent="0.3">
      <c r="A123" t="s">
        <v>146</v>
      </c>
      <c r="B123" t="s">
        <v>10</v>
      </c>
      <c r="C123" s="1">
        <v>45567</v>
      </c>
      <c r="D123" t="s">
        <v>15</v>
      </c>
      <c r="E123" t="s">
        <v>43</v>
      </c>
      <c r="F123" s="2">
        <v>9350</v>
      </c>
      <c r="G123" s="2">
        <v>1024</v>
      </c>
      <c r="H123" s="2">
        <v>550</v>
      </c>
      <c r="I123" s="2">
        <v>2123</v>
      </c>
      <c r="J123" s="2">
        <v>53916</v>
      </c>
      <c r="K123" s="2">
        <v>108785</v>
      </c>
      <c r="L123" s="4">
        <v>0.10041825619340899</v>
      </c>
      <c r="M123" t="s">
        <v>13</v>
      </c>
      <c r="W123" s="9">
        <v>45656</v>
      </c>
      <c r="X123" s="10" t="s">
        <v>10</v>
      </c>
      <c r="Y123" s="11">
        <v>4897</v>
      </c>
      <c r="Z123" s="11">
        <v>683</v>
      </c>
      <c r="AA123" s="11">
        <v>761158</v>
      </c>
      <c r="AB123" s="12">
        <v>15.06231294947961</v>
      </c>
      <c r="AC123" s="13">
        <v>58201</v>
      </c>
    </row>
    <row r="124" spans="1:29" x14ac:dyDescent="0.3">
      <c r="A124" t="s">
        <v>147</v>
      </c>
      <c r="B124" t="s">
        <v>28</v>
      </c>
      <c r="C124" s="1">
        <v>45457</v>
      </c>
      <c r="D124" t="s">
        <v>15</v>
      </c>
      <c r="E124" t="s">
        <v>38</v>
      </c>
      <c r="F124" s="2">
        <v>17183</v>
      </c>
      <c r="G124" s="2">
        <v>1224</v>
      </c>
      <c r="H124" s="2">
        <v>943</v>
      </c>
      <c r="I124" s="2">
        <v>2010</v>
      </c>
      <c r="J124" s="2">
        <v>21481</v>
      </c>
      <c r="K124" s="2">
        <v>49110</v>
      </c>
      <c r="L124" s="4">
        <v>0.39401343921808202</v>
      </c>
      <c r="M124" t="s">
        <v>13</v>
      </c>
      <c r="W124" s="9">
        <v>45656</v>
      </c>
      <c r="X124" s="10" t="s">
        <v>6</v>
      </c>
      <c r="Y124" s="11">
        <v>9123</v>
      </c>
      <c r="Z124" s="11">
        <v>746</v>
      </c>
      <c r="AA124" s="11">
        <v>769535</v>
      </c>
      <c r="AB124" s="12">
        <v>6.3086149427901264</v>
      </c>
      <c r="AC124" s="13">
        <v>35279</v>
      </c>
    </row>
    <row r="125" spans="1:29" x14ac:dyDescent="0.3">
      <c r="A125" t="s">
        <v>148</v>
      </c>
      <c r="B125" t="s">
        <v>1</v>
      </c>
      <c r="C125" s="1">
        <v>45753</v>
      </c>
      <c r="D125" t="s">
        <v>11</v>
      </c>
      <c r="E125" t="s">
        <v>43</v>
      </c>
      <c r="F125" s="2">
        <v>8238</v>
      </c>
      <c r="G125" s="2">
        <v>766</v>
      </c>
      <c r="H125" s="2">
        <v>235</v>
      </c>
      <c r="I125" s="2">
        <v>1273</v>
      </c>
      <c r="J125" s="2">
        <v>4706</v>
      </c>
      <c r="K125" s="2">
        <v>119141</v>
      </c>
      <c r="L125" s="4">
        <v>7.7546772311798601E-2</v>
      </c>
      <c r="M125" t="s">
        <v>17</v>
      </c>
      <c r="W125" s="9">
        <v>45656</v>
      </c>
      <c r="X125" s="10" t="s">
        <v>28</v>
      </c>
      <c r="Y125" s="11">
        <v>3279</v>
      </c>
      <c r="Z125" s="11">
        <v>200</v>
      </c>
      <c r="AA125" s="11">
        <v>772614</v>
      </c>
      <c r="AB125" s="12">
        <v>5.0212654702089274</v>
      </c>
      <c r="AC125" s="13">
        <v>53363</v>
      </c>
    </row>
    <row r="126" spans="1:29" x14ac:dyDescent="0.3">
      <c r="A126" t="s">
        <v>149</v>
      </c>
      <c r="B126" t="s">
        <v>10</v>
      </c>
      <c r="C126" s="1">
        <v>45543</v>
      </c>
      <c r="D126" t="s">
        <v>22</v>
      </c>
      <c r="E126" t="s">
        <v>3</v>
      </c>
      <c r="F126" s="2">
        <v>8090</v>
      </c>
      <c r="G126" s="2">
        <v>570</v>
      </c>
      <c r="H126" s="2">
        <v>399</v>
      </c>
      <c r="I126" s="2">
        <v>1862</v>
      </c>
      <c r="J126" s="2">
        <v>34088</v>
      </c>
      <c r="K126" s="2">
        <v>52115</v>
      </c>
      <c r="L126" s="4">
        <v>0.173827113115226</v>
      </c>
      <c r="M126" t="s">
        <v>4</v>
      </c>
      <c r="W126" s="9">
        <v>45663</v>
      </c>
      <c r="X126" s="10" t="s">
        <v>6</v>
      </c>
      <c r="Y126" s="11">
        <v>9980</v>
      </c>
      <c r="Z126" s="11">
        <v>726</v>
      </c>
      <c r="AA126" s="11">
        <v>781868</v>
      </c>
      <c r="AB126" s="12">
        <v>4.0220344099003924</v>
      </c>
      <c r="AC126" s="13">
        <v>58709</v>
      </c>
    </row>
    <row r="127" spans="1:29" x14ac:dyDescent="0.3">
      <c r="A127" t="s">
        <v>150</v>
      </c>
      <c r="B127" t="s">
        <v>6</v>
      </c>
      <c r="C127" s="1">
        <v>45744</v>
      </c>
      <c r="D127" t="s">
        <v>2</v>
      </c>
      <c r="E127" t="s">
        <v>25</v>
      </c>
      <c r="F127" s="2">
        <v>13637</v>
      </c>
      <c r="G127" s="2">
        <v>1135</v>
      </c>
      <c r="H127" s="2">
        <v>540</v>
      </c>
      <c r="I127" s="2">
        <v>1288</v>
      </c>
      <c r="J127" s="2">
        <v>45183</v>
      </c>
      <c r="K127" s="2">
        <v>79062</v>
      </c>
      <c r="L127" s="4">
        <v>0.193670790012901</v>
      </c>
      <c r="M127" t="s">
        <v>33</v>
      </c>
      <c r="W127" s="9">
        <v>45663</v>
      </c>
      <c r="X127" s="10" t="s">
        <v>28</v>
      </c>
      <c r="Y127" s="11">
        <v>8451</v>
      </c>
      <c r="Z127" s="11">
        <v>783</v>
      </c>
      <c r="AA127" s="11">
        <v>789536</v>
      </c>
      <c r="AB127" s="12">
        <v>12.407287318121019</v>
      </c>
      <c r="AC127" s="13">
        <v>36201</v>
      </c>
    </row>
    <row r="128" spans="1:29" x14ac:dyDescent="0.3">
      <c r="A128" t="s">
        <v>151</v>
      </c>
      <c r="B128" t="s">
        <v>28</v>
      </c>
      <c r="C128" s="1">
        <v>45684</v>
      </c>
      <c r="D128" t="s">
        <v>2</v>
      </c>
      <c r="E128" t="s">
        <v>38</v>
      </c>
      <c r="F128" s="2">
        <v>24415</v>
      </c>
      <c r="G128" s="2">
        <v>860</v>
      </c>
      <c r="H128" s="2">
        <v>931</v>
      </c>
      <c r="I128" s="2">
        <v>320</v>
      </c>
      <c r="J128" s="2">
        <v>65049</v>
      </c>
      <c r="K128" s="2">
        <v>62911</v>
      </c>
      <c r="L128" s="4">
        <v>0.41655672298961999</v>
      </c>
      <c r="M128" t="s">
        <v>4</v>
      </c>
      <c r="W128" s="9">
        <v>45663</v>
      </c>
      <c r="X128" s="10" t="s">
        <v>1</v>
      </c>
      <c r="Y128" s="11">
        <v>9906</v>
      </c>
      <c r="Z128" s="11">
        <v>1305</v>
      </c>
      <c r="AA128" s="11">
        <v>798137</v>
      </c>
      <c r="AB128" s="12">
        <v>9.1811305577864442</v>
      </c>
      <c r="AC128" s="13">
        <v>29715</v>
      </c>
    </row>
    <row r="129" spans="1:29" x14ac:dyDescent="0.3">
      <c r="A129" t="s">
        <v>152</v>
      </c>
      <c r="B129" t="s">
        <v>10</v>
      </c>
      <c r="C129" s="1">
        <v>45667</v>
      </c>
      <c r="D129" t="s">
        <v>22</v>
      </c>
      <c r="E129" t="s">
        <v>43</v>
      </c>
      <c r="F129" s="2">
        <v>14647</v>
      </c>
      <c r="G129" s="2">
        <v>1168</v>
      </c>
      <c r="H129" s="2">
        <v>484</v>
      </c>
      <c r="I129" s="2">
        <v>2650</v>
      </c>
      <c r="J129" s="2">
        <v>27217</v>
      </c>
      <c r="K129" s="2">
        <v>144061</v>
      </c>
      <c r="L129" s="4">
        <v>0.113139572819847</v>
      </c>
      <c r="M129" t="s">
        <v>17</v>
      </c>
      <c r="W129" s="9">
        <v>45663</v>
      </c>
      <c r="X129" s="10" t="s">
        <v>28</v>
      </c>
      <c r="Y129" s="11">
        <v>1775</v>
      </c>
      <c r="Z129" s="11">
        <v>241</v>
      </c>
      <c r="AA129" s="11">
        <v>799671</v>
      </c>
      <c r="AB129" s="12">
        <v>8.1379717408784362</v>
      </c>
      <c r="AC129" s="13">
        <v>39309</v>
      </c>
    </row>
    <row r="130" spans="1:29" x14ac:dyDescent="0.3">
      <c r="A130" t="s">
        <v>153</v>
      </c>
      <c r="B130" t="s">
        <v>6</v>
      </c>
      <c r="C130" s="1">
        <v>45494</v>
      </c>
      <c r="D130" t="s">
        <v>2</v>
      </c>
      <c r="E130" t="s">
        <v>16</v>
      </c>
      <c r="F130" s="2">
        <v>11911</v>
      </c>
      <c r="G130" s="2">
        <v>1360</v>
      </c>
      <c r="H130" s="2">
        <v>778</v>
      </c>
      <c r="I130" s="2">
        <v>1168</v>
      </c>
      <c r="J130" s="2">
        <v>16483</v>
      </c>
      <c r="K130" s="2">
        <v>72556</v>
      </c>
      <c r="L130" s="4">
        <v>0.19362974805667299</v>
      </c>
      <c r="M130" t="s">
        <v>13</v>
      </c>
      <c r="W130" s="9">
        <v>45670</v>
      </c>
      <c r="X130" s="10" t="s">
        <v>6</v>
      </c>
      <c r="Y130" s="11">
        <v>7869</v>
      </c>
      <c r="Z130" s="11">
        <v>398</v>
      </c>
      <c r="AA130" s="11">
        <v>807142</v>
      </c>
      <c r="AB130" s="12">
        <v>15.211945357818079</v>
      </c>
      <c r="AC130" s="13">
        <v>25078</v>
      </c>
    </row>
    <row r="131" spans="1:29" x14ac:dyDescent="0.3">
      <c r="A131" t="s">
        <v>154</v>
      </c>
      <c r="B131" t="s">
        <v>6</v>
      </c>
      <c r="C131" s="1">
        <v>45564</v>
      </c>
      <c r="D131" t="s">
        <v>22</v>
      </c>
      <c r="E131" t="s">
        <v>7</v>
      </c>
      <c r="F131" s="2">
        <v>10472</v>
      </c>
      <c r="G131" s="2">
        <v>401</v>
      </c>
      <c r="H131" s="2">
        <v>668</v>
      </c>
      <c r="I131" s="2">
        <v>383</v>
      </c>
      <c r="J131" s="2">
        <v>37571</v>
      </c>
      <c r="K131" s="2">
        <v>249203</v>
      </c>
      <c r="L131" s="4">
        <v>4.6311641513143903E-2</v>
      </c>
      <c r="M131" t="s">
        <v>13</v>
      </c>
      <c r="W131" s="9">
        <v>45670</v>
      </c>
      <c r="X131" s="10" t="s">
        <v>10</v>
      </c>
      <c r="Y131" s="11">
        <v>3247</v>
      </c>
      <c r="Z131" s="11">
        <v>328</v>
      </c>
      <c r="AA131" s="11">
        <v>810061</v>
      </c>
      <c r="AB131" s="12">
        <v>13.941172331466399</v>
      </c>
      <c r="AC131" s="13">
        <v>15105</v>
      </c>
    </row>
    <row r="132" spans="1:29" x14ac:dyDescent="0.3">
      <c r="A132" t="s">
        <v>155</v>
      </c>
      <c r="B132" t="s">
        <v>6</v>
      </c>
      <c r="C132" s="1">
        <v>45586</v>
      </c>
      <c r="D132" t="s">
        <v>2</v>
      </c>
      <c r="E132" t="s">
        <v>29</v>
      </c>
      <c r="F132" s="2">
        <v>20271</v>
      </c>
      <c r="G132" s="2">
        <v>512</v>
      </c>
      <c r="H132" s="2">
        <v>286</v>
      </c>
      <c r="I132" s="2">
        <v>1982</v>
      </c>
      <c r="J132" s="2">
        <v>43225</v>
      </c>
      <c r="K132" s="2">
        <v>168335</v>
      </c>
      <c r="L132" s="4">
        <v>0.125161137018445</v>
      </c>
      <c r="M132" t="s">
        <v>17</v>
      </c>
      <c r="W132" s="9">
        <v>45670</v>
      </c>
      <c r="X132" s="10" t="s">
        <v>28</v>
      </c>
      <c r="Y132" s="11">
        <v>8088</v>
      </c>
      <c r="Z132" s="11">
        <v>742</v>
      </c>
      <c r="AA132" s="11">
        <v>817407</v>
      </c>
      <c r="AB132" s="12">
        <v>14.664542877660701</v>
      </c>
      <c r="AC132" s="13">
        <v>39312</v>
      </c>
    </row>
    <row r="133" spans="1:29" x14ac:dyDescent="0.3">
      <c r="A133" t="s">
        <v>156</v>
      </c>
      <c r="B133" t="s">
        <v>10</v>
      </c>
      <c r="C133" s="1">
        <v>45720</v>
      </c>
      <c r="D133" t="s">
        <v>15</v>
      </c>
      <c r="E133" t="s">
        <v>7</v>
      </c>
      <c r="F133" s="2">
        <v>5266</v>
      </c>
      <c r="G133" s="2">
        <v>316</v>
      </c>
      <c r="H133" s="2">
        <v>837</v>
      </c>
      <c r="I133" s="2">
        <v>2276</v>
      </c>
      <c r="J133" s="2">
        <v>20967</v>
      </c>
      <c r="K133" s="2">
        <v>41969</v>
      </c>
      <c r="L133" s="4">
        <v>0.15294622221163201</v>
      </c>
      <c r="M133" t="s">
        <v>33</v>
      </c>
      <c r="W133" s="9">
        <v>45670</v>
      </c>
      <c r="X133" s="10" t="s">
        <v>1</v>
      </c>
      <c r="Y133" s="11">
        <v>1078</v>
      </c>
      <c r="Z133" s="11">
        <v>77</v>
      </c>
      <c r="AA133" s="11">
        <v>818408</v>
      </c>
      <c r="AB133" s="12">
        <v>18.236747441373989</v>
      </c>
      <c r="AC133" s="13">
        <v>12839</v>
      </c>
    </row>
    <row r="134" spans="1:29" x14ac:dyDescent="0.3">
      <c r="A134" t="s">
        <v>157</v>
      </c>
      <c r="B134" t="s">
        <v>10</v>
      </c>
      <c r="C134" s="1">
        <v>45694</v>
      </c>
      <c r="D134" t="s">
        <v>2</v>
      </c>
      <c r="E134" t="s">
        <v>3</v>
      </c>
      <c r="F134" s="2">
        <v>2666</v>
      </c>
      <c r="G134" s="2">
        <v>1136</v>
      </c>
      <c r="H134" s="2">
        <v>989</v>
      </c>
      <c r="I134" s="2">
        <v>1710</v>
      </c>
      <c r="J134" s="2">
        <v>36467</v>
      </c>
      <c r="K134" s="2">
        <v>83753</v>
      </c>
      <c r="L134" s="4">
        <v>5.7203921053574198E-2</v>
      </c>
      <c r="M134" t="s">
        <v>13</v>
      </c>
      <c r="W134" s="9">
        <v>45677</v>
      </c>
      <c r="X134" s="10" t="s">
        <v>28</v>
      </c>
      <c r="Y134" s="11">
        <v>9080</v>
      </c>
      <c r="Z134" s="11">
        <v>562</v>
      </c>
      <c r="AA134" s="11">
        <v>826926</v>
      </c>
      <c r="AB134" s="12">
        <v>7.1083748727213809</v>
      </c>
      <c r="AC134" s="13">
        <v>13384</v>
      </c>
    </row>
    <row r="135" spans="1:29" x14ac:dyDescent="0.3">
      <c r="A135" t="s">
        <v>158</v>
      </c>
      <c r="B135" t="s">
        <v>10</v>
      </c>
      <c r="C135" s="1">
        <v>45931</v>
      </c>
      <c r="D135" t="s">
        <v>22</v>
      </c>
      <c r="E135" t="s">
        <v>20</v>
      </c>
      <c r="F135" s="2">
        <v>6188</v>
      </c>
      <c r="G135" s="2">
        <v>774</v>
      </c>
      <c r="H135" s="2">
        <v>647</v>
      </c>
      <c r="I135" s="2">
        <v>1830</v>
      </c>
      <c r="J135" s="2">
        <v>55436</v>
      </c>
      <c r="K135" s="2">
        <v>175542</v>
      </c>
      <c r="L135" s="4">
        <v>4.3345752013763103E-2</v>
      </c>
      <c r="M135" t="s">
        <v>8</v>
      </c>
      <c r="W135" s="9">
        <v>45677</v>
      </c>
      <c r="X135" s="10" t="s">
        <v>28</v>
      </c>
      <c r="Y135" s="11">
        <v>8099</v>
      </c>
      <c r="Z135" s="11">
        <v>678</v>
      </c>
      <c r="AA135" s="11">
        <v>834347</v>
      </c>
      <c r="AB135" s="12">
        <v>7.6464588474579518</v>
      </c>
      <c r="AC135" s="13">
        <v>53619</v>
      </c>
    </row>
    <row r="136" spans="1:29" x14ac:dyDescent="0.3">
      <c r="A136" t="s">
        <v>159</v>
      </c>
      <c r="B136" t="s">
        <v>1</v>
      </c>
      <c r="C136" s="1">
        <v>45624</v>
      </c>
      <c r="D136" t="s">
        <v>22</v>
      </c>
      <c r="E136" t="s">
        <v>29</v>
      </c>
      <c r="F136" s="2">
        <v>19055</v>
      </c>
      <c r="G136" s="2">
        <v>443</v>
      </c>
      <c r="H136" s="2">
        <v>976</v>
      </c>
      <c r="I136" s="2">
        <v>869</v>
      </c>
      <c r="J136" s="2">
        <v>75437</v>
      </c>
      <c r="K136" s="2">
        <v>161863</v>
      </c>
      <c r="L136" s="4">
        <v>0.12648968572187599</v>
      </c>
      <c r="M136" t="s">
        <v>13</v>
      </c>
      <c r="W136" s="9">
        <v>45677</v>
      </c>
      <c r="X136" s="10" t="s">
        <v>28</v>
      </c>
      <c r="Y136" s="11">
        <v>4926</v>
      </c>
      <c r="Z136" s="11">
        <v>710</v>
      </c>
      <c r="AA136" s="11">
        <v>838563</v>
      </c>
      <c r="AB136" s="12">
        <v>12.96217457722318</v>
      </c>
      <c r="AC136" s="13">
        <v>52821</v>
      </c>
    </row>
    <row r="137" spans="1:29" x14ac:dyDescent="0.3">
      <c r="A137" t="s">
        <v>160</v>
      </c>
      <c r="B137" t="s">
        <v>10</v>
      </c>
      <c r="C137" s="1">
        <v>45932</v>
      </c>
      <c r="D137" t="s">
        <v>22</v>
      </c>
      <c r="E137" t="s">
        <v>12</v>
      </c>
      <c r="F137" s="2">
        <v>12161</v>
      </c>
      <c r="G137" s="2">
        <v>736</v>
      </c>
      <c r="H137" s="2">
        <v>876</v>
      </c>
      <c r="I137" s="2">
        <v>1233</v>
      </c>
      <c r="J137" s="2">
        <v>21337</v>
      </c>
      <c r="K137" s="2">
        <v>50225</v>
      </c>
      <c r="L137" s="4">
        <v>0.27422598307615698</v>
      </c>
      <c r="M137" t="s">
        <v>8</v>
      </c>
      <c r="W137" s="9">
        <v>45677</v>
      </c>
      <c r="X137" s="10" t="s">
        <v>1</v>
      </c>
      <c r="Y137" s="11">
        <v>8340</v>
      </c>
      <c r="Z137" s="11">
        <v>686</v>
      </c>
      <c r="AA137" s="11">
        <v>846217</v>
      </c>
      <c r="AB137" s="12">
        <v>7.201344336027284</v>
      </c>
      <c r="AC137" s="13">
        <v>23493</v>
      </c>
    </row>
    <row r="138" spans="1:29" x14ac:dyDescent="0.3">
      <c r="A138" t="s">
        <v>161</v>
      </c>
      <c r="B138" t="s">
        <v>10</v>
      </c>
      <c r="C138" s="1">
        <v>45504</v>
      </c>
      <c r="D138" t="s">
        <v>22</v>
      </c>
      <c r="E138" t="s">
        <v>16</v>
      </c>
      <c r="F138" s="2">
        <v>13314</v>
      </c>
      <c r="G138" s="2">
        <v>274</v>
      </c>
      <c r="H138" s="2">
        <v>626</v>
      </c>
      <c r="I138" s="2">
        <v>2280</v>
      </c>
      <c r="J138" s="2">
        <v>14639</v>
      </c>
      <c r="K138" s="2">
        <v>163008</v>
      </c>
      <c r="L138" s="4">
        <v>8.7198174322732594E-2</v>
      </c>
      <c r="M138" t="s">
        <v>17</v>
      </c>
      <c r="W138" s="9">
        <v>45684</v>
      </c>
      <c r="X138" s="10" t="s">
        <v>6</v>
      </c>
      <c r="Y138" s="11">
        <v>8083</v>
      </c>
      <c r="Z138" s="11">
        <v>823</v>
      </c>
      <c r="AA138" s="11">
        <v>853477</v>
      </c>
      <c r="AB138" s="12">
        <v>4.6300017457998282</v>
      </c>
      <c r="AC138" s="13">
        <v>27069</v>
      </c>
    </row>
    <row r="139" spans="1:29" x14ac:dyDescent="0.3">
      <c r="A139" t="s">
        <v>162</v>
      </c>
      <c r="B139" t="s">
        <v>10</v>
      </c>
      <c r="C139" s="1">
        <v>45745</v>
      </c>
      <c r="D139" t="s">
        <v>22</v>
      </c>
      <c r="E139" t="s">
        <v>12</v>
      </c>
      <c r="F139" s="2">
        <v>23508</v>
      </c>
      <c r="G139" s="2">
        <v>585</v>
      </c>
      <c r="H139" s="2">
        <v>743</v>
      </c>
      <c r="I139" s="2">
        <v>2155</v>
      </c>
      <c r="J139" s="2">
        <v>3704</v>
      </c>
      <c r="K139" s="2">
        <v>194268</v>
      </c>
      <c r="L139" s="4">
        <v>0.12784400930673101</v>
      </c>
      <c r="M139" t="s">
        <v>17</v>
      </c>
      <c r="W139" s="9">
        <v>45684</v>
      </c>
      <c r="X139" s="10" t="s">
        <v>28</v>
      </c>
      <c r="Y139" s="11">
        <v>7230</v>
      </c>
      <c r="Z139" s="11">
        <v>869</v>
      </c>
      <c r="AA139" s="11">
        <v>859838</v>
      </c>
      <c r="AB139" s="12">
        <v>7.0117859410726204</v>
      </c>
      <c r="AC139" s="13">
        <v>56907</v>
      </c>
    </row>
    <row r="140" spans="1:29" x14ac:dyDescent="0.3">
      <c r="A140" t="s">
        <v>163</v>
      </c>
      <c r="B140" t="s">
        <v>1</v>
      </c>
      <c r="C140" s="1">
        <v>45594</v>
      </c>
      <c r="D140" t="s">
        <v>11</v>
      </c>
      <c r="E140" t="s">
        <v>38</v>
      </c>
      <c r="F140" s="2">
        <v>23969</v>
      </c>
      <c r="G140" s="2">
        <v>1433</v>
      </c>
      <c r="H140" s="2">
        <v>372</v>
      </c>
      <c r="I140" s="2">
        <v>1092</v>
      </c>
      <c r="J140" s="2">
        <v>32147</v>
      </c>
      <c r="K140" s="2">
        <v>145823</v>
      </c>
      <c r="L140" s="4">
        <v>0.17674852389540699</v>
      </c>
      <c r="M140" t="s">
        <v>13</v>
      </c>
      <c r="W140" s="9">
        <v>45684</v>
      </c>
      <c r="X140" s="10" t="s">
        <v>28</v>
      </c>
      <c r="Y140" s="11">
        <v>5940</v>
      </c>
      <c r="Z140" s="11">
        <v>512</v>
      </c>
      <c r="AA140" s="11">
        <v>865266</v>
      </c>
      <c r="AB140" s="12">
        <v>15.7972230504839</v>
      </c>
      <c r="AC140" s="13">
        <v>17531</v>
      </c>
    </row>
    <row r="141" spans="1:29" x14ac:dyDescent="0.3">
      <c r="A141" t="s">
        <v>164</v>
      </c>
      <c r="B141" t="s">
        <v>10</v>
      </c>
      <c r="C141" s="1">
        <v>45488</v>
      </c>
      <c r="D141" t="s">
        <v>11</v>
      </c>
      <c r="E141" t="s">
        <v>23</v>
      </c>
      <c r="F141" s="2">
        <v>14891</v>
      </c>
      <c r="G141" s="2">
        <v>674</v>
      </c>
      <c r="H141" s="2">
        <v>521</v>
      </c>
      <c r="I141" s="2">
        <v>1091</v>
      </c>
      <c r="J141" s="2">
        <v>18101</v>
      </c>
      <c r="K141" s="2">
        <v>53669</v>
      </c>
      <c r="L141" s="4">
        <v>0.29972609886526702</v>
      </c>
      <c r="M141" t="s">
        <v>4</v>
      </c>
      <c r="W141" s="9">
        <v>45684</v>
      </c>
      <c r="X141" s="10" t="s">
        <v>10</v>
      </c>
      <c r="Y141" s="11">
        <v>4271</v>
      </c>
      <c r="Z141" s="11">
        <v>628</v>
      </c>
      <c r="AA141" s="11">
        <v>868909</v>
      </c>
      <c r="AB141" s="12">
        <v>11.124410036033691</v>
      </c>
      <c r="AC141" s="13">
        <v>47051</v>
      </c>
    </row>
    <row r="142" spans="1:29" x14ac:dyDescent="0.3">
      <c r="A142" t="s">
        <v>165</v>
      </c>
      <c r="B142" t="s">
        <v>6</v>
      </c>
      <c r="C142" s="1">
        <v>45933</v>
      </c>
      <c r="D142" t="s">
        <v>2</v>
      </c>
      <c r="E142" t="s">
        <v>29</v>
      </c>
      <c r="F142" s="2">
        <v>6777</v>
      </c>
      <c r="G142" s="2">
        <v>617</v>
      </c>
      <c r="H142" s="2">
        <v>551</v>
      </c>
      <c r="I142" s="2">
        <v>2109</v>
      </c>
      <c r="J142" s="2">
        <v>18559</v>
      </c>
      <c r="K142" s="2">
        <v>208452</v>
      </c>
      <c r="L142" s="4">
        <v>3.81142901003588E-2</v>
      </c>
      <c r="M142" t="s">
        <v>8</v>
      </c>
      <c r="W142" s="9">
        <v>45691</v>
      </c>
      <c r="X142" s="10" t="s">
        <v>1</v>
      </c>
      <c r="Y142" s="11">
        <v>4456</v>
      </c>
      <c r="Z142" s="11">
        <v>651</v>
      </c>
      <c r="AA142" s="11">
        <v>872714</v>
      </c>
      <c r="AB142" s="12">
        <v>9.5052903929580594</v>
      </c>
      <c r="AC142" s="13">
        <v>17736</v>
      </c>
    </row>
    <row r="143" spans="1:29" x14ac:dyDescent="0.3">
      <c r="A143" t="s">
        <v>166</v>
      </c>
      <c r="B143" t="s">
        <v>10</v>
      </c>
      <c r="C143" s="1">
        <v>45741</v>
      </c>
      <c r="D143" t="s">
        <v>22</v>
      </c>
      <c r="E143" t="s">
        <v>12</v>
      </c>
      <c r="F143" s="2">
        <v>5900</v>
      </c>
      <c r="G143" s="2">
        <v>546</v>
      </c>
      <c r="H143" s="2">
        <v>592</v>
      </c>
      <c r="I143" s="2">
        <v>1594</v>
      </c>
      <c r="J143" s="2">
        <v>38627</v>
      </c>
      <c r="K143" s="2">
        <v>164398</v>
      </c>
      <c r="L143" s="4">
        <v>4.2810739790021798E-2</v>
      </c>
      <c r="M143" t="s">
        <v>33</v>
      </c>
      <c r="W143" s="9">
        <v>45691</v>
      </c>
      <c r="X143" s="10" t="s">
        <v>28</v>
      </c>
      <c r="Y143" s="11">
        <v>8788</v>
      </c>
      <c r="Z143" s="11">
        <v>660</v>
      </c>
      <c r="AA143" s="11">
        <v>880842</v>
      </c>
      <c r="AB143" s="12">
        <v>3.7175793161543158</v>
      </c>
      <c r="AC143" s="13">
        <v>17710</v>
      </c>
    </row>
    <row r="144" spans="1:29" x14ac:dyDescent="0.3">
      <c r="A144" t="s">
        <v>167</v>
      </c>
      <c r="B144" t="s">
        <v>6</v>
      </c>
      <c r="C144" s="1">
        <v>45567</v>
      </c>
      <c r="D144" t="s">
        <v>2</v>
      </c>
      <c r="E144" t="s">
        <v>12</v>
      </c>
      <c r="F144" s="2">
        <v>15716</v>
      </c>
      <c r="G144" s="2">
        <v>839</v>
      </c>
      <c r="H144" s="2">
        <v>639</v>
      </c>
      <c r="I144" s="2">
        <v>2839</v>
      </c>
      <c r="J144" s="2">
        <v>349</v>
      </c>
      <c r="K144" s="2">
        <v>150677</v>
      </c>
      <c r="L144" s="4">
        <v>0.114111642785561</v>
      </c>
      <c r="M144" t="s">
        <v>13</v>
      </c>
      <c r="W144" s="9">
        <v>45691</v>
      </c>
      <c r="X144" s="10" t="s">
        <v>1</v>
      </c>
      <c r="Y144" s="11">
        <v>9599</v>
      </c>
      <c r="Z144" s="11">
        <v>957</v>
      </c>
      <c r="AA144" s="11">
        <v>889484</v>
      </c>
      <c r="AB144" s="12">
        <v>8.768004820772493</v>
      </c>
      <c r="AC144" s="13">
        <v>11619</v>
      </c>
    </row>
    <row r="145" spans="1:29" x14ac:dyDescent="0.3">
      <c r="A145" t="s">
        <v>168</v>
      </c>
      <c r="B145" t="s">
        <v>6</v>
      </c>
      <c r="C145" s="1">
        <v>45593</v>
      </c>
      <c r="D145" t="s">
        <v>22</v>
      </c>
      <c r="E145" t="s">
        <v>43</v>
      </c>
      <c r="F145" s="2">
        <v>8981</v>
      </c>
      <c r="G145" s="2">
        <v>1138</v>
      </c>
      <c r="H145" s="2">
        <v>764</v>
      </c>
      <c r="I145" s="2">
        <v>2555</v>
      </c>
      <c r="J145" s="2">
        <v>92810</v>
      </c>
      <c r="K145" s="2">
        <v>88320</v>
      </c>
      <c r="L145" s="4">
        <v>0.123222373188406</v>
      </c>
      <c r="M145" t="s">
        <v>33</v>
      </c>
      <c r="W145" s="9">
        <v>45691</v>
      </c>
      <c r="X145" s="10" t="s">
        <v>28</v>
      </c>
      <c r="Y145" s="11">
        <v>8650</v>
      </c>
      <c r="Z145" s="11">
        <v>692</v>
      </c>
      <c r="AA145" s="11">
        <v>897442</v>
      </c>
      <c r="AB145" s="12">
        <v>7.6673478620345374</v>
      </c>
      <c r="AC145" s="13">
        <v>23975</v>
      </c>
    </row>
    <row r="146" spans="1:29" x14ac:dyDescent="0.3">
      <c r="A146" t="s">
        <v>169</v>
      </c>
      <c r="B146" t="s">
        <v>6</v>
      </c>
      <c r="C146" s="1">
        <v>45516</v>
      </c>
      <c r="D146" t="s">
        <v>22</v>
      </c>
      <c r="E146" t="s">
        <v>7</v>
      </c>
      <c r="F146" s="2">
        <v>8376</v>
      </c>
      <c r="G146" s="2">
        <v>1154</v>
      </c>
      <c r="H146" s="2">
        <v>422</v>
      </c>
      <c r="I146" s="2">
        <v>1907</v>
      </c>
      <c r="J146" s="2">
        <v>36874</v>
      </c>
      <c r="K146" s="2">
        <v>218486</v>
      </c>
      <c r="L146" s="4">
        <v>4.5549829279679203E-2</v>
      </c>
      <c r="M146" t="s">
        <v>13</v>
      </c>
      <c r="W146" s="9">
        <v>45698</v>
      </c>
      <c r="X146" s="10" t="s">
        <v>6</v>
      </c>
      <c r="Y146" s="11">
        <v>3711</v>
      </c>
      <c r="Z146" s="11">
        <v>291</v>
      </c>
      <c r="AA146" s="11">
        <v>900862</v>
      </c>
      <c r="AB146" s="12">
        <v>14.24879726306582</v>
      </c>
      <c r="AC146" s="13">
        <v>55603</v>
      </c>
    </row>
    <row r="147" spans="1:29" x14ac:dyDescent="0.3">
      <c r="A147" t="s">
        <v>170</v>
      </c>
      <c r="B147" t="s">
        <v>1</v>
      </c>
      <c r="C147" s="1">
        <v>45448</v>
      </c>
      <c r="D147" t="s">
        <v>11</v>
      </c>
      <c r="E147" t="s">
        <v>43</v>
      </c>
      <c r="F147" s="2">
        <v>18907</v>
      </c>
      <c r="G147" s="2">
        <v>1075</v>
      </c>
      <c r="H147" s="2">
        <v>675</v>
      </c>
      <c r="I147" s="2">
        <v>1383</v>
      </c>
      <c r="J147" s="2">
        <v>17875</v>
      </c>
      <c r="K147" s="2">
        <v>186649</v>
      </c>
      <c r="L147" s="4">
        <v>0.110672974406506</v>
      </c>
      <c r="M147" t="s">
        <v>4</v>
      </c>
      <c r="W147" s="9">
        <v>45698</v>
      </c>
      <c r="X147" s="10" t="s">
        <v>6</v>
      </c>
      <c r="Y147" s="11">
        <v>2668</v>
      </c>
      <c r="Z147" s="11">
        <v>143</v>
      </c>
      <c r="AA147" s="11">
        <v>903387</v>
      </c>
      <c r="AB147" s="12">
        <v>15.903372530266649</v>
      </c>
      <c r="AC147" s="13">
        <v>33252</v>
      </c>
    </row>
    <row r="148" spans="1:29" x14ac:dyDescent="0.3">
      <c r="A148" t="s">
        <v>171</v>
      </c>
      <c r="B148" t="s">
        <v>1</v>
      </c>
      <c r="C148" s="1">
        <v>45586</v>
      </c>
      <c r="D148" t="s">
        <v>11</v>
      </c>
      <c r="E148" t="s">
        <v>29</v>
      </c>
      <c r="F148" s="2">
        <v>20777</v>
      </c>
      <c r="G148" s="2">
        <v>962</v>
      </c>
      <c r="H148" s="2">
        <v>308</v>
      </c>
      <c r="I148" s="2">
        <v>2777</v>
      </c>
      <c r="J148" s="2">
        <v>25529</v>
      </c>
      <c r="K148" s="2">
        <v>165354</v>
      </c>
      <c r="L148" s="4">
        <v>0.13333212380710499</v>
      </c>
      <c r="M148" t="s">
        <v>4</v>
      </c>
      <c r="W148" s="9">
        <v>45698</v>
      </c>
      <c r="X148" s="10" t="s">
        <v>28</v>
      </c>
      <c r="Y148" s="11">
        <v>1147</v>
      </c>
      <c r="Z148" s="11">
        <v>127</v>
      </c>
      <c r="AA148" s="11">
        <v>904407</v>
      </c>
      <c r="AB148" s="12">
        <v>1.3997016829812241</v>
      </c>
      <c r="AC148" s="13">
        <v>25261</v>
      </c>
    </row>
    <row r="149" spans="1:29" x14ac:dyDescent="0.3">
      <c r="A149" t="s">
        <v>172</v>
      </c>
      <c r="B149" t="s">
        <v>1</v>
      </c>
      <c r="C149" s="1">
        <v>45762</v>
      </c>
      <c r="D149" t="s">
        <v>15</v>
      </c>
      <c r="E149" t="s">
        <v>29</v>
      </c>
      <c r="F149" s="2">
        <v>20977</v>
      </c>
      <c r="G149" s="2">
        <v>1402</v>
      </c>
      <c r="H149" s="2">
        <v>301</v>
      </c>
      <c r="I149" s="2">
        <v>1284</v>
      </c>
      <c r="J149" s="2">
        <v>24620</v>
      </c>
      <c r="K149" s="2">
        <v>128009</v>
      </c>
      <c r="L149" s="4">
        <v>0.177175042379833</v>
      </c>
      <c r="M149" t="s">
        <v>4</v>
      </c>
      <c r="W149" s="9">
        <v>45698</v>
      </c>
      <c r="X149" s="10" t="s">
        <v>6</v>
      </c>
      <c r="Y149" s="11">
        <v>7420</v>
      </c>
      <c r="Z149" s="11">
        <v>743</v>
      </c>
      <c r="AA149" s="11">
        <v>911084</v>
      </c>
      <c r="AB149" s="12">
        <v>10.593534734448189</v>
      </c>
      <c r="AC149" s="13">
        <v>11431</v>
      </c>
    </row>
    <row r="150" spans="1:29" x14ac:dyDescent="0.3">
      <c r="A150" t="s">
        <v>173</v>
      </c>
      <c r="B150" t="s">
        <v>10</v>
      </c>
      <c r="C150" s="1">
        <v>45459</v>
      </c>
      <c r="D150" t="s">
        <v>11</v>
      </c>
      <c r="E150" t="s">
        <v>3</v>
      </c>
      <c r="F150" s="2">
        <v>12160</v>
      </c>
      <c r="G150" s="2">
        <v>1405</v>
      </c>
      <c r="H150" s="2">
        <v>769</v>
      </c>
      <c r="I150" s="2">
        <v>1980</v>
      </c>
      <c r="J150" s="2">
        <v>33174</v>
      </c>
      <c r="K150" s="2">
        <v>226481</v>
      </c>
      <c r="L150" s="4">
        <v>6.3290077313328696E-2</v>
      </c>
      <c r="M150" t="s">
        <v>4</v>
      </c>
      <c r="W150" s="9">
        <v>45705</v>
      </c>
      <c r="X150" s="10" t="s">
        <v>28</v>
      </c>
      <c r="Y150" s="11">
        <v>1365</v>
      </c>
      <c r="Z150" s="11">
        <v>75</v>
      </c>
      <c r="AA150" s="11">
        <v>912374</v>
      </c>
      <c r="AB150" s="12">
        <v>9.2688963078737441</v>
      </c>
      <c r="AC150" s="13">
        <v>19067</v>
      </c>
    </row>
    <row r="151" spans="1:29" x14ac:dyDescent="0.3">
      <c r="A151" t="s">
        <v>174</v>
      </c>
      <c r="B151" t="s">
        <v>6</v>
      </c>
      <c r="C151" s="1">
        <v>45526</v>
      </c>
      <c r="D151" t="s">
        <v>15</v>
      </c>
      <c r="E151" t="s">
        <v>43</v>
      </c>
      <c r="F151" s="2">
        <v>16124</v>
      </c>
      <c r="G151" s="2">
        <v>863</v>
      </c>
      <c r="H151" s="2">
        <v>337</v>
      </c>
      <c r="I151" s="2">
        <v>819</v>
      </c>
      <c r="J151" s="2">
        <v>85788</v>
      </c>
      <c r="K151" s="2">
        <v>68625</v>
      </c>
      <c r="L151" s="4">
        <v>0.25244444444444403</v>
      </c>
      <c r="M151" t="s">
        <v>17</v>
      </c>
      <c r="W151" s="9">
        <v>45705</v>
      </c>
      <c r="X151" s="10" t="s">
        <v>6</v>
      </c>
      <c r="Y151" s="11">
        <v>5531</v>
      </c>
      <c r="Z151" s="11">
        <v>430</v>
      </c>
      <c r="AA151" s="11">
        <v>917475</v>
      </c>
      <c r="AB151" s="12">
        <v>2.7289026948963189</v>
      </c>
      <c r="AC151" s="13">
        <v>47481</v>
      </c>
    </row>
    <row r="152" spans="1:29" x14ac:dyDescent="0.3">
      <c r="A152" t="s">
        <v>175</v>
      </c>
      <c r="B152" t="s">
        <v>1</v>
      </c>
      <c r="C152" s="1">
        <v>45499</v>
      </c>
      <c r="D152" t="s">
        <v>15</v>
      </c>
      <c r="E152" t="s">
        <v>52</v>
      </c>
      <c r="F152" s="2">
        <v>18282</v>
      </c>
      <c r="G152" s="2">
        <v>224</v>
      </c>
      <c r="H152" s="2">
        <v>962</v>
      </c>
      <c r="I152" s="2">
        <v>890</v>
      </c>
      <c r="J152" s="2">
        <v>35105</v>
      </c>
      <c r="K152" s="2">
        <v>64089</v>
      </c>
      <c r="L152" s="4">
        <v>0.30376507669022801</v>
      </c>
      <c r="M152" t="s">
        <v>17</v>
      </c>
      <c r="W152" s="9">
        <v>45705</v>
      </c>
      <c r="X152" s="10" t="s">
        <v>10</v>
      </c>
      <c r="Y152" s="11">
        <v>6330</v>
      </c>
      <c r="Z152" s="11">
        <v>891</v>
      </c>
      <c r="AA152" s="11">
        <v>922914</v>
      </c>
      <c r="AB152" s="12">
        <v>14.789893749580139</v>
      </c>
      <c r="AC152" s="13">
        <v>37037</v>
      </c>
    </row>
    <row r="153" spans="1:29" x14ac:dyDescent="0.3">
      <c r="A153" t="s">
        <v>176</v>
      </c>
      <c r="B153" t="s">
        <v>1</v>
      </c>
      <c r="C153" s="1">
        <v>45934</v>
      </c>
      <c r="D153" t="s">
        <v>15</v>
      </c>
      <c r="E153" t="s">
        <v>103</v>
      </c>
      <c r="F153" s="2">
        <v>12488</v>
      </c>
      <c r="G153" s="2">
        <v>1403</v>
      </c>
      <c r="H153" s="2">
        <v>247</v>
      </c>
      <c r="I153" s="2">
        <v>1350</v>
      </c>
      <c r="J153" s="2">
        <v>28370</v>
      </c>
      <c r="K153" s="2">
        <v>76487</v>
      </c>
      <c r="L153" s="4">
        <v>0.184841868552826</v>
      </c>
      <c r="M153" t="s">
        <v>8</v>
      </c>
      <c r="W153" s="9">
        <v>45705</v>
      </c>
      <c r="X153" s="10" t="s">
        <v>10</v>
      </c>
      <c r="Y153" s="11">
        <v>6510</v>
      </c>
      <c r="Z153" s="11">
        <v>481</v>
      </c>
      <c r="AA153" s="11">
        <v>928943</v>
      </c>
      <c r="AB153" s="12">
        <v>2.3800168578696428</v>
      </c>
      <c r="AC153" s="13">
        <v>19557</v>
      </c>
    </row>
    <row r="154" spans="1:29" x14ac:dyDescent="0.3">
      <c r="A154" t="s">
        <v>177</v>
      </c>
      <c r="B154" t="s">
        <v>10</v>
      </c>
      <c r="C154" s="1">
        <v>45658</v>
      </c>
      <c r="D154" t="s">
        <v>15</v>
      </c>
      <c r="E154" t="s">
        <v>7</v>
      </c>
      <c r="F154" s="2">
        <v>24574</v>
      </c>
      <c r="G154" s="2">
        <v>909</v>
      </c>
      <c r="H154" s="2">
        <v>280</v>
      </c>
      <c r="I154" s="2">
        <v>2009</v>
      </c>
      <c r="J154" s="2">
        <v>6221</v>
      </c>
      <c r="K154" s="2">
        <v>236910</v>
      </c>
      <c r="L154" s="4">
        <v>0.108745937275759</v>
      </c>
      <c r="M154" t="s">
        <v>33</v>
      </c>
      <c r="W154" s="9">
        <v>45712</v>
      </c>
      <c r="X154" s="10" t="s">
        <v>10</v>
      </c>
      <c r="Y154" s="11">
        <v>9754</v>
      </c>
      <c r="Z154" s="11">
        <v>629</v>
      </c>
      <c r="AA154" s="11">
        <v>938068</v>
      </c>
      <c r="AB154" s="12">
        <v>3.4123325814333292</v>
      </c>
      <c r="AC154" s="13">
        <v>19435</v>
      </c>
    </row>
    <row r="155" spans="1:29" x14ac:dyDescent="0.3">
      <c r="A155" t="s">
        <v>178</v>
      </c>
      <c r="B155" t="s">
        <v>1</v>
      </c>
      <c r="C155" s="1">
        <v>45574</v>
      </c>
      <c r="D155" t="s">
        <v>15</v>
      </c>
      <c r="E155" t="s">
        <v>29</v>
      </c>
      <c r="F155" s="2">
        <v>7240</v>
      </c>
      <c r="G155" s="2">
        <v>1384</v>
      </c>
      <c r="H155" s="2">
        <v>954</v>
      </c>
      <c r="I155" s="2">
        <v>2335</v>
      </c>
      <c r="J155" s="2">
        <v>6757</v>
      </c>
      <c r="K155" s="2">
        <v>150448</v>
      </c>
      <c r="L155" s="4">
        <v>6.3663192598107002E-2</v>
      </c>
      <c r="M155" t="s">
        <v>13</v>
      </c>
      <c r="W155" s="9">
        <v>45712</v>
      </c>
      <c r="X155" s="10" t="s">
        <v>1</v>
      </c>
      <c r="Y155" s="11">
        <v>9964</v>
      </c>
      <c r="Z155" s="11">
        <v>985</v>
      </c>
      <c r="AA155" s="11">
        <v>947047</v>
      </c>
      <c r="AB155" s="12">
        <v>1.9837452629066989</v>
      </c>
      <c r="AC155" s="13">
        <v>47766</v>
      </c>
    </row>
    <row r="156" spans="1:29" x14ac:dyDescent="0.3">
      <c r="A156" t="s">
        <v>179</v>
      </c>
      <c r="B156" t="s">
        <v>10</v>
      </c>
      <c r="C156" s="1">
        <v>45647</v>
      </c>
      <c r="D156" t="s">
        <v>2</v>
      </c>
      <c r="E156" t="s">
        <v>3</v>
      </c>
      <c r="F156" s="2">
        <v>12453</v>
      </c>
      <c r="G156" s="2">
        <v>376</v>
      </c>
      <c r="H156" s="2">
        <v>320</v>
      </c>
      <c r="I156" s="2">
        <v>2546</v>
      </c>
      <c r="J156" s="2">
        <v>22617</v>
      </c>
      <c r="K156" s="2">
        <v>90138</v>
      </c>
      <c r="L156" s="4">
        <v>0.14587632297144401</v>
      </c>
      <c r="M156" t="s">
        <v>13</v>
      </c>
      <c r="W156" s="9">
        <v>45712</v>
      </c>
      <c r="X156" s="10" t="s">
        <v>1</v>
      </c>
      <c r="Y156" s="11">
        <v>7493</v>
      </c>
      <c r="Z156" s="11">
        <v>1113</v>
      </c>
      <c r="AA156" s="11">
        <v>953427</v>
      </c>
      <c r="AB156" s="12">
        <v>15.684892498324469</v>
      </c>
      <c r="AC156" s="13">
        <v>10162</v>
      </c>
    </row>
    <row r="157" spans="1:29" x14ac:dyDescent="0.3">
      <c r="A157" t="s">
        <v>180</v>
      </c>
      <c r="B157" t="s">
        <v>28</v>
      </c>
      <c r="C157" s="1">
        <v>45587</v>
      </c>
      <c r="D157" t="s">
        <v>11</v>
      </c>
      <c r="E157" t="s">
        <v>23</v>
      </c>
      <c r="F157" s="2">
        <v>12478</v>
      </c>
      <c r="G157" s="2">
        <v>484</v>
      </c>
      <c r="H157" s="2">
        <v>332</v>
      </c>
      <c r="I157" s="2">
        <v>2734</v>
      </c>
      <c r="J157" s="2">
        <v>43338</v>
      </c>
      <c r="K157" s="2">
        <v>213895</v>
      </c>
      <c r="L157" s="4">
        <v>6.2151990462610197E-2</v>
      </c>
      <c r="M157" t="s">
        <v>17</v>
      </c>
      <c r="W157" s="9">
        <v>45712</v>
      </c>
      <c r="X157" s="10" t="s">
        <v>10</v>
      </c>
      <c r="Y157" s="11">
        <v>6439</v>
      </c>
      <c r="Z157" s="11">
        <v>477</v>
      </c>
      <c r="AA157" s="11">
        <v>959389</v>
      </c>
      <c r="AB157" s="12">
        <v>7.4744446725989153</v>
      </c>
      <c r="AC157" s="13">
        <v>44742</v>
      </c>
    </row>
    <row r="158" spans="1:29" x14ac:dyDescent="0.3">
      <c r="A158" t="s">
        <v>181</v>
      </c>
      <c r="B158" t="s">
        <v>1</v>
      </c>
      <c r="C158" s="1">
        <v>45496</v>
      </c>
      <c r="D158" t="s">
        <v>15</v>
      </c>
      <c r="E158" t="s">
        <v>43</v>
      </c>
      <c r="F158" s="2">
        <v>24877</v>
      </c>
      <c r="G158" s="2">
        <v>262</v>
      </c>
      <c r="H158" s="2">
        <v>513</v>
      </c>
      <c r="I158" s="2">
        <v>648</v>
      </c>
      <c r="J158" s="2">
        <v>47544</v>
      </c>
      <c r="K158" s="2">
        <v>208280</v>
      </c>
      <c r="L158" s="4">
        <v>0.12316112924908799</v>
      </c>
      <c r="M158" t="s">
        <v>13</v>
      </c>
      <c r="W158" s="9">
        <v>45719</v>
      </c>
      <c r="X158" s="10" t="s">
        <v>1</v>
      </c>
      <c r="Y158" s="11">
        <v>7511</v>
      </c>
      <c r="Z158" s="11">
        <v>880</v>
      </c>
      <c r="AA158" s="11">
        <v>966020</v>
      </c>
      <c r="AB158" s="12">
        <v>4.6083932009689246</v>
      </c>
      <c r="AC158" s="13">
        <v>29675</v>
      </c>
    </row>
    <row r="159" spans="1:29" x14ac:dyDescent="0.3">
      <c r="A159" t="s">
        <v>182</v>
      </c>
      <c r="B159" t="s">
        <v>28</v>
      </c>
      <c r="C159" s="1">
        <v>45515</v>
      </c>
      <c r="D159" t="s">
        <v>22</v>
      </c>
      <c r="E159" t="s">
        <v>7</v>
      </c>
      <c r="F159" s="2">
        <v>14394</v>
      </c>
      <c r="G159" s="2">
        <v>1202</v>
      </c>
      <c r="H159" s="2">
        <v>188</v>
      </c>
      <c r="I159" s="2">
        <v>1259</v>
      </c>
      <c r="J159" s="2">
        <v>21925</v>
      </c>
      <c r="K159" s="2">
        <v>94061</v>
      </c>
      <c r="L159" s="4">
        <v>0.16780599823518799</v>
      </c>
      <c r="M159" t="s">
        <v>17</v>
      </c>
      <c r="W159" s="9">
        <v>45719</v>
      </c>
      <c r="X159" s="10" t="s">
        <v>6</v>
      </c>
      <c r="Y159" s="11">
        <v>8504</v>
      </c>
      <c r="Z159" s="11">
        <v>1072</v>
      </c>
      <c r="AA159" s="11">
        <v>973452</v>
      </c>
      <c r="AB159" s="12">
        <v>6.5651927367759271</v>
      </c>
      <c r="AC159" s="13">
        <v>18461</v>
      </c>
    </row>
    <row r="160" spans="1:29" x14ac:dyDescent="0.3">
      <c r="A160" t="s">
        <v>183</v>
      </c>
      <c r="B160" t="s">
        <v>10</v>
      </c>
      <c r="C160" s="1">
        <v>45935</v>
      </c>
      <c r="D160" t="s">
        <v>11</v>
      </c>
      <c r="E160" t="s">
        <v>23</v>
      </c>
      <c r="F160" s="2">
        <v>21262</v>
      </c>
      <c r="G160" s="2">
        <v>861</v>
      </c>
      <c r="H160" s="2">
        <v>676</v>
      </c>
      <c r="I160" s="2">
        <v>2263</v>
      </c>
      <c r="J160" s="2">
        <v>12085</v>
      </c>
      <c r="K160" s="2">
        <v>201731</v>
      </c>
      <c r="L160" s="4">
        <v>0.113016839256237</v>
      </c>
      <c r="M160" t="s">
        <v>8</v>
      </c>
      <c r="W160" s="9">
        <v>45719</v>
      </c>
      <c r="X160" s="10" t="s">
        <v>28</v>
      </c>
      <c r="Y160" s="11">
        <v>2246</v>
      </c>
      <c r="Z160" s="11">
        <v>165</v>
      </c>
      <c r="AA160" s="11">
        <v>975533</v>
      </c>
      <c r="AB160" s="12">
        <v>2.9062061457685191</v>
      </c>
      <c r="AC160" s="13">
        <v>27015</v>
      </c>
    </row>
    <row r="161" spans="1:29" x14ac:dyDescent="0.3">
      <c r="A161" t="s">
        <v>184</v>
      </c>
      <c r="B161" t="s">
        <v>6</v>
      </c>
      <c r="C161" s="1">
        <v>45528</v>
      </c>
      <c r="D161" t="s">
        <v>11</v>
      </c>
      <c r="E161" t="s">
        <v>43</v>
      </c>
      <c r="F161" s="2">
        <v>22527</v>
      </c>
      <c r="G161" s="2">
        <v>865</v>
      </c>
      <c r="H161" s="2">
        <v>646</v>
      </c>
      <c r="I161" s="2">
        <v>992</v>
      </c>
      <c r="J161" s="2">
        <v>18654</v>
      </c>
      <c r="K161" s="2">
        <v>141376</v>
      </c>
      <c r="L161" s="4">
        <v>0.170028859212313</v>
      </c>
      <c r="M161" t="s">
        <v>33</v>
      </c>
      <c r="W161" s="9">
        <v>45719</v>
      </c>
      <c r="X161" s="10" t="s">
        <v>28</v>
      </c>
      <c r="Y161" s="11">
        <v>4839</v>
      </c>
      <c r="Z161" s="11">
        <v>594</v>
      </c>
      <c r="AA161" s="11">
        <v>979778</v>
      </c>
      <c r="AB161" s="12">
        <v>2.5803804535313102</v>
      </c>
      <c r="AC161" s="13">
        <v>42591</v>
      </c>
    </row>
    <row r="162" spans="1:29" x14ac:dyDescent="0.3">
      <c r="A162" t="s">
        <v>185</v>
      </c>
      <c r="B162" t="s">
        <v>1</v>
      </c>
      <c r="C162" s="1">
        <v>45936</v>
      </c>
      <c r="D162" t="s">
        <v>15</v>
      </c>
      <c r="E162" t="s">
        <v>12</v>
      </c>
      <c r="F162" s="2">
        <v>22028</v>
      </c>
      <c r="G162" s="2">
        <v>355</v>
      </c>
      <c r="H162" s="2">
        <v>665</v>
      </c>
      <c r="I162" s="2">
        <v>1859</v>
      </c>
      <c r="J162" s="2">
        <v>50565</v>
      </c>
      <c r="K162" s="2">
        <v>202962</v>
      </c>
      <c r="L162" s="4">
        <v>0.11355820301337199</v>
      </c>
      <c r="M162" t="s">
        <v>8</v>
      </c>
      <c r="W162" s="9">
        <v>45726</v>
      </c>
      <c r="X162" s="10" t="s">
        <v>28</v>
      </c>
      <c r="Y162" s="11">
        <v>9551</v>
      </c>
      <c r="Z162" s="11">
        <v>828</v>
      </c>
      <c r="AA162" s="11">
        <v>988501</v>
      </c>
      <c r="AB162" s="12">
        <v>1.525036393488727</v>
      </c>
      <c r="AC162" s="13">
        <v>38047</v>
      </c>
    </row>
    <row r="163" spans="1:29" x14ac:dyDescent="0.3">
      <c r="A163" t="s">
        <v>186</v>
      </c>
      <c r="B163" t="s">
        <v>10</v>
      </c>
      <c r="C163" s="1">
        <v>45748</v>
      </c>
      <c r="D163" t="s">
        <v>2</v>
      </c>
      <c r="E163" t="s">
        <v>23</v>
      </c>
      <c r="F163" s="2">
        <v>6432</v>
      </c>
      <c r="G163" s="2">
        <v>1272</v>
      </c>
      <c r="H163" s="2">
        <v>498</v>
      </c>
      <c r="I163" s="2">
        <v>677</v>
      </c>
      <c r="J163" s="2">
        <v>47305</v>
      </c>
      <c r="K163" s="2">
        <v>119134</v>
      </c>
      <c r="L163" s="4">
        <v>6.8846844729464299E-2</v>
      </c>
      <c r="M163" t="s">
        <v>4</v>
      </c>
      <c r="W163" s="9">
        <v>45726</v>
      </c>
      <c r="X163" s="10" t="s">
        <v>10</v>
      </c>
      <c r="Y163" s="11">
        <v>3376</v>
      </c>
      <c r="Z163" s="11">
        <v>382</v>
      </c>
      <c r="AA163" s="11">
        <v>991495</v>
      </c>
      <c r="AB163" s="12">
        <v>3.8694093263203548</v>
      </c>
      <c r="AC163" s="13">
        <v>44782</v>
      </c>
    </row>
    <row r="164" spans="1:29" x14ac:dyDescent="0.3">
      <c r="A164" t="s">
        <v>187</v>
      </c>
      <c r="B164" t="s">
        <v>6</v>
      </c>
      <c r="C164" s="1">
        <v>45755</v>
      </c>
      <c r="D164" t="s">
        <v>15</v>
      </c>
      <c r="E164" t="s">
        <v>3</v>
      </c>
      <c r="F164" s="2">
        <v>15568</v>
      </c>
      <c r="G164" s="2">
        <v>1166</v>
      </c>
      <c r="H164" s="2">
        <v>546</v>
      </c>
      <c r="I164" s="2">
        <v>826</v>
      </c>
      <c r="J164" s="2">
        <v>21836</v>
      </c>
      <c r="K164" s="2">
        <v>87055</v>
      </c>
      <c r="L164" s="4">
        <v>0.19849520418126501</v>
      </c>
      <c r="M164" t="s">
        <v>4</v>
      </c>
      <c r="W164" s="9">
        <v>45726</v>
      </c>
      <c r="X164" s="10" t="s">
        <v>1</v>
      </c>
      <c r="Y164" s="11">
        <v>4009</v>
      </c>
      <c r="Z164" s="11">
        <v>454</v>
      </c>
      <c r="AA164" s="11">
        <v>995050</v>
      </c>
      <c r="AB164" s="12">
        <v>2.1106477061454201</v>
      </c>
      <c r="AC164" s="13">
        <v>19833</v>
      </c>
    </row>
    <row r="165" spans="1:29" x14ac:dyDescent="0.3">
      <c r="A165" t="s">
        <v>188</v>
      </c>
      <c r="B165" t="s">
        <v>6</v>
      </c>
      <c r="C165" s="1">
        <v>45715</v>
      </c>
      <c r="D165" t="s">
        <v>2</v>
      </c>
      <c r="E165" t="s">
        <v>7</v>
      </c>
      <c r="F165" s="2">
        <v>16178</v>
      </c>
      <c r="G165" s="2">
        <v>1048</v>
      </c>
      <c r="H165" s="2">
        <v>871</v>
      </c>
      <c r="I165" s="2">
        <v>2553</v>
      </c>
      <c r="J165" s="2">
        <v>39025</v>
      </c>
      <c r="K165" s="2">
        <v>59508</v>
      </c>
      <c r="L165" s="4">
        <v>0.30411037171472699</v>
      </c>
      <c r="M165" t="s">
        <v>4</v>
      </c>
      <c r="W165" s="9">
        <v>45726</v>
      </c>
      <c r="X165" s="10" t="s">
        <v>6</v>
      </c>
      <c r="Y165" s="11">
        <v>2827</v>
      </c>
      <c r="Z165" s="11">
        <v>292</v>
      </c>
      <c r="AA165" s="11">
        <v>997585</v>
      </c>
      <c r="AB165" s="12">
        <v>2.4004972007397871</v>
      </c>
      <c r="AC165" s="13">
        <v>17896</v>
      </c>
    </row>
    <row r="166" spans="1:29" x14ac:dyDescent="0.3">
      <c r="A166" t="s">
        <v>189</v>
      </c>
      <c r="B166" t="s">
        <v>28</v>
      </c>
      <c r="C166" s="1">
        <v>45937</v>
      </c>
      <c r="D166" t="s">
        <v>22</v>
      </c>
      <c r="E166" t="s">
        <v>25</v>
      </c>
      <c r="F166" s="2">
        <v>19660</v>
      </c>
      <c r="G166" s="2">
        <v>1307</v>
      </c>
      <c r="H166" s="2">
        <v>310</v>
      </c>
      <c r="I166" s="2">
        <v>2802</v>
      </c>
      <c r="J166" s="2">
        <v>22171</v>
      </c>
      <c r="K166" s="2">
        <v>213359</v>
      </c>
      <c r="L166" s="4">
        <v>9.9723939463533307E-2</v>
      </c>
      <c r="M166" t="s">
        <v>8</v>
      </c>
      <c r="W166" s="9">
        <v>45733</v>
      </c>
      <c r="X166" s="10" t="s">
        <v>6</v>
      </c>
      <c r="Y166" s="11">
        <v>7979</v>
      </c>
      <c r="Z166" s="11">
        <v>470</v>
      </c>
      <c r="AA166" s="11">
        <v>1005094</v>
      </c>
      <c r="AB166" s="12">
        <v>10.43086517280971</v>
      </c>
      <c r="AC166" s="13">
        <v>42972</v>
      </c>
    </row>
    <row r="167" spans="1:29" x14ac:dyDescent="0.3">
      <c r="A167" t="s">
        <v>190</v>
      </c>
      <c r="B167" t="s">
        <v>10</v>
      </c>
      <c r="C167" s="1">
        <v>45704</v>
      </c>
      <c r="D167" t="s">
        <v>11</v>
      </c>
      <c r="E167" t="s">
        <v>38</v>
      </c>
      <c r="F167" s="2">
        <v>24195</v>
      </c>
      <c r="G167" s="2">
        <v>888</v>
      </c>
      <c r="H167" s="2">
        <v>165</v>
      </c>
      <c r="I167" s="2">
        <v>1559</v>
      </c>
      <c r="J167" s="2">
        <v>11596</v>
      </c>
      <c r="K167" s="2">
        <v>249988</v>
      </c>
      <c r="L167" s="4">
        <v>0.100996847848697</v>
      </c>
      <c r="M167" t="s">
        <v>13</v>
      </c>
      <c r="W167" s="9">
        <v>45733</v>
      </c>
      <c r="X167" s="10" t="s">
        <v>10</v>
      </c>
      <c r="Y167" s="11">
        <v>9569</v>
      </c>
      <c r="Z167" s="11">
        <v>1277</v>
      </c>
      <c r="AA167" s="11">
        <v>1013386</v>
      </c>
      <c r="AB167" s="12">
        <v>12.45517502708741</v>
      </c>
      <c r="AC167" s="13">
        <v>59733</v>
      </c>
    </row>
    <row r="168" spans="1:29" x14ac:dyDescent="0.3">
      <c r="A168" t="s">
        <v>191</v>
      </c>
      <c r="B168" t="s">
        <v>6</v>
      </c>
      <c r="C168" s="1">
        <v>45624</v>
      </c>
      <c r="D168" t="s">
        <v>22</v>
      </c>
      <c r="E168" t="s">
        <v>38</v>
      </c>
      <c r="F168" s="2">
        <v>2302</v>
      </c>
      <c r="G168" s="2">
        <v>347</v>
      </c>
      <c r="H168" s="2">
        <v>642</v>
      </c>
      <c r="I168" s="2">
        <v>2175</v>
      </c>
      <c r="J168" s="2">
        <v>56378</v>
      </c>
      <c r="K168" s="2">
        <v>198056</v>
      </c>
      <c r="L168" s="4">
        <v>1.6616512501514701E-2</v>
      </c>
      <c r="M168" t="s">
        <v>33</v>
      </c>
      <c r="W168" s="9">
        <v>45733</v>
      </c>
      <c r="X168" s="10" t="s">
        <v>6</v>
      </c>
      <c r="Y168" s="11">
        <v>5285</v>
      </c>
      <c r="Z168" s="11">
        <v>433</v>
      </c>
      <c r="AA168" s="11">
        <v>1018238</v>
      </c>
      <c r="AB168" s="12">
        <v>8.7022876773406619</v>
      </c>
      <c r="AC168" s="13">
        <v>51800</v>
      </c>
    </row>
    <row r="169" spans="1:29" x14ac:dyDescent="0.3">
      <c r="A169" t="s">
        <v>192</v>
      </c>
      <c r="B169" t="s">
        <v>1</v>
      </c>
      <c r="C169" s="1">
        <v>45608</v>
      </c>
      <c r="D169" t="s">
        <v>2</v>
      </c>
      <c r="E169" t="s">
        <v>7</v>
      </c>
      <c r="F169" s="2">
        <v>19022</v>
      </c>
      <c r="G169" s="2">
        <v>541</v>
      </c>
      <c r="H169" s="2">
        <v>575</v>
      </c>
      <c r="I169" s="2">
        <v>2063</v>
      </c>
      <c r="J169" s="2">
        <v>42743</v>
      </c>
      <c r="K169" s="2">
        <v>150169</v>
      </c>
      <c r="L169" s="4">
        <v>0.134102244804187</v>
      </c>
      <c r="M169" t="s">
        <v>4</v>
      </c>
      <c r="W169" s="9">
        <v>45733</v>
      </c>
      <c r="X169" s="10" t="s">
        <v>6</v>
      </c>
      <c r="Y169" s="11">
        <v>7910</v>
      </c>
      <c r="Z169" s="11">
        <v>543</v>
      </c>
      <c r="AA169" s="11">
        <v>1025605</v>
      </c>
      <c r="AB169" s="12">
        <v>6.0590578244060822</v>
      </c>
      <c r="AC169" s="13">
        <v>40508</v>
      </c>
    </row>
    <row r="170" spans="1:29" x14ac:dyDescent="0.3">
      <c r="A170" t="s">
        <v>193</v>
      </c>
      <c r="B170" t="s">
        <v>1</v>
      </c>
      <c r="C170" s="1">
        <v>45629</v>
      </c>
      <c r="D170" t="s">
        <v>2</v>
      </c>
      <c r="E170" t="s">
        <v>23</v>
      </c>
      <c r="F170" s="2">
        <v>2055</v>
      </c>
      <c r="G170" s="2">
        <v>675</v>
      </c>
      <c r="H170" s="2">
        <v>257</v>
      </c>
      <c r="I170" s="2">
        <v>820</v>
      </c>
      <c r="J170" s="2">
        <v>33534</v>
      </c>
      <c r="K170" s="2">
        <v>48125</v>
      </c>
      <c r="L170" s="4">
        <v>6.20675324675325E-2</v>
      </c>
      <c r="M170" t="s">
        <v>4</v>
      </c>
      <c r="W170" s="9">
        <v>45740</v>
      </c>
      <c r="X170" s="10" t="s">
        <v>6</v>
      </c>
      <c r="Y170" s="11">
        <v>9561</v>
      </c>
      <c r="Z170" s="11">
        <v>517</v>
      </c>
      <c r="AA170" s="11">
        <v>1034649</v>
      </c>
      <c r="AB170" s="12">
        <v>6.4086467971263694</v>
      </c>
      <c r="AC170" s="13">
        <v>15347</v>
      </c>
    </row>
    <row r="171" spans="1:29" x14ac:dyDescent="0.3">
      <c r="A171" t="s">
        <v>194</v>
      </c>
      <c r="B171" t="s">
        <v>28</v>
      </c>
      <c r="C171" s="1">
        <v>45775</v>
      </c>
      <c r="D171" t="s">
        <v>22</v>
      </c>
      <c r="E171" t="s">
        <v>43</v>
      </c>
      <c r="F171" s="2">
        <v>15013</v>
      </c>
      <c r="G171" s="2">
        <v>1286</v>
      </c>
      <c r="H171" s="2">
        <v>599</v>
      </c>
      <c r="I171" s="2">
        <v>2001</v>
      </c>
      <c r="J171" s="2">
        <v>67839</v>
      </c>
      <c r="K171" s="2">
        <v>76059</v>
      </c>
      <c r="L171" s="4">
        <v>0.22216963147030599</v>
      </c>
      <c r="M171" t="s">
        <v>4</v>
      </c>
      <c r="W171" s="9">
        <v>45740</v>
      </c>
      <c r="X171" s="10" t="s">
        <v>6</v>
      </c>
      <c r="Y171" s="11">
        <v>3196</v>
      </c>
      <c r="Z171" s="11">
        <v>348</v>
      </c>
      <c r="AA171" s="11">
        <v>1037497</v>
      </c>
      <c r="AB171" s="12">
        <v>14.03040201562029</v>
      </c>
      <c r="AC171" s="13">
        <v>40314</v>
      </c>
    </row>
    <row r="172" spans="1:29" x14ac:dyDescent="0.3">
      <c r="A172" t="s">
        <v>195</v>
      </c>
      <c r="B172" t="s">
        <v>6</v>
      </c>
      <c r="C172" s="1">
        <v>45657</v>
      </c>
      <c r="D172" t="s">
        <v>2</v>
      </c>
      <c r="E172" t="s">
        <v>3</v>
      </c>
      <c r="F172" s="2">
        <v>10717</v>
      </c>
      <c r="G172" s="2">
        <v>760</v>
      </c>
      <c r="H172" s="2">
        <v>460</v>
      </c>
      <c r="I172" s="2">
        <v>1316</v>
      </c>
      <c r="J172" s="2">
        <v>18164</v>
      </c>
      <c r="K172" s="2">
        <v>240641</v>
      </c>
      <c r="L172" s="4">
        <v>4.96050132770392E-2</v>
      </c>
      <c r="M172" t="s">
        <v>33</v>
      </c>
      <c r="W172" s="9">
        <v>45740</v>
      </c>
      <c r="X172" s="10" t="s">
        <v>1</v>
      </c>
      <c r="Y172" s="11">
        <v>4747</v>
      </c>
      <c r="Z172" s="11">
        <v>558</v>
      </c>
      <c r="AA172" s="11">
        <v>1041686</v>
      </c>
      <c r="AB172" s="12">
        <v>5.7680529449373434</v>
      </c>
      <c r="AC172" s="13">
        <v>12643</v>
      </c>
    </row>
    <row r="173" spans="1:29" x14ac:dyDescent="0.3">
      <c r="A173" t="s">
        <v>196</v>
      </c>
      <c r="B173" t="s">
        <v>10</v>
      </c>
      <c r="C173" s="1">
        <v>45518</v>
      </c>
      <c r="D173" t="s">
        <v>22</v>
      </c>
      <c r="E173" t="s">
        <v>103</v>
      </c>
      <c r="F173" s="2">
        <v>10150</v>
      </c>
      <c r="G173" s="2">
        <v>526</v>
      </c>
      <c r="H173" s="2">
        <v>888</v>
      </c>
      <c r="I173" s="2">
        <v>1313</v>
      </c>
      <c r="J173" s="2">
        <v>51605</v>
      </c>
      <c r="K173" s="2">
        <v>143409</v>
      </c>
      <c r="L173" s="4">
        <v>8.0636501195880297E-2</v>
      </c>
      <c r="M173" t="s">
        <v>4</v>
      </c>
      <c r="W173" s="9">
        <v>45740</v>
      </c>
      <c r="X173" s="10" t="s">
        <v>6</v>
      </c>
      <c r="Y173" s="11">
        <v>9843</v>
      </c>
      <c r="Z173" s="11">
        <v>508</v>
      </c>
      <c r="AA173" s="11">
        <v>1051021</v>
      </c>
      <c r="AB173" s="12">
        <v>4.2080986012648651</v>
      </c>
      <c r="AC173" s="13">
        <v>50785</v>
      </c>
    </row>
    <row r="174" spans="1:29" x14ac:dyDescent="0.3">
      <c r="A174" t="s">
        <v>197</v>
      </c>
      <c r="B174" t="s">
        <v>1</v>
      </c>
      <c r="C174" s="1">
        <v>45631</v>
      </c>
      <c r="D174" t="s">
        <v>11</v>
      </c>
      <c r="E174" t="s">
        <v>38</v>
      </c>
      <c r="F174" s="2">
        <v>4125</v>
      </c>
      <c r="G174" s="2">
        <v>1364</v>
      </c>
      <c r="H174" s="2">
        <v>319</v>
      </c>
      <c r="I174" s="2">
        <v>2848</v>
      </c>
      <c r="J174" s="2">
        <v>15379</v>
      </c>
      <c r="K174" s="2">
        <v>188159</v>
      </c>
      <c r="L174" s="4">
        <v>3.0867510988047301E-2</v>
      </c>
      <c r="M174" t="s">
        <v>33</v>
      </c>
      <c r="W174" s="9">
        <v>45747</v>
      </c>
      <c r="X174" s="10" t="s">
        <v>28</v>
      </c>
      <c r="Y174" s="11">
        <v>6978</v>
      </c>
      <c r="Z174" s="11">
        <v>706</v>
      </c>
      <c r="AA174" s="11">
        <v>1057293</v>
      </c>
      <c r="AB174" s="12">
        <v>5.057443868445171</v>
      </c>
      <c r="AC174" s="13">
        <v>28681</v>
      </c>
    </row>
    <row r="175" spans="1:29" x14ac:dyDescent="0.3">
      <c r="A175" t="s">
        <v>198</v>
      </c>
      <c r="B175" t="s">
        <v>6</v>
      </c>
      <c r="C175" s="1">
        <v>45465</v>
      </c>
      <c r="D175" t="s">
        <v>22</v>
      </c>
      <c r="E175" t="s">
        <v>3</v>
      </c>
      <c r="F175" s="2">
        <v>13479</v>
      </c>
      <c r="G175" s="2">
        <v>1189</v>
      </c>
      <c r="H175" s="2">
        <v>695</v>
      </c>
      <c r="I175" s="2">
        <v>416</v>
      </c>
      <c r="J175" s="2">
        <v>30229</v>
      </c>
      <c r="K175" s="2">
        <v>45704</v>
      </c>
      <c r="L175" s="4">
        <v>0.33614125678277601</v>
      </c>
      <c r="M175" t="s">
        <v>4</v>
      </c>
      <c r="W175" s="9">
        <v>45747</v>
      </c>
      <c r="X175" s="10" t="s">
        <v>10</v>
      </c>
      <c r="Y175" s="11">
        <v>6607</v>
      </c>
      <c r="Z175" s="11">
        <v>479</v>
      </c>
      <c r="AA175" s="11">
        <v>1063421</v>
      </c>
      <c r="AB175" s="12">
        <v>5.5892257158735816</v>
      </c>
      <c r="AC175" s="13">
        <v>48328</v>
      </c>
    </row>
    <row r="176" spans="1:29" x14ac:dyDescent="0.3">
      <c r="A176" t="s">
        <v>199</v>
      </c>
      <c r="B176" t="s">
        <v>6</v>
      </c>
      <c r="C176" s="1">
        <v>45938</v>
      </c>
      <c r="D176" t="s">
        <v>11</v>
      </c>
      <c r="E176" t="s">
        <v>38</v>
      </c>
      <c r="F176" s="2">
        <v>17745</v>
      </c>
      <c r="G176" s="2">
        <v>414</v>
      </c>
      <c r="H176" s="2">
        <v>563</v>
      </c>
      <c r="I176" s="2">
        <v>2733</v>
      </c>
      <c r="J176" s="2">
        <v>995</v>
      </c>
      <c r="K176" s="2">
        <v>231648</v>
      </c>
      <c r="L176" s="4">
        <v>8.0820900676889101E-2</v>
      </c>
      <c r="M176" t="s">
        <v>8</v>
      </c>
      <c r="W176" s="9">
        <v>45747</v>
      </c>
      <c r="X176" s="10" t="s">
        <v>1</v>
      </c>
      <c r="Y176" s="11">
        <v>1769</v>
      </c>
      <c r="Z176" s="11">
        <v>202</v>
      </c>
      <c r="AA176" s="11">
        <v>1064988</v>
      </c>
      <c r="AB176" s="12">
        <v>6.5457075572682513</v>
      </c>
      <c r="AC176" s="13">
        <v>25892</v>
      </c>
    </row>
    <row r="177" spans="1:29" x14ac:dyDescent="0.3">
      <c r="A177" t="s">
        <v>200</v>
      </c>
      <c r="B177" t="s">
        <v>28</v>
      </c>
      <c r="C177" s="1">
        <v>45939</v>
      </c>
      <c r="D177" t="s">
        <v>22</v>
      </c>
      <c r="E177" t="s">
        <v>12</v>
      </c>
      <c r="F177" s="2">
        <v>18748</v>
      </c>
      <c r="G177" s="2">
        <v>634</v>
      </c>
      <c r="H177" s="2">
        <v>400</v>
      </c>
      <c r="I177" s="2">
        <v>1667</v>
      </c>
      <c r="J177" s="2">
        <v>75813</v>
      </c>
      <c r="K177" s="2">
        <v>244456</v>
      </c>
      <c r="L177" s="4">
        <v>8.0922538207284803E-2</v>
      </c>
      <c r="M177" t="s">
        <v>8</v>
      </c>
      <c r="W177" s="9">
        <v>45747</v>
      </c>
      <c r="X177" s="10" t="s">
        <v>6</v>
      </c>
      <c r="Y177" s="11">
        <v>1780</v>
      </c>
      <c r="Z177" s="11">
        <v>120</v>
      </c>
      <c r="AA177" s="11">
        <v>1066648</v>
      </c>
      <c r="AB177" s="12">
        <v>13.86474263299608</v>
      </c>
      <c r="AC177" s="13">
        <v>57299</v>
      </c>
    </row>
    <row r="178" spans="1:29" x14ac:dyDescent="0.3">
      <c r="A178" t="s">
        <v>201</v>
      </c>
      <c r="B178" t="s">
        <v>1</v>
      </c>
      <c r="C178" s="1">
        <v>45483</v>
      </c>
      <c r="D178" t="s">
        <v>2</v>
      </c>
      <c r="E178" t="s">
        <v>43</v>
      </c>
      <c r="F178" s="2">
        <v>8809</v>
      </c>
      <c r="G178" s="2">
        <v>1151</v>
      </c>
      <c r="H178" s="2">
        <v>908</v>
      </c>
      <c r="I178" s="2">
        <v>883</v>
      </c>
      <c r="J178" s="2">
        <v>42921</v>
      </c>
      <c r="K178" s="2">
        <v>151279</v>
      </c>
      <c r="L178" s="4">
        <v>7.1840771025720701E-2</v>
      </c>
      <c r="M178" t="s">
        <v>33</v>
      </c>
      <c r="W178" s="9">
        <v>45754</v>
      </c>
      <c r="X178" s="10" t="s">
        <v>1</v>
      </c>
      <c r="Y178" s="11">
        <v>7303</v>
      </c>
      <c r="Z178" s="11">
        <v>869</v>
      </c>
      <c r="AA178" s="11">
        <v>1073082</v>
      </c>
      <c r="AB178" s="12">
        <v>8.1237966902808925</v>
      </c>
      <c r="AC178" s="13">
        <v>27073</v>
      </c>
    </row>
    <row r="179" spans="1:29" x14ac:dyDescent="0.3">
      <c r="A179" t="s">
        <v>202</v>
      </c>
      <c r="B179" t="s">
        <v>1</v>
      </c>
      <c r="C179" s="1">
        <v>45940</v>
      </c>
      <c r="D179" t="s">
        <v>22</v>
      </c>
      <c r="E179" t="s">
        <v>12</v>
      </c>
      <c r="F179" s="2">
        <v>6621</v>
      </c>
      <c r="G179" s="2">
        <v>922</v>
      </c>
      <c r="H179" s="2">
        <v>930</v>
      </c>
      <c r="I179" s="2">
        <v>694</v>
      </c>
      <c r="J179" s="2">
        <v>839</v>
      </c>
      <c r="K179" s="2">
        <v>243532</v>
      </c>
      <c r="L179" s="4">
        <v>3.4792142305733999E-2</v>
      </c>
      <c r="M179" t="s">
        <v>8</v>
      </c>
      <c r="W179" s="9">
        <v>45754</v>
      </c>
      <c r="X179" s="10" t="s">
        <v>6</v>
      </c>
      <c r="Y179" s="11">
        <v>4983</v>
      </c>
      <c r="Z179" s="11">
        <v>441</v>
      </c>
      <c r="AA179" s="11">
        <v>1077624</v>
      </c>
      <c r="AB179" s="12">
        <v>6.8954477628560609</v>
      </c>
      <c r="AC179" s="13">
        <v>46768</v>
      </c>
    </row>
    <row r="180" spans="1:29" x14ac:dyDescent="0.3">
      <c r="A180" t="s">
        <v>203</v>
      </c>
      <c r="B180" t="s">
        <v>10</v>
      </c>
      <c r="C180" s="1">
        <v>45488</v>
      </c>
      <c r="D180" t="s">
        <v>2</v>
      </c>
      <c r="E180" t="s">
        <v>38</v>
      </c>
      <c r="F180" s="2">
        <v>17034</v>
      </c>
      <c r="G180" s="2">
        <v>231</v>
      </c>
      <c r="H180" s="2">
        <v>290</v>
      </c>
      <c r="I180" s="2">
        <v>1387</v>
      </c>
      <c r="J180" s="2">
        <v>63550</v>
      </c>
      <c r="K180" s="2">
        <v>198280</v>
      </c>
      <c r="L180" s="4">
        <v>8.8536413153116805E-2</v>
      </c>
      <c r="M180" t="s">
        <v>33</v>
      </c>
      <c r="W180" s="9">
        <v>45754</v>
      </c>
      <c r="X180" s="10" t="s">
        <v>28</v>
      </c>
      <c r="Y180" s="11">
        <v>9714</v>
      </c>
      <c r="Z180" s="11">
        <v>1395</v>
      </c>
      <c r="AA180" s="11">
        <v>1085943</v>
      </c>
      <c r="AB180" s="12">
        <v>5.2243073531483697</v>
      </c>
      <c r="AC180" s="13">
        <v>40682</v>
      </c>
    </row>
    <row r="181" spans="1:29" x14ac:dyDescent="0.3">
      <c r="A181" t="s">
        <v>204</v>
      </c>
      <c r="B181" t="s">
        <v>1</v>
      </c>
      <c r="C181" s="1">
        <v>45941</v>
      </c>
      <c r="D181" t="s">
        <v>22</v>
      </c>
      <c r="E181" t="s">
        <v>25</v>
      </c>
      <c r="F181" s="2">
        <v>15623</v>
      </c>
      <c r="G181" s="2">
        <v>869</v>
      </c>
      <c r="H181" s="2">
        <v>423</v>
      </c>
      <c r="I181" s="2">
        <v>371</v>
      </c>
      <c r="J181" s="2">
        <v>47579</v>
      </c>
      <c r="K181" s="2">
        <v>158516</v>
      </c>
      <c r="L181" s="4">
        <v>0.106708471069167</v>
      </c>
      <c r="M181" t="s">
        <v>8</v>
      </c>
      <c r="W181" s="9">
        <v>45754</v>
      </c>
      <c r="X181" s="10" t="s">
        <v>10</v>
      </c>
      <c r="Y181" s="11">
        <v>1521</v>
      </c>
      <c r="Z181" s="11">
        <v>96</v>
      </c>
      <c r="AA181" s="11">
        <v>1087368</v>
      </c>
      <c r="AB181" s="12">
        <v>12.709772588488899</v>
      </c>
      <c r="AC181" s="13">
        <v>42262</v>
      </c>
    </row>
    <row r="182" spans="1:29" x14ac:dyDescent="0.3">
      <c r="A182" t="s">
        <v>205</v>
      </c>
      <c r="B182" t="s">
        <v>10</v>
      </c>
      <c r="C182" s="1">
        <v>45942</v>
      </c>
      <c r="D182" t="s">
        <v>22</v>
      </c>
      <c r="E182" t="s">
        <v>25</v>
      </c>
      <c r="F182" s="2">
        <v>7126</v>
      </c>
      <c r="G182" s="2">
        <v>484</v>
      </c>
      <c r="H182" s="2">
        <v>565</v>
      </c>
      <c r="I182" s="2">
        <v>573</v>
      </c>
      <c r="J182" s="2">
        <v>7389</v>
      </c>
      <c r="K182" s="2">
        <v>237096</v>
      </c>
      <c r="L182" s="4">
        <v>3.4479704423524597E-2</v>
      </c>
      <c r="M182" t="s">
        <v>8</v>
      </c>
      <c r="W182" s="9">
        <v>45761</v>
      </c>
      <c r="X182" s="10" t="s">
        <v>6</v>
      </c>
      <c r="Y182" s="11">
        <v>8569</v>
      </c>
      <c r="Z182" s="11">
        <v>720</v>
      </c>
      <c r="AA182" s="11">
        <v>1095217</v>
      </c>
      <c r="AB182" s="12">
        <v>9.589697749395782</v>
      </c>
      <c r="AC182" s="13">
        <v>41358</v>
      </c>
    </row>
    <row r="183" spans="1:29" x14ac:dyDescent="0.3">
      <c r="A183" t="s">
        <v>206</v>
      </c>
      <c r="B183" t="s">
        <v>1</v>
      </c>
      <c r="C183" s="1">
        <v>45504</v>
      </c>
      <c r="D183" t="s">
        <v>15</v>
      </c>
      <c r="E183" t="s">
        <v>12</v>
      </c>
      <c r="F183" s="2">
        <v>7122</v>
      </c>
      <c r="G183" s="2">
        <v>628</v>
      </c>
      <c r="H183" s="2">
        <v>757</v>
      </c>
      <c r="I183" s="2">
        <v>2313</v>
      </c>
      <c r="J183" s="2">
        <v>50924</v>
      </c>
      <c r="K183" s="2">
        <v>210954</v>
      </c>
      <c r="L183" s="4">
        <v>4.0326327066564298E-2</v>
      </c>
      <c r="M183" t="s">
        <v>33</v>
      </c>
      <c r="W183" s="9">
        <v>45761</v>
      </c>
      <c r="X183" s="10" t="s">
        <v>6</v>
      </c>
      <c r="Y183" s="11">
        <v>6784</v>
      </c>
      <c r="Z183" s="11">
        <v>416</v>
      </c>
      <c r="AA183" s="11">
        <v>1101585</v>
      </c>
      <c r="AB183" s="12">
        <v>9.3041390360253633</v>
      </c>
      <c r="AC183" s="13">
        <v>24289</v>
      </c>
    </row>
    <row r="184" spans="1:29" x14ac:dyDescent="0.3">
      <c r="A184" t="s">
        <v>207</v>
      </c>
      <c r="B184" t="s">
        <v>28</v>
      </c>
      <c r="C184" s="1">
        <v>45643</v>
      </c>
      <c r="D184" t="s">
        <v>2</v>
      </c>
      <c r="E184" t="s">
        <v>25</v>
      </c>
      <c r="F184" s="2">
        <v>20030</v>
      </c>
      <c r="G184" s="2">
        <v>485</v>
      </c>
      <c r="H184" s="2">
        <v>888</v>
      </c>
      <c r="I184" s="2">
        <v>1643</v>
      </c>
      <c r="J184" s="2">
        <v>4322</v>
      </c>
      <c r="K184" s="2">
        <v>196995</v>
      </c>
      <c r="L184" s="4">
        <v>0.108647427599685</v>
      </c>
      <c r="M184" t="s">
        <v>13</v>
      </c>
      <c r="W184" s="9">
        <v>45761</v>
      </c>
      <c r="X184" s="10" t="s">
        <v>6</v>
      </c>
      <c r="Y184" s="11">
        <v>5583</v>
      </c>
      <c r="Z184" s="11">
        <v>795</v>
      </c>
      <c r="AA184" s="11">
        <v>1106373</v>
      </c>
      <c r="AB184" s="12">
        <v>12.21550055903389</v>
      </c>
      <c r="AC184" s="13">
        <v>59823</v>
      </c>
    </row>
    <row r="185" spans="1:29" x14ac:dyDescent="0.3">
      <c r="A185" t="s">
        <v>208</v>
      </c>
      <c r="B185" t="s">
        <v>1</v>
      </c>
      <c r="C185" s="1">
        <v>45943</v>
      </c>
      <c r="D185" t="s">
        <v>15</v>
      </c>
      <c r="E185" t="s">
        <v>38</v>
      </c>
      <c r="F185" s="2">
        <v>19302</v>
      </c>
      <c r="G185" s="2">
        <v>1367</v>
      </c>
      <c r="H185" s="2">
        <v>188</v>
      </c>
      <c r="I185" s="2">
        <v>637</v>
      </c>
      <c r="J185" s="2">
        <v>31404</v>
      </c>
      <c r="K185" s="2">
        <v>154044</v>
      </c>
      <c r="L185" s="4">
        <v>0.13539638025499201</v>
      </c>
      <c r="M185" t="s">
        <v>8</v>
      </c>
      <c r="W185" s="9">
        <v>45761</v>
      </c>
      <c r="X185" s="10" t="s">
        <v>6</v>
      </c>
      <c r="Y185" s="11">
        <v>6946</v>
      </c>
      <c r="Z185" s="11">
        <v>956</v>
      </c>
      <c r="AA185" s="11">
        <v>1112363</v>
      </c>
      <c r="AB185" s="12">
        <v>1.64146056637986</v>
      </c>
      <c r="AC185" s="13">
        <v>17927</v>
      </c>
    </row>
    <row r="186" spans="1:29" x14ac:dyDescent="0.3">
      <c r="A186" t="s">
        <v>209</v>
      </c>
      <c r="B186" t="s">
        <v>10</v>
      </c>
      <c r="C186" s="1">
        <v>45668</v>
      </c>
      <c r="D186" t="s">
        <v>2</v>
      </c>
      <c r="E186" t="s">
        <v>7</v>
      </c>
      <c r="F186" s="2">
        <v>21181</v>
      </c>
      <c r="G186" s="2">
        <v>1242</v>
      </c>
      <c r="H186" s="2">
        <v>963</v>
      </c>
      <c r="I186" s="2">
        <v>1689</v>
      </c>
      <c r="J186" s="2">
        <v>49329</v>
      </c>
      <c r="K186" s="2">
        <v>69165</v>
      </c>
      <c r="L186" s="4">
        <v>0.338118990819056</v>
      </c>
      <c r="M186" t="s">
        <v>4</v>
      </c>
      <c r="W186" s="9">
        <v>45768</v>
      </c>
      <c r="X186" s="10" t="s">
        <v>10</v>
      </c>
      <c r="Y186" s="11">
        <v>5941</v>
      </c>
      <c r="Z186" s="11">
        <v>450</v>
      </c>
      <c r="AA186" s="11">
        <v>1117854</v>
      </c>
      <c r="AB186" s="12">
        <v>12.414411899944</v>
      </c>
      <c r="AC186" s="13">
        <v>58330</v>
      </c>
    </row>
    <row r="187" spans="1:29" x14ac:dyDescent="0.3">
      <c r="A187" t="s">
        <v>210</v>
      </c>
      <c r="B187" t="s">
        <v>10</v>
      </c>
      <c r="C187" s="1">
        <v>45528</v>
      </c>
      <c r="D187" t="s">
        <v>15</v>
      </c>
      <c r="E187" t="s">
        <v>12</v>
      </c>
      <c r="F187" s="2">
        <v>24890</v>
      </c>
      <c r="G187" s="2">
        <v>217</v>
      </c>
      <c r="H187" s="2">
        <v>178</v>
      </c>
      <c r="I187" s="2">
        <v>906</v>
      </c>
      <c r="J187" s="2">
        <v>54826</v>
      </c>
      <c r="K187" s="2">
        <v>107203</v>
      </c>
      <c r="L187" s="4">
        <v>0.23586093672751701</v>
      </c>
      <c r="M187" t="s">
        <v>13</v>
      </c>
      <c r="W187" s="9">
        <v>45768</v>
      </c>
      <c r="X187" s="10" t="s">
        <v>10</v>
      </c>
      <c r="Y187" s="11">
        <v>7267</v>
      </c>
      <c r="Z187" s="11">
        <v>842</v>
      </c>
      <c r="AA187" s="11">
        <v>1124279</v>
      </c>
      <c r="AB187" s="12">
        <v>2.2102165031989389</v>
      </c>
      <c r="AC187" s="13">
        <v>11171</v>
      </c>
    </row>
    <row r="188" spans="1:29" x14ac:dyDescent="0.3">
      <c r="A188" t="s">
        <v>211</v>
      </c>
      <c r="B188" t="s">
        <v>28</v>
      </c>
      <c r="C188" s="1">
        <v>45648</v>
      </c>
      <c r="D188" t="s">
        <v>11</v>
      </c>
      <c r="E188" t="s">
        <v>103</v>
      </c>
      <c r="F188" s="2">
        <v>7870</v>
      </c>
      <c r="G188" s="2">
        <v>968</v>
      </c>
      <c r="H188" s="2">
        <v>626</v>
      </c>
      <c r="I188" s="2">
        <v>465</v>
      </c>
      <c r="J188" s="2">
        <v>27184</v>
      </c>
      <c r="K188" s="2">
        <v>44114</v>
      </c>
      <c r="L188" s="4">
        <v>0.214535068232307</v>
      </c>
      <c r="M188" t="s">
        <v>33</v>
      </c>
      <c r="W188" s="9">
        <v>45768</v>
      </c>
      <c r="X188" s="10" t="s">
        <v>28</v>
      </c>
      <c r="Y188" s="11">
        <v>8128</v>
      </c>
      <c r="Z188" s="11">
        <v>1070</v>
      </c>
      <c r="AA188" s="11">
        <v>1131337</v>
      </c>
      <c r="AB188" s="12">
        <v>8.1114645768679008</v>
      </c>
      <c r="AC188" s="13">
        <v>21918</v>
      </c>
    </row>
    <row r="189" spans="1:29" x14ac:dyDescent="0.3">
      <c r="A189" t="s">
        <v>212</v>
      </c>
      <c r="B189" t="s">
        <v>1</v>
      </c>
      <c r="C189" s="1">
        <v>45449</v>
      </c>
      <c r="D189" t="s">
        <v>22</v>
      </c>
      <c r="E189" t="s">
        <v>103</v>
      </c>
      <c r="F189" s="2">
        <v>3531</v>
      </c>
      <c r="G189" s="2">
        <v>789</v>
      </c>
      <c r="H189" s="2">
        <v>467</v>
      </c>
      <c r="I189" s="2">
        <v>1867</v>
      </c>
      <c r="J189" s="2">
        <v>40816</v>
      </c>
      <c r="K189" s="2">
        <v>236037</v>
      </c>
      <c r="L189" s="4">
        <v>2.0280718700881599E-2</v>
      </c>
      <c r="M189" t="s">
        <v>13</v>
      </c>
      <c r="W189" s="9">
        <v>45768</v>
      </c>
      <c r="X189" s="10" t="s">
        <v>10</v>
      </c>
      <c r="Y189" s="11">
        <v>3461</v>
      </c>
      <c r="Z189" s="11">
        <v>365</v>
      </c>
      <c r="AA189" s="11">
        <v>1134433</v>
      </c>
      <c r="AB189" s="12">
        <v>10.23489267325616</v>
      </c>
      <c r="AC189" s="13">
        <v>51903</v>
      </c>
    </row>
    <row r="190" spans="1:29" x14ac:dyDescent="0.3">
      <c r="A190" t="s">
        <v>213</v>
      </c>
      <c r="B190" t="s">
        <v>1</v>
      </c>
      <c r="C190" s="1">
        <v>45740</v>
      </c>
      <c r="D190" t="s">
        <v>2</v>
      </c>
      <c r="E190" t="s">
        <v>20</v>
      </c>
      <c r="F190" s="2">
        <v>10172</v>
      </c>
      <c r="G190" s="2">
        <v>1398</v>
      </c>
      <c r="H190" s="2">
        <v>394</v>
      </c>
      <c r="I190" s="2">
        <v>2358</v>
      </c>
      <c r="J190" s="2">
        <v>59610</v>
      </c>
      <c r="K190" s="2">
        <v>76321</v>
      </c>
      <c r="L190" s="4">
        <v>0.15675895231980699</v>
      </c>
      <c r="M190" t="s">
        <v>17</v>
      </c>
      <c r="W190" s="9">
        <v>45775</v>
      </c>
      <c r="X190" s="10" t="s">
        <v>6</v>
      </c>
      <c r="Y190" s="11">
        <v>1685</v>
      </c>
      <c r="Z190" s="11">
        <v>173</v>
      </c>
      <c r="AA190" s="11">
        <v>1135945</v>
      </c>
      <c r="AB190" s="12">
        <v>8.7776256772995165</v>
      </c>
      <c r="AC190" s="13">
        <v>49110</v>
      </c>
    </row>
    <row r="191" spans="1:29" x14ac:dyDescent="0.3">
      <c r="A191" t="s">
        <v>214</v>
      </c>
      <c r="B191" t="s">
        <v>28</v>
      </c>
      <c r="C191" s="1">
        <v>45569</v>
      </c>
      <c r="D191" t="s">
        <v>2</v>
      </c>
      <c r="E191" t="s">
        <v>23</v>
      </c>
      <c r="F191" s="2">
        <v>21729</v>
      </c>
      <c r="G191" s="2">
        <v>1209</v>
      </c>
      <c r="H191" s="2">
        <v>897</v>
      </c>
      <c r="I191" s="2">
        <v>1624</v>
      </c>
      <c r="J191" s="2">
        <v>38771</v>
      </c>
      <c r="K191" s="2">
        <v>113297</v>
      </c>
      <c r="L191" s="4">
        <v>0.21037626768581699</v>
      </c>
      <c r="M191" t="s">
        <v>17</v>
      </c>
      <c r="W191" s="9">
        <v>45775</v>
      </c>
      <c r="X191" s="10" t="s">
        <v>28</v>
      </c>
      <c r="Y191" s="11">
        <v>3160</v>
      </c>
      <c r="Z191" s="11">
        <v>234</v>
      </c>
      <c r="AA191" s="11">
        <v>1138871</v>
      </c>
      <c r="AB191" s="12">
        <v>5.6959041015180816</v>
      </c>
      <c r="AC191" s="13">
        <v>21929</v>
      </c>
    </row>
    <row r="192" spans="1:29" x14ac:dyDescent="0.3">
      <c r="A192" t="s">
        <v>215</v>
      </c>
      <c r="B192" t="s">
        <v>1</v>
      </c>
      <c r="C192" s="1">
        <v>45944</v>
      </c>
      <c r="D192" t="s">
        <v>22</v>
      </c>
      <c r="E192" t="s">
        <v>43</v>
      </c>
      <c r="F192" s="2">
        <v>9673</v>
      </c>
      <c r="G192" s="2">
        <v>393</v>
      </c>
      <c r="H192" s="2">
        <v>846</v>
      </c>
      <c r="I192" s="2">
        <v>1028</v>
      </c>
      <c r="J192" s="2">
        <v>55556</v>
      </c>
      <c r="K192" s="2">
        <v>136652</v>
      </c>
      <c r="L192" s="4">
        <v>7.9852471972601896E-2</v>
      </c>
      <c r="M192" t="s">
        <v>8</v>
      </c>
      <c r="W192" s="9">
        <v>45775</v>
      </c>
      <c r="X192" s="10" t="s">
        <v>28</v>
      </c>
      <c r="Y192" s="11">
        <v>8031</v>
      </c>
      <c r="Z192" s="11">
        <v>476</v>
      </c>
      <c r="AA192" s="11">
        <v>1146426</v>
      </c>
      <c r="AB192" s="12">
        <v>11.940413075069831</v>
      </c>
      <c r="AC192" s="13">
        <v>12539</v>
      </c>
    </row>
    <row r="193" spans="1:29" x14ac:dyDescent="0.3">
      <c r="A193" t="s">
        <v>216</v>
      </c>
      <c r="B193" t="s">
        <v>1</v>
      </c>
      <c r="C193" s="1">
        <v>45945</v>
      </c>
      <c r="D193" t="s">
        <v>2</v>
      </c>
      <c r="E193" t="s">
        <v>25</v>
      </c>
      <c r="F193" s="2">
        <v>8882</v>
      </c>
      <c r="G193" s="2">
        <v>701</v>
      </c>
      <c r="H193" s="2">
        <v>421</v>
      </c>
      <c r="I193" s="2">
        <v>2343</v>
      </c>
      <c r="J193" s="2">
        <v>13588</v>
      </c>
      <c r="K193" s="2">
        <v>139304</v>
      </c>
      <c r="L193" s="4">
        <v>7.1814161833113205E-2</v>
      </c>
      <c r="M193" t="s">
        <v>8</v>
      </c>
      <c r="W193" s="9">
        <v>45775</v>
      </c>
      <c r="X193" s="10" t="s">
        <v>28</v>
      </c>
      <c r="Y193" s="11">
        <v>6341</v>
      </c>
      <c r="Z193" s="11">
        <v>885</v>
      </c>
      <c r="AA193" s="11">
        <v>1151882</v>
      </c>
      <c r="AB193" s="12">
        <v>6.3457020771224837</v>
      </c>
      <c r="AC193" s="13">
        <v>46727</v>
      </c>
    </row>
    <row r="194" spans="1:29" x14ac:dyDescent="0.3">
      <c r="A194" t="s">
        <v>217</v>
      </c>
      <c r="B194" t="s">
        <v>10</v>
      </c>
      <c r="C194" s="1">
        <v>45546</v>
      </c>
      <c r="D194" t="s">
        <v>2</v>
      </c>
      <c r="E194" t="s">
        <v>25</v>
      </c>
      <c r="F194" s="2">
        <v>3906</v>
      </c>
      <c r="G194" s="2">
        <v>1187</v>
      </c>
      <c r="H194" s="2">
        <v>589</v>
      </c>
      <c r="I194" s="2">
        <v>401</v>
      </c>
      <c r="J194" s="2">
        <v>52687</v>
      </c>
      <c r="K194" s="2">
        <v>196498</v>
      </c>
      <c r="L194" s="4">
        <v>2.8916324848090098E-2</v>
      </c>
      <c r="M194" t="s">
        <v>4</v>
      </c>
      <c r="W194" s="9">
        <v>45782</v>
      </c>
      <c r="X194" s="10" t="s">
        <v>6</v>
      </c>
      <c r="Y194" s="11">
        <v>1038</v>
      </c>
      <c r="Z194" s="11">
        <v>145</v>
      </c>
      <c r="AA194" s="11">
        <v>1152775</v>
      </c>
      <c r="AB194" s="12">
        <v>11.093752033137431</v>
      </c>
      <c r="AC194" s="13">
        <v>55951</v>
      </c>
    </row>
    <row r="195" spans="1:29" x14ac:dyDescent="0.3">
      <c r="A195" t="s">
        <v>218</v>
      </c>
      <c r="B195" t="s">
        <v>1</v>
      </c>
      <c r="C195" s="1">
        <v>45567</v>
      </c>
      <c r="D195" t="s">
        <v>15</v>
      </c>
      <c r="E195" t="s">
        <v>23</v>
      </c>
      <c r="F195" s="2">
        <v>5086</v>
      </c>
      <c r="G195" s="2">
        <v>1336</v>
      </c>
      <c r="H195" s="2">
        <v>897</v>
      </c>
      <c r="I195" s="2">
        <v>1715</v>
      </c>
      <c r="J195" s="2">
        <v>60592</v>
      </c>
      <c r="K195" s="2">
        <v>57772</v>
      </c>
      <c r="L195" s="4">
        <v>0.12668766876687701</v>
      </c>
      <c r="M195" t="s">
        <v>13</v>
      </c>
      <c r="W195" s="9">
        <v>45782</v>
      </c>
      <c r="X195" s="10" t="s">
        <v>1</v>
      </c>
      <c r="Y195" s="11">
        <v>5875</v>
      </c>
      <c r="Z195" s="11">
        <v>665</v>
      </c>
      <c r="AA195" s="11">
        <v>1157985</v>
      </c>
      <c r="AB195" s="12">
        <v>6.9871371390821126</v>
      </c>
      <c r="AC195" s="13">
        <v>32669</v>
      </c>
    </row>
    <row r="196" spans="1:29" x14ac:dyDescent="0.3">
      <c r="A196" t="s">
        <v>219</v>
      </c>
      <c r="B196" t="s">
        <v>1</v>
      </c>
      <c r="C196" s="1">
        <v>45519</v>
      </c>
      <c r="D196" t="s">
        <v>2</v>
      </c>
      <c r="E196" t="s">
        <v>29</v>
      </c>
      <c r="F196" s="2">
        <v>15503</v>
      </c>
      <c r="G196" s="2">
        <v>313</v>
      </c>
      <c r="H196" s="2">
        <v>388</v>
      </c>
      <c r="I196" s="2">
        <v>1078</v>
      </c>
      <c r="J196" s="2">
        <v>11500</v>
      </c>
      <c r="K196" s="2">
        <v>143754</v>
      </c>
      <c r="L196" s="4">
        <v>0.11272034169484001</v>
      </c>
      <c r="M196" t="s">
        <v>17</v>
      </c>
      <c r="W196" s="9">
        <v>45782</v>
      </c>
      <c r="X196" s="10" t="s">
        <v>6</v>
      </c>
      <c r="Y196" s="11">
        <v>2256</v>
      </c>
      <c r="Z196" s="11">
        <v>189</v>
      </c>
      <c r="AA196" s="11">
        <v>1160052</v>
      </c>
      <c r="AB196" s="12">
        <v>2.8935771844710412</v>
      </c>
      <c r="AC196" s="13">
        <v>15432</v>
      </c>
    </row>
    <row r="197" spans="1:29" x14ac:dyDescent="0.3">
      <c r="A197" t="s">
        <v>220</v>
      </c>
      <c r="B197" t="s">
        <v>28</v>
      </c>
      <c r="C197" s="1">
        <v>45918</v>
      </c>
      <c r="D197" t="s">
        <v>11</v>
      </c>
      <c r="E197" t="s">
        <v>52</v>
      </c>
      <c r="F197" s="2">
        <v>10152</v>
      </c>
      <c r="G197" s="2">
        <v>1445</v>
      </c>
      <c r="H197" s="2">
        <v>526</v>
      </c>
      <c r="I197" s="2">
        <v>513</v>
      </c>
      <c r="J197" s="2">
        <v>18959</v>
      </c>
      <c r="K197" s="2">
        <v>43712</v>
      </c>
      <c r="L197" s="4">
        <v>0.27733803074670599</v>
      </c>
      <c r="M197" t="s">
        <v>8</v>
      </c>
      <c r="W197" s="9">
        <v>45782</v>
      </c>
      <c r="X197" s="10" t="s">
        <v>10</v>
      </c>
      <c r="Y197" s="11">
        <v>8697</v>
      </c>
      <c r="Z197" s="11">
        <v>738</v>
      </c>
      <c r="AA197" s="11">
        <v>1168011</v>
      </c>
      <c r="AB197" s="12">
        <v>3.8777032065622672</v>
      </c>
      <c r="AC197" s="13">
        <v>30644</v>
      </c>
    </row>
    <row r="198" spans="1:29" x14ac:dyDescent="0.3">
      <c r="A198" t="s">
        <v>221</v>
      </c>
      <c r="B198" t="s">
        <v>28</v>
      </c>
      <c r="C198" s="1">
        <v>45587</v>
      </c>
      <c r="D198" t="s">
        <v>11</v>
      </c>
      <c r="E198" t="s">
        <v>12</v>
      </c>
      <c r="F198" s="2">
        <v>7750</v>
      </c>
      <c r="G198" s="2">
        <v>1146</v>
      </c>
      <c r="H198" s="2">
        <v>415</v>
      </c>
      <c r="I198" s="2">
        <v>1411</v>
      </c>
      <c r="J198" s="2">
        <v>85339</v>
      </c>
      <c r="K198" s="2">
        <v>172439</v>
      </c>
      <c r="L198" s="4">
        <v>5.3995905798572198E-2</v>
      </c>
      <c r="M198" t="s">
        <v>13</v>
      </c>
      <c r="W198" s="9">
        <v>45789</v>
      </c>
      <c r="X198" s="10" t="s">
        <v>10</v>
      </c>
      <c r="Y198" s="11">
        <v>3196</v>
      </c>
      <c r="Z198" s="11">
        <v>391</v>
      </c>
      <c r="AA198" s="11">
        <v>1170816</v>
      </c>
      <c r="AB198" s="12">
        <v>7.2439221876024931</v>
      </c>
      <c r="AC198" s="13">
        <v>28745</v>
      </c>
    </row>
    <row r="199" spans="1:29" x14ac:dyDescent="0.3">
      <c r="A199" t="s">
        <v>222</v>
      </c>
      <c r="B199" t="s">
        <v>6</v>
      </c>
      <c r="C199" s="1">
        <v>45919</v>
      </c>
      <c r="D199" t="s">
        <v>22</v>
      </c>
      <c r="E199" t="s">
        <v>16</v>
      </c>
      <c r="F199" s="2">
        <v>14772</v>
      </c>
      <c r="G199" s="2">
        <v>1030</v>
      </c>
      <c r="H199" s="2">
        <v>508</v>
      </c>
      <c r="I199" s="2">
        <v>1876</v>
      </c>
      <c r="J199" s="2">
        <v>8882</v>
      </c>
      <c r="K199" s="2">
        <v>155142</v>
      </c>
      <c r="L199" s="4">
        <v>0.10512949426976601</v>
      </c>
      <c r="M199" t="s">
        <v>8</v>
      </c>
      <c r="W199" s="9">
        <v>45789</v>
      </c>
      <c r="X199" s="10" t="s">
        <v>6</v>
      </c>
      <c r="Y199" s="11">
        <v>8165</v>
      </c>
      <c r="Z199" s="11">
        <v>1140</v>
      </c>
      <c r="AA199" s="11">
        <v>1177841</v>
      </c>
      <c r="AB199" s="12">
        <v>9.095964565675672</v>
      </c>
      <c r="AC199" s="13">
        <v>38228</v>
      </c>
    </row>
    <row r="200" spans="1:29" x14ac:dyDescent="0.3">
      <c r="A200" t="s">
        <v>223</v>
      </c>
      <c r="B200" t="s">
        <v>10</v>
      </c>
      <c r="C200" s="1">
        <v>45920</v>
      </c>
      <c r="D200" t="s">
        <v>2</v>
      </c>
      <c r="E200" t="s">
        <v>25</v>
      </c>
      <c r="F200" s="2">
        <v>12267</v>
      </c>
      <c r="G200" s="2">
        <v>1487</v>
      </c>
      <c r="H200" s="2">
        <v>489</v>
      </c>
      <c r="I200" s="2">
        <v>2748</v>
      </c>
      <c r="J200" s="2">
        <v>34685</v>
      </c>
      <c r="K200" s="2">
        <v>131736</v>
      </c>
      <c r="L200" s="4">
        <v>0.108117750652821</v>
      </c>
      <c r="M200" t="s">
        <v>8</v>
      </c>
      <c r="W200" s="9">
        <v>45789</v>
      </c>
      <c r="X200" s="10" t="s">
        <v>6</v>
      </c>
      <c r="Y200" s="11">
        <v>1301</v>
      </c>
      <c r="Z200" s="11">
        <v>180</v>
      </c>
      <c r="AA200" s="11">
        <v>1178962</v>
      </c>
      <c r="AB200" s="12">
        <v>5.2275645864752214</v>
      </c>
      <c r="AC200" s="13">
        <v>44521</v>
      </c>
    </row>
    <row r="201" spans="1:29" x14ac:dyDescent="0.3">
      <c r="A201" t="s">
        <v>224</v>
      </c>
      <c r="B201" t="s">
        <v>1</v>
      </c>
      <c r="C201" s="1">
        <v>45754</v>
      </c>
      <c r="D201" t="s">
        <v>22</v>
      </c>
      <c r="E201" t="s">
        <v>43</v>
      </c>
      <c r="F201" s="2">
        <v>3062</v>
      </c>
      <c r="G201" s="2">
        <v>1124</v>
      </c>
      <c r="H201" s="2">
        <v>538</v>
      </c>
      <c r="I201" s="2">
        <v>2935</v>
      </c>
      <c r="J201" s="2">
        <v>69749</v>
      </c>
      <c r="K201" s="2">
        <v>91924</v>
      </c>
      <c r="L201" s="4">
        <v>5.1390278926069399E-2</v>
      </c>
      <c r="M201" t="s">
        <v>17</v>
      </c>
      <c r="W201" s="9">
        <v>45789</v>
      </c>
      <c r="X201" s="10" t="s">
        <v>28</v>
      </c>
      <c r="Y201" s="11">
        <v>8527</v>
      </c>
      <c r="Z201" s="11">
        <v>1091</v>
      </c>
      <c r="AA201" s="11">
        <v>1186398</v>
      </c>
      <c r="AB201" s="12">
        <v>1.676081719625286</v>
      </c>
      <c r="AC201" s="13">
        <v>41703</v>
      </c>
    </row>
    <row r="202" spans="1:29" x14ac:dyDescent="0.3">
      <c r="A202" t="s">
        <v>225</v>
      </c>
      <c r="B202" t="s">
        <v>1</v>
      </c>
      <c r="C202" s="1">
        <v>45672</v>
      </c>
      <c r="D202" t="s">
        <v>11</v>
      </c>
      <c r="E202" t="s">
        <v>20</v>
      </c>
      <c r="F202" s="2">
        <v>20360</v>
      </c>
      <c r="G202" s="2">
        <v>254</v>
      </c>
      <c r="H202" s="2">
        <v>726</v>
      </c>
      <c r="I202" s="2">
        <v>1995</v>
      </c>
      <c r="J202" s="2">
        <v>14280</v>
      </c>
      <c r="K202" s="2">
        <v>43726</v>
      </c>
      <c r="L202" s="4">
        <v>0.48803915290673699</v>
      </c>
      <c r="M202" t="s">
        <v>17</v>
      </c>
    </row>
    <row r="203" spans="1:29" x14ac:dyDescent="0.3">
      <c r="A203" t="s">
        <v>226</v>
      </c>
      <c r="B203" t="s">
        <v>6</v>
      </c>
      <c r="C203" s="1">
        <v>45921</v>
      </c>
      <c r="D203" t="s">
        <v>2</v>
      </c>
      <c r="E203" t="s">
        <v>103</v>
      </c>
      <c r="F203" s="2">
        <v>19680</v>
      </c>
      <c r="G203" s="2">
        <v>999</v>
      </c>
      <c r="H203" s="2">
        <v>838</v>
      </c>
      <c r="I203" s="2">
        <v>891</v>
      </c>
      <c r="J203" s="2">
        <v>29576</v>
      </c>
      <c r="K203" s="2">
        <v>129152</v>
      </c>
      <c r="L203" s="4">
        <v>0.16660214321110001</v>
      </c>
      <c r="M203" t="s">
        <v>8</v>
      </c>
    </row>
    <row r="204" spans="1:29" x14ac:dyDescent="0.3">
      <c r="A204" t="s">
        <v>227</v>
      </c>
      <c r="B204" t="s">
        <v>1</v>
      </c>
      <c r="C204" s="1">
        <v>45617</v>
      </c>
      <c r="D204" t="s">
        <v>2</v>
      </c>
      <c r="E204" t="s">
        <v>25</v>
      </c>
      <c r="F204" s="2">
        <v>8229</v>
      </c>
      <c r="G204" s="2">
        <v>977</v>
      </c>
      <c r="H204" s="2">
        <v>152</v>
      </c>
      <c r="I204" s="2">
        <v>1633</v>
      </c>
      <c r="J204" s="2">
        <v>71447</v>
      </c>
      <c r="K204" s="2">
        <v>67723</v>
      </c>
      <c r="L204" s="4">
        <v>0.138180529509915</v>
      </c>
      <c r="M204" t="s">
        <v>33</v>
      </c>
    </row>
    <row r="205" spans="1:29" x14ac:dyDescent="0.3">
      <c r="A205" t="s">
        <v>228</v>
      </c>
      <c r="B205" t="s">
        <v>10</v>
      </c>
      <c r="C205" s="1">
        <v>45922</v>
      </c>
      <c r="D205" t="s">
        <v>22</v>
      </c>
      <c r="E205" t="s">
        <v>20</v>
      </c>
      <c r="F205" s="2">
        <v>18509</v>
      </c>
      <c r="G205" s="2">
        <v>361</v>
      </c>
      <c r="H205" s="2">
        <v>578</v>
      </c>
      <c r="I205" s="2">
        <v>1409</v>
      </c>
      <c r="J205" s="2">
        <v>10569</v>
      </c>
      <c r="K205" s="2">
        <v>166969</v>
      </c>
      <c r="L205" s="4">
        <v>0.1164767112458</v>
      </c>
      <c r="M205" t="s">
        <v>8</v>
      </c>
    </row>
    <row r="206" spans="1:29" x14ac:dyDescent="0.3">
      <c r="A206" t="s">
        <v>229</v>
      </c>
      <c r="B206" t="s">
        <v>6</v>
      </c>
      <c r="C206" s="1">
        <v>45923</v>
      </c>
      <c r="D206" t="s">
        <v>11</v>
      </c>
      <c r="E206" t="s">
        <v>38</v>
      </c>
      <c r="F206" s="2">
        <v>17147</v>
      </c>
      <c r="G206" s="2">
        <v>286</v>
      </c>
      <c r="H206" s="2">
        <v>291</v>
      </c>
      <c r="I206" s="2">
        <v>2439</v>
      </c>
      <c r="J206" s="2">
        <v>45631</v>
      </c>
      <c r="K206" s="2">
        <v>140494</v>
      </c>
      <c r="L206" s="4">
        <v>0.12615485358805401</v>
      </c>
      <c r="M206" t="s">
        <v>8</v>
      </c>
    </row>
    <row r="207" spans="1:29" x14ac:dyDescent="0.3">
      <c r="A207" t="s">
        <v>230</v>
      </c>
      <c r="B207" t="s">
        <v>10</v>
      </c>
      <c r="C207" s="1">
        <v>45467</v>
      </c>
      <c r="D207" t="s">
        <v>2</v>
      </c>
      <c r="E207" t="s">
        <v>38</v>
      </c>
      <c r="F207" s="2">
        <v>6632</v>
      </c>
      <c r="G207" s="2">
        <v>254</v>
      </c>
      <c r="H207" s="2">
        <v>525</v>
      </c>
      <c r="I207" s="2">
        <v>1013</v>
      </c>
      <c r="J207" s="2">
        <v>13838</v>
      </c>
      <c r="K207" s="2">
        <v>180180</v>
      </c>
      <c r="L207" s="4">
        <v>4.1131091131091098E-2</v>
      </c>
      <c r="M207" t="s">
        <v>4</v>
      </c>
    </row>
    <row r="208" spans="1:29" x14ac:dyDescent="0.3">
      <c r="A208" t="s">
        <v>231</v>
      </c>
      <c r="B208" t="s">
        <v>6</v>
      </c>
      <c r="C208" s="1">
        <v>45655</v>
      </c>
      <c r="D208" t="s">
        <v>22</v>
      </c>
      <c r="E208" t="s">
        <v>52</v>
      </c>
      <c r="F208" s="2">
        <v>8288</v>
      </c>
      <c r="G208" s="2">
        <v>1401</v>
      </c>
      <c r="H208" s="2">
        <v>819</v>
      </c>
      <c r="I208" s="2">
        <v>1235</v>
      </c>
      <c r="J208" s="2">
        <v>33446</v>
      </c>
      <c r="K208" s="2">
        <v>248786</v>
      </c>
      <c r="L208" s="4">
        <v>4.2237103373984099E-2</v>
      </c>
      <c r="M208" t="s">
        <v>4</v>
      </c>
    </row>
    <row r="209" spans="1:13" x14ac:dyDescent="0.3">
      <c r="A209" t="s">
        <v>232</v>
      </c>
      <c r="B209" t="s">
        <v>6</v>
      </c>
      <c r="C209" s="1">
        <v>45467</v>
      </c>
      <c r="D209" t="s">
        <v>11</v>
      </c>
      <c r="E209" t="s">
        <v>7</v>
      </c>
      <c r="F209" s="2">
        <v>5596</v>
      </c>
      <c r="G209" s="2">
        <v>1231</v>
      </c>
      <c r="H209" s="2">
        <v>473</v>
      </c>
      <c r="I209" s="2">
        <v>2251</v>
      </c>
      <c r="J209" s="2">
        <v>43705</v>
      </c>
      <c r="K209" s="2">
        <v>75643</v>
      </c>
      <c r="L209" s="4">
        <v>9.6505955607260399E-2</v>
      </c>
      <c r="M209" t="s">
        <v>4</v>
      </c>
    </row>
    <row r="210" spans="1:13" x14ac:dyDescent="0.3">
      <c r="A210" t="s">
        <v>233</v>
      </c>
      <c r="B210" t="s">
        <v>28</v>
      </c>
      <c r="C210" s="1">
        <v>45735</v>
      </c>
      <c r="D210" t="s">
        <v>22</v>
      </c>
      <c r="E210" t="s">
        <v>16</v>
      </c>
      <c r="F210" s="2">
        <v>13475</v>
      </c>
      <c r="G210" s="2">
        <v>1032</v>
      </c>
      <c r="H210" s="2">
        <v>295</v>
      </c>
      <c r="I210" s="2">
        <v>541</v>
      </c>
      <c r="J210" s="2">
        <v>43666</v>
      </c>
      <c r="K210" s="2">
        <v>202396</v>
      </c>
      <c r="L210" s="4">
        <v>7.3133856400324104E-2</v>
      </c>
      <c r="M210" t="s">
        <v>33</v>
      </c>
    </row>
    <row r="211" spans="1:13" x14ac:dyDescent="0.3">
      <c r="A211" t="s">
        <v>234</v>
      </c>
      <c r="B211" t="s">
        <v>10</v>
      </c>
      <c r="C211" s="1">
        <v>45707</v>
      </c>
      <c r="D211" t="s">
        <v>15</v>
      </c>
      <c r="E211" t="s">
        <v>29</v>
      </c>
      <c r="F211" s="2">
        <v>8168</v>
      </c>
      <c r="G211" s="2">
        <v>512</v>
      </c>
      <c r="H211" s="2">
        <v>442</v>
      </c>
      <c r="I211" s="2">
        <v>2343</v>
      </c>
      <c r="J211" s="2">
        <v>2753</v>
      </c>
      <c r="K211" s="2">
        <v>143896</v>
      </c>
      <c r="L211" s="4">
        <v>6.33930060599322E-2</v>
      </c>
      <c r="M211" t="s">
        <v>33</v>
      </c>
    </row>
    <row r="212" spans="1:13" x14ac:dyDescent="0.3">
      <c r="A212" t="s">
        <v>235</v>
      </c>
      <c r="B212" t="s">
        <v>1</v>
      </c>
      <c r="C212" s="1">
        <v>45924</v>
      </c>
      <c r="D212" t="s">
        <v>2</v>
      </c>
      <c r="E212" t="s">
        <v>52</v>
      </c>
      <c r="F212" s="2">
        <v>11795</v>
      </c>
      <c r="G212" s="2">
        <v>958</v>
      </c>
      <c r="H212" s="2">
        <v>814</v>
      </c>
      <c r="I212" s="2">
        <v>301</v>
      </c>
      <c r="J212" s="2">
        <v>12564</v>
      </c>
      <c r="K212" s="2">
        <v>179999</v>
      </c>
      <c r="L212" s="4">
        <v>7.5372640959116402E-2</v>
      </c>
      <c r="M212" t="s">
        <v>8</v>
      </c>
    </row>
    <row r="213" spans="1:13" x14ac:dyDescent="0.3">
      <c r="A213" t="s">
        <v>236</v>
      </c>
      <c r="B213" t="s">
        <v>1</v>
      </c>
      <c r="C213" s="1">
        <v>45719</v>
      </c>
      <c r="D213" t="s">
        <v>15</v>
      </c>
      <c r="E213" t="s">
        <v>3</v>
      </c>
      <c r="F213" s="2">
        <v>9561</v>
      </c>
      <c r="G213" s="2">
        <v>642</v>
      </c>
      <c r="H213" s="2">
        <v>581</v>
      </c>
      <c r="I213" s="2">
        <v>2572</v>
      </c>
      <c r="J213" s="2">
        <v>38552</v>
      </c>
      <c r="K213" s="2">
        <v>133680</v>
      </c>
      <c r="L213" s="4">
        <v>8.0670257330939604E-2</v>
      </c>
      <c r="M213" t="s">
        <v>4</v>
      </c>
    </row>
    <row r="214" spans="1:13" x14ac:dyDescent="0.3">
      <c r="A214" t="s">
        <v>237</v>
      </c>
      <c r="B214" t="s">
        <v>10</v>
      </c>
      <c r="C214" s="1">
        <v>45778</v>
      </c>
      <c r="D214" t="s">
        <v>11</v>
      </c>
      <c r="E214" t="s">
        <v>29</v>
      </c>
      <c r="F214" s="2">
        <v>10258</v>
      </c>
      <c r="G214" s="2">
        <v>527</v>
      </c>
      <c r="H214" s="2">
        <v>854</v>
      </c>
      <c r="I214" s="2">
        <v>2068</v>
      </c>
      <c r="J214" s="2">
        <v>45632</v>
      </c>
      <c r="K214" s="2">
        <v>136546</v>
      </c>
      <c r="L214" s="4">
        <v>8.5238674146441498E-2</v>
      </c>
      <c r="M214" t="s">
        <v>33</v>
      </c>
    </row>
    <row r="215" spans="1:13" x14ac:dyDescent="0.3">
      <c r="A215" t="s">
        <v>238</v>
      </c>
      <c r="B215" t="s">
        <v>1</v>
      </c>
      <c r="C215" s="1">
        <v>45649</v>
      </c>
      <c r="D215" t="s">
        <v>15</v>
      </c>
      <c r="E215" t="s">
        <v>12</v>
      </c>
      <c r="F215" s="2">
        <v>18616</v>
      </c>
      <c r="G215" s="2">
        <v>1277</v>
      </c>
      <c r="H215" s="2">
        <v>734</v>
      </c>
      <c r="I215" s="2">
        <v>2249</v>
      </c>
      <c r="J215" s="2">
        <v>3399</v>
      </c>
      <c r="K215" s="2">
        <v>193515</v>
      </c>
      <c r="L215" s="4">
        <v>0.106591220318838</v>
      </c>
      <c r="M215" t="s">
        <v>17</v>
      </c>
    </row>
    <row r="216" spans="1:13" x14ac:dyDescent="0.3">
      <c r="A216" t="s">
        <v>239</v>
      </c>
      <c r="B216" t="s">
        <v>1</v>
      </c>
      <c r="C216" s="1">
        <v>45925</v>
      </c>
      <c r="D216" t="s">
        <v>15</v>
      </c>
      <c r="E216" t="s">
        <v>43</v>
      </c>
      <c r="F216" s="2">
        <v>8371</v>
      </c>
      <c r="G216" s="2">
        <v>960</v>
      </c>
      <c r="H216" s="2">
        <v>548</v>
      </c>
      <c r="I216" s="2">
        <v>2936</v>
      </c>
      <c r="J216" s="2">
        <v>82543</v>
      </c>
      <c r="K216" s="2">
        <v>119973</v>
      </c>
      <c r="L216" s="4">
        <v>8.2343527293641097E-2</v>
      </c>
      <c r="M216" t="s">
        <v>8</v>
      </c>
    </row>
    <row r="217" spans="1:13" x14ac:dyDescent="0.3">
      <c r="A217" t="s">
        <v>240</v>
      </c>
      <c r="B217" t="s">
        <v>10</v>
      </c>
      <c r="C217" s="1">
        <v>45502</v>
      </c>
      <c r="D217" t="s">
        <v>11</v>
      </c>
      <c r="E217" t="s">
        <v>3</v>
      </c>
      <c r="F217" s="2">
        <v>22590</v>
      </c>
      <c r="G217" s="2">
        <v>1462</v>
      </c>
      <c r="H217" s="2">
        <v>966</v>
      </c>
      <c r="I217" s="2">
        <v>2463</v>
      </c>
      <c r="J217" s="2">
        <v>29689</v>
      </c>
      <c r="K217" s="2">
        <v>103449</v>
      </c>
      <c r="L217" s="4">
        <v>0.24183897379385</v>
      </c>
      <c r="M217" t="s">
        <v>13</v>
      </c>
    </row>
    <row r="218" spans="1:13" x14ac:dyDescent="0.3">
      <c r="A218" t="s">
        <v>241</v>
      </c>
      <c r="B218" t="s">
        <v>6</v>
      </c>
      <c r="C218" s="1">
        <v>45926</v>
      </c>
      <c r="D218" t="s">
        <v>22</v>
      </c>
      <c r="E218" t="s">
        <v>3</v>
      </c>
      <c r="F218" s="2">
        <v>16369</v>
      </c>
      <c r="G218" s="2">
        <v>1452</v>
      </c>
      <c r="H218" s="2">
        <v>493</v>
      </c>
      <c r="I218" s="2">
        <v>1217</v>
      </c>
      <c r="J218" s="2">
        <v>91440</v>
      </c>
      <c r="K218" s="2">
        <v>149834</v>
      </c>
      <c r="L218" s="4">
        <v>0.12222859965028</v>
      </c>
      <c r="M218" t="s">
        <v>8</v>
      </c>
    </row>
    <row r="219" spans="1:13" x14ac:dyDescent="0.3">
      <c r="A219" t="s">
        <v>242</v>
      </c>
      <c r="B219" t="s">
        <v>10</v>
      </c>
      <c r="C219" s="1">
        <v>45454</v>
      </c>
      <c r="D219" t="s">
        <v>15</v>
      </c>
      <c r="E219" t="s">
        <v>52</v>
      </c>
      <c r="F219" s="2">
        <v>14910</v>
      </c>
      <c r="G219" s="2">
        <v>778</v>
      </c>
      <c r="H219" s="2">
        <v>289</v>
      </c>
      <c r="I219" s="2">
        <v>2541</v>
      </c>
      <c r="J219" s="2">
        <v>14309</v>
      </c>
      <c r="K219" s="2">
        <v>247815</v>
      </c>
      <c r="L219" s="4">
        <v>6.4471480741682297E-2</v>
      </c>
      <c r="M219" t="s">
        <v>13</v>
      </c>
    </row>
    <row r="220" spans="1:13" x14ac:dyDescent="0.3">
      <c r="A220" t="s">
        <v>243</v>
      </c>
      <c r="B220" t="s">
        <v>6</v>
      </c>
      <c r="C220" s="1">
        <v>45685</v>
      </c>
      <c r="D220" t="s">
        <v>22</v>
      </c>
      <c r="E220" t="s">
        <v>23</v>
      </c>
      <c r="F220" s="2">
        <v>9943</v>
      </c>
      <c r="G220" s="2">
        <v>1274</v>
      </c>
      <c r="H220" s="2">
        <v>336</v>
      </c>
      <c r="I220" s="2">
        <v>389</v>
      </c>
      <c r="J220" s="2">
        <v>6145</v>
      </c>
      <c r="K220" s="2">
        <v>231305</v>
      </c>
      <c r="L220" s="4">
        <v>4.9947039623008602E-2</v>
      </c>
      <c r="M220" t="s">
        <v>4</v>
      </c>
    </row>
    <row r="221" spans="1:13" x14ac:dyDescent="0.3">
      <c r="A221" t="s">
        <v>244</v>
      </c>
      <c r="B221" t="s">
        <v>1</v>
      </c>
      <c r="C221" s="1">
        <v>45445</v>
      </c>
      <c r="D221" t="s">
        <v>15</v>
      </c>
      <c r="E221" t="s">
        <v>7</v>
      </c>
      <c r="F221" s="2">
        <v>14199</v>
      </c>
      <c r="G221" s="2">
        <v>1206</v>
      </c>
      <c r="H221" s="2">
        <v>954</v>
      </c>
      <c r="I221" s="2">
        <v>2009</v>
      </c>
      <c r="J221" s="2">
        <v>8</v>
      </c>
      <c r="K221" s="2">
        <v>65537</v>
      </c>
      <c r="L221" s="4">
        <v>0.249614721455056</v>
      </c>
      <c r="M221" t="s">
        <v>13</v>
      </c>
    </row>
    <row r="222" spans="1:13" x14ac:dyDescent="0.3">
      <c r="A222" t="s">
        <v>245</v>
      </c>
      <c r="B222" t="s">
        <v>1</v>
      </c>
      <c r="C222" s="1">
        <v>45739</v>
      </c>
      <c r="D222" t="s">
        <v>22</v>
      </c>
      <c r="E222" t="s">
        <v>23</v>
      </c>
      <c r="F222" s="2">
        <v>17728</v>
      </c>
      <c r="G222" s="2">
        <v>1487</v>
      </c>
      <c r="H222" s="2">
        <v>210</v>
      </c>
      <c r="I222" s="2">
        <v>2469</v>
      </c>
      <c r="J222" s="2">
        <v>30565</v>
      </c>
      <c r="K222" s="2">
        <v>117576</v>
      </c>
      <c r="L222" s="4">
        <v>0.165212288222086</v>
      </c>
      <c r="M222" t="s">
        <v>4</v>
      </c>
    </row>
    <row r="223" spans="1:13" x14ac:dyDescent="0.3">
      <c r="A223" t="s">
        <v>246</v>
      </c>
      <c r="B223" t="s">
        <v>1</v>
      </c>
      <c r="C223" s="1">
        <v>45573</v>
      </c>
      <c r="D223" t="s">
        <v>11</v>
      </c>
      <c r="E223" t="s">
        <v>52</v>
      </c>
      <c r="F223" s="2">
        <v>8738</v>
      </c>
      <c r="G223" s="2">
        <v>295</v>
      </c>
      <c r="H223" s="2">
        <v>529</v>
      </c>
      <c r="I223" s="2">
        <v>442</v>
      </c>
      <c r="J223" s="2">
        <v>25286</v>
      </c>
      <c r="K223" s="2">
        <v>147522</v>
      </c>
      <c r="L223" s="4">
        <v>6.4817450956467501E-2</v>
      </c>
      <c r="M223" t="s">
        <v>17</v>
      </c>
    </row>
    <row r="224" spans="1:13" x14ac:dyDescent="0.3">
      <c r="A224" t="s">
        <v>247</v>
      </c>
      <c r="B224" t="s">
        <v>28</v>
      </c>
      <c r="C224" s="1">
        <v>45608</v>
      </c>
      <c r="D224" t="s">
        <v>15</v>
      </c>
      <c r="E224" t="s">
        <v>12</v>
      </c>
      <c r="F224" s="2">
        <v>17913</v>
      </c>
      <c r="G224" s="2">
        <v>1311</v>
      </c>
      <c r="H224" s="2">
        <v>859</v>
      </c>
      <c r="I224" s="2">
        <v>405</v>
      </c>
      <c r="J224" s="2">
        <v>59842</v>
      </c>
      <c r="K224" s="2">
        <v>62612</v>
      </c>
      <c r="L224" s="4">
        <v>0.32075321024723702</v>
      </c>
      <c r="M224" t="s">
        <v>13</v>
      </c>
    </row>
    <row r="225" spans="1:13" x14ac:dyDescent="0.3">
      <c r="A225" t="s">
        <v>248</v>
      </c>
      <c r="B225" t="s">
        <v>6</v>
      </c>
      <c r="C225" s="1">
        <v>45907</v>
      </c>
      <c r="D225" t="s">
        <v>11</v>
      </c>
      <c r="E225" t="s">
        <v>103</v>
      </c>
      <c r="F225" s="2">
        <v>4472</v>
      </c>
      <c r="G225" s="2">
        <v>1301</v>
      </c>
      <c r="H225" s="2">
        <v>956</v>
      </c>
      <c r="I225" s="2">
        <v>1186</v>
      </c>
      <c r="J225" s="2">
        <v>3363</v>
      </c>
      <c r="K225" s="2">
        <v>46471</v>
      </c>
      <c r="L225" s="4">
        <v>0.14479998278496301</v>
      </c>
      <c r="M225" t="s">
        <v>8</v>
      </c>
    </row>
    <row r="226" spans="1:13" x14ac:dyDescent="0.3">
      <c r="A226" t="s">
        <v>249</v>
      </c>
      <c r="B226" t="s">
        <v>28</v>
      </c>
      <c r="C226" s="1">
        <v>45463</v>
      </c>
      <c r="D226" t="s">
        <v>15</v>
      </c>
      <c r="E226" t="s">
        <v>25</v>
      </c>
      <c r="F226" s="2">
        <v>21123</v>
      </c>
      <c r="G226" s="2">
        <v>1343</v>
      </c>
      <c r="H226" s="2">
        <v>589</v>
      </c>
      <c r="I226" s="2">
        <v>727</v>
      </c>
      <c r="J226" s="2">
        <v>87833</v>
      </c>
      <c r="K226" s="2">
        <v>206703</v>
      </c>
      <c r="L226" s="4">
        <v>0.111536842716361</v>
      </c>
      <c r="M226" t="s">
        <v>4</v>
      </c>
    </row>
    <row r="227" spans="1:13" x14ac:dyDescent="0.3">
      <c r="A227" t="s">
        <v>250</v>
      </c>
      <c r="B227" t="s">
        <v>28</v>
      </c>
      <c r="C227" s="1">
        <v>45908</v>
      </c>
      <c r="D227" t="s">
        <v>11</v>
      </c>
      <c r="E227" t="s">
        <v>25</v>
      </c>
      <c r="F227" s="2">
        <v>23785</v>
      </c>
      <c r="G227" s="2">
        <v>1013</v>
      </c>
      <c r="H227" s="2">
        <v>468</v>
      </c>
      <c r="I227" s="2">
        <v>1628</v>
      </c>
      <c r="J227" s="2">
        <v>8272</v>
      </c>
      <c r="K227" s="2">
        <v>71348</v>
      </c>
      <c r="L227" s="4">
        <v>0.35412345125301298</v>
      </c>
      <c r="M227" t="s">
        <v>8</v>
      </c>
    </row>
    <row r="228" spans="1:13" x14ac:dyDescent="0.3">
      <c r="A228" t="s">
        <v>251</v>
      </c>
      <c r="B228" t="s">
        <v>10</v>
      </c>
      <c r="C228" s="1">
        <v>45455</v>
      </c>
      <c r="D228" t="s">
        <v>11</v>
      </c>
      <c r="E228" t="s">
        <v>7</v>
      </c>
      <c r="F228" s="2">
        <v>17679</v>
      </c>
      <c r="G228" s="2">
        <v>690</v>
      </c>
      <c r="H228" s="2">
        <v>451</v>
      </c>
      <c r="I228" s="2">
        <v>2195</v>
      </c>
      <c r="J228" s="2">
        <v>4390</v>
      </c>
      <c r="K228" s="2">
        <v>235804</v>
      </c>
      <c r="L228" s="4">
        <v>7.9812047293515001E-2</v>
      </c>
      <c r="M228" t="s">
        <v>33</v>
      </c>
    </row>
    <row r="229" spans="1:13" x14ac:dyDescent="0.3">
      <c r="A229" t="s">
        <v>252</v>
      </c>
      <c r="B229" t="s">
        <v>28</v>
      </c>
      <c r="C229" s="1">
        <v>45474</v>
      </c>
      <c r="D229" t="s">
        <v>15</v>
      </c>
      <c r="E229" t="s">
        <v>12</v>
      </c>
      <c r="F229" s="2">
        <v>3761</v>
      </c>
      <c r="G229" s="2">
        <v>651</v>
      </c>
      <c r="H229" s="2">
        <v>493</v>
      </c>
      <c r="I229" s="2">
        <v>2294</v>
      </c>
      <c r="J229" s="2">
        <v>71696</v>
      </c>
      <c r="K229" s="2">
        <v>41177</v>
      </c>
      <c r="L229" s="4">
        <v>0.11911989702989501</v>
      </c>
      <c r="M229" t="s">
        <v>4</v>
      </c>
    </row>
    <row r="230" spans="1:13" x14ac:dyDescent="0.3">
      <c r="A230" t="s">
        <v>253</v>
      </c>
      <c r="B230" t="s">
        <v>10</v>
      </c>
      <c r="C230" s="1">
        <v>45476</v>
      </c>
      <c r="D230" t="s">
        <v>15</v>
      </c>
      <c r="E230" t="s">
        <v>7</v>
      </c>
      <c r="F230" s="2">
        <v>12167</v>
      </c>
      <c r="G230" s="2">
        <v>364</v>
      </c>
      <c r="H230" s="2">
        <v>160</v>
      </c>
      <c r="I230" s="2">
        <v>616</v>
      </c>
      <c r="J230" s="2">
        <v>42228</v>
      </c>
      <c r="K230" s="2">
        <v>175832</v>
      </c>
      <c r="L230" s="4">
        <v>7.2176850630147005E-2</v>
      </c>
      <c r="M230" t="s">
        <v>13</v>
      </c>
    </row>
    <row r="231" spans="1:13" x14ac:dyDescent="0.3">
      <c r="A231" t="s">
        <v>254</v>
      </c>
      <c r="B231" t="s">
        <v>10</v>
      </c>
      <c r="C231" s="1">
        <v>45488</v>
      </c>
      <c r="D231" t="s">
        <v>15</v>
      </c>
      <c r="E231" t="s">
        <v>20</v>
      </c>
      <c r="F231" s="2">
        <v>12554</v>
      </c>
      <c r="G231" s="2">
        <v>381</v>
      </c>
      <c r="H231" s="2">
        <v>211</v>
      </c>
      <c r="I231" s="2">
        <v>2286</v>
      </c>
      <c r="J231" s="2">
        <v>50567</v>
      </c>
      <c r="K231" s="2">
        <v>72779</v>
      </c>
      <c r="L231" s="4">
        <v>0.180629027604117</v>
      </c>
      <c r="M231" t="s">
        <v>4</v>
      </c>
    </row>
    <row r="232" spans="1:13" x14ac:dyDescent="0.3">
      <c r="A232" t="s">
        <v>255</v>
      </c>
      <c r="B232" t="s">
        <v>28</v>
      </c>
      <c r="C232" s="1">
        <v>45909</v>
      </c>
      <c r="D232" t="s">
        <v>2</v>
      </c>
      <c r="E232" t="s">
        <v>23</v>
      </c>
      <c r="F232" s="2">
        <v>19260</v>
      </c>
      <c r="G232" s="2">
        <v>668</v>
      </c>
      <c r="H232" s="2">
        <v>994</v>
      </c>
      <c r="I232" s="2">
        <v>934</v>
      </c>
      <c r="J232" s="2">
        <v>20509</v>
      </c>
      <c r="K232" s="2">
        <v>61636</v>
      </c>
      <c r="L232" s="4">
        <v>0.33944448049840997</v>
      </c>
      <c r="M232" t="s">
        <v>8</v>
      </c>
    </row>
    <row r="233" spans="1:13" x14ac:dyDescent="0.3">
      <c r="A233" t="s">
        <v>256</v>
      </c>
      <c r="B233" t="s">
        <v>6</v>
      </c>
      <c r="C233" s="1">
        <v>45776</v>
      </c>
      <c r="D233" t="s">
        <v>22</v>
      </c>
      <c r="E233" t="s">
        <v>25</v>
      </c>
      <c r="F233" s="2">
        <v>16277</v>
      </c>
      <c r="G233" s="2">
        <v>1109</v>
      </c>
      <c r="H233" s="2">
        <v>375</v>
      </c>
      <c r="I233" s="2">
        <v>2225</v>
      </c>
      <c r="J233" s="2">
        <v>1044</v>
      </c>
      <c r="K233" s="2">
        <v>121889</v>
      </c>
      <c r="L233" s="4">
        <v>0.145714543560124</v>
      </c>
      <c r="M233" t="s">
        <v>17</v>
      </c>
    </row>
    <row r="234" spans="1:13" x14ac:dyDescent="0.3">
      <c r="A234" t="s">
        <v>257</v>
      </c>
      <c r="B234" t="s">
        <v>6</v>
      </c>
      <c r="C234" s="1">
        <v>45724</v>
      </c>
      <c r="D234" t="s">
        <v>2</v>
      </c>
      <c r="E234" t="s">
        <v>3</v>
      </c>
      <c r="F234" s="2">
        <v>5812</v>
      </c>
      <c r="G234" s="2">
        <v>934</v>
      </c>
      <c r="H234" s="2">
        <v>302</v>
      </c>
      <c r="I234" s="2">
        <v>2356</v>
      </c>
      <c r="J234" s="2">
        <v>37437</v>
      </c>
      <c r="K234" s="2">
        <v>93551</v>
      </c>
      <c r="L234" s="4">
        <v>7.5338585370546607E-2</v>
      </c>
      <c r="M234" t="s">
        <v>4</v>
      </c>
    </row>
    <row r="235" spans="1:13" x14ac:dyDescent="0.3">
      <c r="A235" t="s">
        <v>258</v>
      </c>
      <c r="B235" t="s">
        <v>6</v>
      </c>
      <c r="C235" s="1">
        <v>45444</v>
      </c>
      <c r="D235" t="s">
        <v>2</v>
      </c>
      <c r="E235" t="s">
        <v>23</v>
      </c>
      <c r="F235" s="2">
        <v>19844</v>
      </c>
      <c r="G235" s="2">
        <v>1022</v>
      </c>
      <c r="H235" s="2">
        <v>860</v>
      </c>
      <c r="I235" s="2">
        <v>2570</v>
      </c>
      <c r="J235" s="2">
        <v>23719</v>
      </c>
      <c r="K235" s="2">
        <v>182628</v>
      </c>
      <c r="L235" s="4">
        <v>0.118963138182535</v>
      </c>
      <c r="M235" t="s">
        <v>13</v>
      </c>
    </row>
    <row r="236" spans="1:13" x14ac:dyDescent="0.3">
      <c r="A236" t="s">
        <v>259</v>
      </c>
      <c r="B236" t="s">
        <v>6</v>
      </c>
      <c r="C236" s="1">
        <v>45648</v>
      </c>
      <c r="D236" t="s">
        <v>11</v>
      </c>
      <c r="E236" t="s">
        <v>16</v>
      </c>
      <c r="F236" s="2">
        <v>20117</v>
      </c>
      <c r="G236" s="2">
        <v>1143</v>
      </c>
      <c r="H236" s="2">
        <v>713</v>
      </c>
      <c r="I236" s="2">
        <v>1739</v>
      </c>
      <c r="J236" s="2">
        <v>34444</v>
      </c>
      <c r="K236" s="2">
        <v>198670</v>
      </c>
      <c r="L236" s="4">
        <v>0.110600493280314</v>
      </c>
      <c r="M236" t="s">
        <v>33</v>
      </c>
    </row>
    <row r="237" spans="1:13" x14ac:dyDescent="0.3">
      <c r="A237" t="s">
        <v>260</v>
      </c>
      <c r="B237" t="s">
        <v>6</v>
      </c>
      <c r="C237" s="1">
        <v>45523</v>
      </c>
      <c r="D237" t="s">
        <v>15</v>
      </c>
      <c r="E237" t="s">
        <v>43</v>
      </c>
      <c r="F237" s="2">
        <v>3605</v>
      </c>
      <c r="G237" s="2">
        <v>206</v>
      </c>
      <c r="H237" s="2">
        <v>921</v>
      </c>
      <c r="I237" s="2">
        <v>852</v>
      </c>
      <c r="J237" s="2">
        <v>11660</v>
      </c>
      <c r="K237" s="2">
        <v>182635</v>
      </c>
      <c r="L237" s="4">
        <v>2.5909601116982001E-2</v>
      </c>
      <c r="M237" t="s">
        <v>17</v>
      </c>
    </row>
    <row r="238" spans="1:13" x14ac:dyDescent="0.3">
      <c r="A238" t="s">
        <v>261</v>
      </c>
      <c r="B238" t="s">
        <v>28</v>
      </c>
      <c r="C238" s="1">
        <v>45587</v>
      </c>
      <c r="D238" t="s">
        <v>22</v>
      </c>
      <c r="E238" t="s">
        <v>12</v>
      </c>
      <c r="F238" s="2">
        <v>7622</v>
      </c>
      <c r="G238" s="2">
        <v>529</v>
      </c>
      <c r="H238" s="2">
        <v>720</v>
      </c>
      <c r="I238" s="2">
        <v>1015</v>
      </c>
      <c r="J238" s="2">
        <v>71322</v>
      </c>
      <c r="K238" s="2">
        <v>86819</v>
      </c>
      <c r="L238" s="4">
        <v>0.1021780946567</v>
      </c>
      <c r="M238" t="s">
        <v>33</v>
      </c>
    </row>
    <row r="239" spans="1:13" x14ac:dyDescent="0.3">
      <c r="A239" t="s">
        <v>262</v>
      </c>
      <c r="B239" t="s">
        <v>28</v>
      </c>
      <c r="C239" s="1">
        <v>45489</v>
      </c>
      <c r="D239" t="s">
        <v>11</v>
      </c>
      <c r="E239" t="s">
        <v>29</v>
      </c>
      <c r="F239" s="2">
        <v>8767</v>
      </c>
      <c r="G239" s="2">
        <v>974</v>
      </c>
      <c r="H239" s="2">
        <v>733</v>
      </c>
      <c r="I239" s="2">
        <v>1587</v>
      </c>
      <c r="J239" s="2">
        <v>74927</v>
      </c>
      <c r="K239" s="2">
        <v>113770</v>
      </c>
      <c r="L239" s="4">
        <v>9.2062933989628198E-2</v>
      </c>
      <c r="M239" t="s">
        <v>4</v>
      </c>
    </row>
    <row r="240" spans="1:13" x14ac:dyDescent="0.3">
      <c r="A240" t="s">
        <v>263</v>
      </c>
      <c r="B240" t="s">
        <v>1</v>
      </c>
      <c r="C240" s="1">
        <v>45910</v>
      </c>
      <c r="D240" t="s">
        <v>2</v>
      </c>
      <c r="E240" t="s">
        <v>7</v>
      </c>
      <c r="F240" s="2">
        <v>13613</v>
      </c>
      <c r="G240" s="2">
        <v>350</v>
      </c>
      <c r="H240" s="2">
        <v>809</v>
      </c>
      <c r="I240" s="2">
        <v>2013</v>
      </c>
      <c r="J240" s="2">
        <v>20471</v>
      </c>
      <c r="K240" s="2">
        <v>198038</v>
      </c>
      <c r="L240" s="4">
        <v>7.4591745018632805E-2</v>
      </c>
      <c r="M240" t="s">
        <v>8</v>
      </c>
    </row>
    <row r="241" spans="1:13" x14ac:dyDescent="0.3">
      <c r="A241" t="s">
        <v>264</v>
      </c>
      <c r="B241" t="s">
        <v>6</v>
      </c>
      <c r="C241" s="1">
        <v>45911</v>
      </c>
      <c r="D241" t="s">
        <v>15</v>
      </c>
      <c r="E241" t="s">
        <v>23</v>
      </c>
      <c r="F241" s="2">
        <v>21901</v>
      </c>
      <c r="G241" s="2">
        <v>1308</v>
      </c>
      <c r="H241" s="2">
        <v>724</v>
      </c>
      <c r="I241" s="2">
        <v>2183</v>
      </c>
      <c r="J241" s="2">
        <v>15996</v>
      </c>
      <c r="K241" s="2">
        <v>230961</v>
      </c>
      <c r="L241" s="4">
        <v>0.103623555492053</v>
      </c>
      <c r="M241" t="s">
        <v>8</v>
      </c>
    </row>
    <row r="242" spans="1:13" x14ac:dyDescent="0.3">
      <c r="A242" t="s">
        <v>265</v>
      </c>
      <c r="B242" t="s">
        <v>28</v>
      </c>
      <c r="C242" s="1">
        <v>45675</v>
      </c>
      <c r="D242" t="s">
        <v>11</v>
      </c>
      <c r="E242" t="s">
        <v>43</v>
      </c>
      <c r="F242" s="2">
        <v>12589</v>
      </c>
      <c r="G242" s="2">
        <v>346</v>
      </c>
      <c r="H242" s="2">
        <v>459</v>
      </c>
      <c r="I242" s="2">
        <v>1407</v>
      </c>
      <c r="J242" s="2">
        <v>29254</v>
      </c>
      <c r="K242" s="2">
        <v>198059</v>
      </c>
      <c r="L242" s="4">
        <v>6.7626313371268204E-2</v>
      </c>
      <c r="M242" t="s">
        <v>13</v>
      </c>
    </row>
    <row r="243" spans="1:13" x14ac:dyDescent="0.3">
      <c r="A243" t="s">
        <v>266</v>
      </c>
      <c r="B243" t="s">
        <v>1</v>
      </c>
      <c r="C243" s="1">
        <v>45912</v>
      </c>
      <c r="D243" t="s">
        <v>15</v>
      </c>
      <c r="E243" t="s">
        <v>23</v>
      </c>
      <c r="F243" s="2">
        <v>15918</v>
      </c>
      <c r="G243" s="2">
        <v>1114</v>
      </c>
      <c r="H243" s="2">
        <v>392</v>
      </c>
      <c r="I243" s="2">
        <v>1641</v>
      </c>
      <c r="J243" s="2">
        <v>28044</v>
      </c>
      <c r="K243" s="2">
        <v>118714</v>
      </c>
      <c r="L243" s="4">
        <v>0.14677291642097801</v>
      </c>
      <c r="M243" t="s">
        <v>8</v>
      </c>
    </row>
    <row r="244" spans="1:13" x14ac:dyDescent="0.3">
      <c r="A244" t="s">
        <v>267</v>
      </c>
      <c r="B244" t="s">
        <v>6</v>
      </c>
      <c r="C244" s="1">
        <v>45722</v>
      </c>
      <c r="D244" t="s">
        <v>11</v>
      </c>
      <c r="E244" t="s">
        <v>29</v>
      </c>
      <c r="F244" s="2">
        <v>22119</v>
      </c>
      <c r="G244" s="2">
        <v>899</v>
      </c>
      <c r="H244" s="2">
        <v>642</v>
      </c>
      <c r="I244" s="2">
        <v>410</v>
      </c>
      <c r="J244" s="2">
        <v>49490</v>
      </c>
      <c r="K244" s="2">
        <v>229420</v>
      </c>
      <c r="L244" s="4">
        <v>0.10312963124400699</v>
      </c>
      <c r="M244" t="s">
        <v>17</v>
      </c>
    </row>
    <row r="245" spans="1:13" x14ac:dyDescent="0.3">
      <c r="A245" t="s">
        <v>268</v>
      </c>
      <c r="B245" t="s">
        <v>10</v>
      </c>
      <c r="C245" s="1">
        <v>45913</v>
      </c>
      <c r="D245" t="s">
        <v>15</v>
      </c>
      <c r="E245" t="s">
        <v>43</v>
      </c>
      <c r="F245" s="2">
        <v>15046</v>
      </c>
      <c r="G245" s="2">
        <v>281</v>
      </c>
      <c r="H245" s="2">
        <v>515</v>
      </c>
      <c r="I245" s="2">
        <v>550</v>
      </c>
      <c r="J245" s="2">
        <v>22583</v>
      </c>
      <c r="K245" s="2">
        <v>64596</v>
      </c>
      <c r="L245" s="4">
        <v>0.24524738373893101</v>
      </c>
      <c r="M245" t="s">
        <v>8</v>
      </c>
    </row>
    <row r="246" spans="1:13" x14ac:dyDescent="0.3">
      <c r="A246" t="s">
        <v>269</v>
      </c>
      <c r="B246" t="s">
        <v>1</v>
      </c>
      <c r="C246" s="1">
        <v>45669</v>
      </c>
      <c r="D246" t="s">
        <v>2</v>
      </c>
      <c r="E246" t="s">
        <v>16</v>
      </c>
      <c r="F246" s="2">
        <v>4590</v>
      </c>
      <c r="G246" s="2">
        <v>713</v>
      </c>
      <c r="H246" s="2">
        <v>479</v>
      </c>
      <c r="I246" s="2">
        <v>2730</v>
      </c>
      <c r="J246" s="2">
        <v>41050</v>
      </c>
      <c r="K246" s="2">
        <v>204246</v>
      </c>
      <c r="L246" s="4">
        <v>2.8308999931455199E-2</v>
      </c>
      <c r="M246" t="s">
        <v>13</v>
      </c>
    </row>
    <row r="247" spans="1:13" x14ac:dyDescent="0.3">
      <c r="A247" t="s">
        <v>270</v>
      </c>
      <c r="B247" t="s">
        <v>28</v>
      </c>
      <c r="C247" s="1">
        <v>45576</v>
      </c>
      <c r="D247" t="s">
        <v>22</v>
      </c>
      <c r="E247" t="s">
        <v>29</v>
      </c>
      <c r="F247" s="2">
        <v>19447</v>
      </c>
      <c r="G247" s="2">
        <v>1014</v>
      </c>
      <c r="H247" s="2">
        <v>256</v>
      </c>
      <c r="I247" s="2">
        <v>2354</v>
      </c>
      <c r="J247" s="2">
        <v>5472</v>
      </c>
      <c r="K247" s="2">
        <v>104106</v>
      </c>
      <c r="L247" s="4">
        <v>0.19899909707413599</v>
      </c>
      <c r="M247" t="s">
        <v>4</v>
      </c>
    </row>
    <row r="248" spans="1:13" x14ac:dyDescent="0.3">
      <c r="A248" t="s">
        <v>271</v>
      </c>
      <c r="B248" t="s">
        <v>10</v>
      </c>
      <c r="C248" s="1">
        <v>45531</v>
      </c>
      <c r="D248" t="s">
        <v>2</v>
      </c>
      <c r="E248" t="s">
        <v>52</v>
      </c>
      <c r="F248" s="2">
        <v>6324</v>
      </c>
      <c r="G248" s="2">
        <v>908</v>
      </c>
      <c r="H248" s="2">
        <v>375</v>
      </c>
      <c r="I248" s="2">
        <v>758</v>
      </c>
      <c r="J248" s="2">
        <v>34850</v>
      </c>
      <c r="K248" s="2">
        <v>241039</v>
      </c>
      <c r="L248" s="4">
        <v>3.1559208260903797E-2</v>
      </c>
      <c r="M248" t="s">
        <v>4</v>
      </c>
    </row>
    <row r="249" spans="1:13" x14ac:dyDescent="0.3">
      <c r="A249" t="s">
        <v>272</v>
      </c>
      <c r="B249" t="s">
        <v>10</v>
      </c>
      <c r="C249" s="1">
        <v>45914</v>
      </c>
      <c r="D249" t="s">
        <v>22</v>
      </c>
      <c r="E249" t="s">
        <v>38</v>
      </c>
      <c r="F249" s="2">
        <v>12787</v>
      </c>
      <c r="G249" s="2">
        <v>945</v>
      </c>
      <c r="H249" s="2">
        <v>974</v>
      </c>
      <c r="I249" s="2">
        <v>1407</v>
      </c>
      <c r="J249" s="2">
        <v>4037</v>
      </c>
      <c r="K249" s="2">
        <v>99182</v>
      </c>
      <c r="L249" s="4">
        <v>0.148272872093727</v>
      </c>
      <c r="M249" t="s">
        <v>8</v>
      </c>
    </row>
    <row r="250" spans="1:13" x14ac:dyDescent="0.3">
      <c r="A250" t="s">
        <v>273</v>
      </c>
      <c r="B250" t="s">
        <v>10</v>
      </c>
      <c r="C250" s="1">
        <v>45491</v>
      </c>
      <c r="D250" t="s">
        <v>15</v>
      </c>
      <c r="E250" t="s">
        <v>52</v>
      </c>
      <c r="F250" s="2">
        <v>11111</v>
      </c>
      <c r="G250" s="2">
        <v>1222</v>
      </c>
      <c r="H250" s="2">
        <v>367</v>
      </c>
      <c r="I250" s="2">
        <v>507</v>
      </c>
      <c r="J250" s="2">
        <v>14129</v>
      </c>
      <c r="K250" s="2">
        <v>127163</v>
      </c>
      <c r="L250" s="4">
        <v>9.9871818060284806E-2</v>
      </c>
      <c r="M250" t="s">
        <v>33</v>
      </c>
    </row>
    <row r="251" spans="1:13" x14ac:dyDescent="0.3">
      <c r="A251" t="s">
        <v>274</v>
      </c>
      <c r="B251" t="s">
        <v>1</v>
      </c>
      <c r="C251" s="1">
        <v>45465</v>
      </c>
      <c r="D251" t="s">
        <v>11</v>
      </c>
      <c r="E251" t="s">
        <v>25</v>
      </c>
      <c r="F251" s="2">
        <v>7342</v>
      </c>
      <c r="G251" s="2">
        <v>906</v>
      </c>
      <c r="H251" s="2">
        <v>902</v>
      </c>
      <c r="I251" s="2">
        <v>1199</v>
      </c>
      <c r="J251" s="2">
        <v>68488</v>
      </c>
      <c r="K251" s="2">
        <v>79310</v>
      </c>
      <c r="L251" s="4">
        <v>0.115370066826378</v>
      </c>
      <c r="M251" t="s">
        <v>4</v>
      </c>
    </row>
    <row r="252" spans="1:13" x14ac:dyDescent="0.3">
      <c r="A252" t="s">
        <v>275</v>
      </c>
      <c r="B252" t="s">
        <v>28</v>
      </c>
      <c r="C252" s="1">
        <v>45915</v>
      </c>
      <c r="D252" t="s">
        <v>2</v>
      </c>
      <c r="E252" t="s">
        <v>23</v>
      </c>
      <c r="F252" s="2">
        <v>18389</v>
      </c>
      <c r="G252" s="2">
        <v>670</v>
      </c>
      <c r="H252" s="2">
        <v>655</v>
      </c>
      <c r="I252" s="2">
        <v>321</v>
      </c>
      <c r="J252" s="2">
        <v>21869</v>
      </c>
      <c r="K252" s="2">
        <v>96088</v>
      </c>
      <c r="L252" s="4">
        <v>0.20516609774373501</v>
      </c>
      <c r="M252" t="s">
        <v>8</v>
      </c>
    </row>
    <row r="253" spans="1:13" x14ac:dyDescent="0.3">
      <c r="A253" t="s">
        <v>276</v>
      </c>
      <c r="B253" t="s">
        <v>10</v>
      </c>
      <c r="C253" s="1">
        <v>45775</v>
      </c>
      <c r="D253" t="s">
        <v>22</v>
      </c>
      <c r="E253" t="s">
        <v>38</v>
      </c>
      <c r="F253" s="2">
        <v>10659</v>
      </c>
      <c r="G253" s="2">
        <v>1342</v>
      </c>
      <c r="H253" s="2">
        <v>408</v>
      </c>
      <c r="I253" s="2">
        <v>709</v>
      </c>
      <c r="J253" s="2">
        <v>16309</v>
      </c>
      <c r="K253" s="2">
        <v>168803</v>
      </c>
      <c r="L253" s="4">
        <v>7.3511726687321893E-2</v>
      </c>
      <c r="M253" t="s">
        <v>13</v>
      </c>
    </row>
    <row r="254" spans="1:13" x14ac:dyDescent="0.3">
      <c r="A254" t="s">
        <v>277</v>
      </c>
      <c r="B254" t="s">
        <v>6</v>
      </c>
      <c r="C254" s="1">
        <v>45916</v>
      </c>
      <c r="D254" t="s">
        <v>2</v>
      </c>
      <c r="E254" t="s">
        <v>52</v>
      </c>
      <c r="F254" s="2">
        <v>16043</v>
      </c>
      <c r="G254" s="2">
        <v>595</v>
      </c>
      <c r="H254" s="2">
        <v>923</v>
      </c>
      <c r="I254" s="2">
        <v>1194</v>
      </c>
      <c r="J254" s="2">
        <v>52613</v>
      </c>
      <c r="K254" s="2">
        <v>179978</v>
      </c>
      <c r="L254" s="4">
        <v>9.7573036704486096E-2</v>
      </c>
      <c r="M254" t="s">
        <v>8</v>
      </c>
    </row>
    <row r="255" spans="1:13" x14ac:dyDescent="0.3">
      <c r="A255" t="s">
        <v>278</v>
      </c>
      <c r="B255" t="s">
        <v>10</v>
      </c>
      <c r="C255" s="1">
        <v>45671</v>
      </c>
      <c r="D255" t="s">
        <v>22</v>
      </c>
      <c r="E255" t="s">
        <v>38</v>
      </c>
      <c r="F255" s="2">
        <v>24350</v>
      </c>
      <c r="G255" s="2">
        <v>460</v>
      </c>
      <c r="H255" s="2">
        <v>666</v>
      </c>
      <c r="I255" s="2">
        <v>814</v>
      </c>
      <c r="J255" s="2">
        <v>21120</v>
      </c>
      <c r="K255" s="2">
        <v>76914</v>
      </c>
      <c r="L255" s="4">
        <v>0.33122708479600599</v>
      </c>
      <c r="M255" t="s">
        <v>4</v>
      </c>
    </row>
    <row r="256" spans="1:13" x14ac:dyDescent="0.3">
      <c r="A256" t="s">
        <v>279</v>
      </c>
      <c r="B256" t="s">
        <v>10</v>
      </c>
      <c r="C256" s="1">
        <v>45750</v>
      </c>
      <c r="D256" t="s">
        <v>2</v>
      </c>
      <c r="E256" t="s">
        <v>103</v>
      </c>
      <c r="F256" s="2">
        <v>10837</v>
      </c>
      <c r="G256" s="2">
        <v>1004</v>
      </c>
      <c r="H256" s="2">
        <v>922</v>
      </c>
      <c r="I256" s="2">
        <v>1108</v>
      </c>
      <c r="J256" s="2">
        <v>36807</v>
      </c>
      <c r="K256" s="2">
        <v>150350</v>
      </c>
      <c r="L256" s="4">
        <v>8.4888593282341204E-2</v>
      </c>
      <c r="M256" t="s">
        <v>13</v>
      </c>
    </row>
    <row r="257" spans="1:13" x14ac:dyDescent="0.3">
      <c r="A257" t="s">
        <v>280</v>
      </c>
      <c r="B257" t="s">
        <v>1</v>
      </c>
      <c r="C257" s="1">
        <v>45917</v>
      </c>
      <c r="D257" t="s">
        <v>22</v>
      </c>
      <c r="E257" t="s">
        <v>23</v>
      </c>
      <c r="F257" s="2">
        <v>2117</v>
      </c>
      <c r="G257" s="2">
        <v>1133</v>
      </c>
      <c r="H257" s="2">
        <v>203</v>
      </c>
      <c r="I257" s="2">
        <v>1173</v>
      </c>
      <c r="J257" s="2">
        <v>40125</v>
      </c>
      <c r="K257" s="2">
        <v>85379</v>
      </c>
      <c r="L257" s="4">
        <v>4.0443200318579502E-2</v>
      </c>
      <c r="M257" t="s">
        <v>8</v>
      </c>
    </row>
    <row r="258" spans="1:13" x14ac:dyDescent="0.3">
      <c r="A258" t="s">
        <v>281</v>
      </c>
      <c r="B258" t="s">
        <v>1</v>
      </c>
      <c r="C258" s="1">
        <v>45753</v>
      </c>
      <c r="D258" t="s">
        <v>22</v>
      </c>
      <c r="E258" t="s">
        <v>38</v>
      </c>
      <c r="F258" s="2">
        <v>15917</v>
      </c>
      <c r="G258" s="2">
        <v>1479</v>
      </c>
      <c r="H258" s="2">
        <v>196</v>
      </c>
      <c r="I258" s="2">
        <v>313</v>
      </c>
      <c r="J258" s="2">
        <v>48524</v>
      </c>
      <c r="K258" s="2">
        <v>249684</v>
      </c>
      <c r="L258" s="4">
        <v>7.0457057720959296E-2</v>
      </c>
      <c r="M258" t="s">
        <v>17</v>
      </c>
    </row>
    <row r="259" spans="1:13" x14ac:dyDescent="0.3">
      <c r="A259" t="s">
        <v>282</v>
      </c>
      <c r="B259" t="s">
        <v>28</v>
      </c>
      <c r="C259" s="1">
        <v>45509</v>
      </c>
      <c r="D259" t="s">
        <v>15</v>
      </c>
      <c r="E259" t="s">
        <v>3</v>
      </c>
      <c r="F259" s="2">
        <v>20935</v>
      </c>
      <c r="G259" s="2">
        <v>1104</v>
      </c>
      <c r="H259" s="2">
        <v>876</v>
      </c>
      <c r="I259" s="2">
        <v>1270</v>
      </c>
      <c r="J259" s="2">
        <v>21454</v>
      </c>
      <c r="K259" s="2">
        <v>208722</v>
      </c>
      <c r="L259" s="4">
        <v>0.10978718103506099</v>
      </c>
      <c r="M259" t="s">
        <v>13</v>
      </c>
    </row>
    <row r="260" spans="1:13" x14ac:dyDescent="0.3">
      <c r="A260" t="s">
        <v>283</v>
      </c>
      <c r="B260" t="s">
        <v>6</v>
      </c>
      <c r="C260" s="1">
        <v>45698</v>
      </c>
      <c r="D260" t="s">
        <v>22</v>
      </c>
      <c r="E260" t="s">
        <v>7</v>
      </c>
      <c r="F260" s="2">
        <v>16309</v>
      </c>
      <c r="G260" s="2">
        <v>1449</v>
      </c>
      <c r="H260" s="2">
        <v>838</v>
      </c>
      <c r="I260" s="2">
        <v>2434</v>
      </c>
      <c r="J260" s="2">
        <v>2940</v>
      </c>
      <c r="K260" s="2">
        <v>217953</v>
      </c>
      <c r="L260" s="4">
        <v>8.5321147219813404E-2</v>
      </c>
      <c r="M260" t="s">
        <v>17</v>
      </c>
    </row>
    <row r="261" spans="1:13" x14ac:dyDescent="0.3">
      <c r="A261" t="s">
        <v>284</v>
      </c>
      <c r="B261" t="s">
        <v>1</v>
      </c>
      <c r="C261" s="1">
        <v>45700</v>
      </c>
      <c r="D261" t="s">
        <v>15</v>
      </c>
      <c r="E261" t="s">
        <v>7</v>
      </c>
      <c r="F261" s="2">
        <v>15234</v>
      </c>
      <c r="G261" s="2">
        <v>1276</v>
      </c>
      <c r="H261" s="2">
        <v>670</v>
      </c>
      <c r="I261" s="2">
        <v>1860</v>
      </c>
      <c r="J261" s="2">
        <v>60397</v>
      </c>
      <c r="K261" s="2">
        <v>86413</v>
      </c>
      <c r="L261" s="4">
        <v>0.19881267864788901</v>
      </c>
      <c r="M261" t="s">
        <v>33</v>
      </c>
    </row>
    <row r="262" spans="1:13" x14ac:dyDescent="0.3">
      <c r="A262" t="s">
        <v>285</v>
      </c>
      <c r="B262" t="s">
        <v>10</v>
      </c>
      <c r="C262" s="1">
        <v>45592</v>
      </c>
      <c r="D262" t="s">
        <v>22</v>
      </c>
      <c r="E262" t="s">
        <v>3</v>
      </c>
      <c r="F262" s="2">
        <v>7560</v>
      </c>
      <c r="G262" s="2">
        <v>1139</v>
      </c>
      <c r="H262" s="2">
        <v>248</v>
      </c>
      <c r="I262" s="2">
        <v>1624</v>
      </c>
      <c r="J262" s="2">
        <v>72237</v>
      </c>
      <c r="K262" s="2">
        <v>177084</v>
      </c>
      <c r="L262" s="4">
        <v>5.0524045085947898E-2</v>
      </c>
      <c r="M262" t="s">
        <v>13</v>
      </c>
    </row>
    <row r="263" spans="1:13" x14ac:dyDescent="0.3">
      <c r="A263" t="s">
        <v>286</v>
      </c>
      <c r="B263" t="s">
        <v>28</v>
      </c>
      <c r="C263" s="1">
        <v>45675</v>
      </c>
      <c r="D263" t="s">
        <v>11</v>
      </c>
      <c r="E263" t="s">
        <v>43</v>
      </c>
      <c r="F263" s="2">
        <v>22673</v>
      </c>
      <c r="G263" s="2">
        <v>1053</v>
      </c>
      <c r="H263" s="2">
        <v>169</v>
      </c>
      <c r="I263" s="2">
        <v>1566</v>
      </c>
      <c r="J263" s="2">
        <v>9417</v>
      </c>
      <c r="K263" s="2">
        <v>221187</v>
      </c>
      <c r="L263" s="4">
        <v>0.108030761301523</v>
      </c>
      <c r="M263" t="s">
        <v>17</v>
      </c>
    </row>
    <row r="264" spans="1:13" x14ac:dyDescent="0.3">
      <c r="A264" t="s">
        <v>287</v>
      </c>
      <c r="B264" t="s">
        <v>10</v>
      </c>
      <c r="C264" s="1">
        <v>45524</v>
      </c>
      <c r="D264" t="s">
        <v>11</v>
      </c>
      <c r="E264" t="s">
        <v>20</v>
      </c>
      <c r="F264" s="2">
        <v>2846</v>
      </c>
      <c r="G264" s="2">
        <v>792</v>
      </c>
      <c r="H264" s="2">
        <v>902</v>
      </c>
      <c r="I264" s="2">
        <v>2469</v>
      </c>
      <c r="J264" s="2">
        <v>12130</v>
      </c>
      <c r="K264" s="2">
        <v>47151</v>
      </c>
      <c r="L264" s="4">
        <v>9.6286399015927601E-2</v>
      </c>
      <c r="M264" t="s">
        <v>4</v>
      </c>
    </row>
    <row r="265" spans="1:13" x14ac:dyDescent="0.3">
      <c r="A265" t="s">
        <v>288</v>
      </c>
      <c r="B265" t="s">
        <v>10</v>
      </c>
      <c r="C265" s="1">
        <v>45687</v>
      </c>
      <c r="D265" t="s">
        <v>11</v>
      </c>
      <c r="E265" t="s">
        <v>43</v>
      </c>
      <c r="F265" s="2">
        <v>12954</v>
      </c>
      <c r="G265" s="2">
        <v>913</v>
      </c>
      <c r="H265" s="2">
        <v>722</v>
      </c>
      <c r="I265" s="2">
        <v>1049</v>
      </c>
      <c r="J265" s="2">
        <v>475</v>
      </c>
      <c r="K265" s="2">
        <v>97716</v>
      </c>
      <c r="L265" s="4">
        <v>0.14930001228048601</v>
      </c>
      <c r="M265" t="s">
        <v>4</v>
      </c>
    </row>
    <row r="266" spans="1:13" x14ac:dyDescent="0.3">
      <c r="A266" t="s">
        <v>289</v>
      </c>
      <c r="B266" t="s">
        <v>1</v>
      </c>
      <c r="C266" s="1">
        <v>45708</v>
      </c>
      <c r="D266" t="s">
        <v>22</v>
      </c>
      <c r="E266" t="s">
        <v>29</v>
      </c>
      <c r="F266" s="2">
        <v>15703</v>
      </c>
      <c r="G266" s="2">
        <v>1381</v>
      </c>
      <c r="H266" s="2">
        <v>639</v>
      </c>
      <c r="I266" s="2">
        <v>984</v>
      </c>
      <c r="J266" s="2">
        <v>10967</v>
      </c>
      <c r="K266" s="2">
        <v>133747</v>
      </c>
      <c r="L266" s="4">
        <v>0.132511383432899</v>
      </c>
      <c r="M266" t="s">
        <v>33</v>
      </c>
    </row>
    <row r="267" spans="1:13" x14ac:dyDescent="0.3">
      <c r="A267" t="s">
        <v>290</v>
      </c>
      <c r="B267" t="s">
        <v>28</v>
      </c>
      <c r="C267" s="1">
        <v>45621</v>
      </c>
      <c r="D267" t="s">
        <v>15</v>
      </c>
      <c r="E267" t="s">
        <v>29</v>
      </c>
      <c r="F267" s="2">
        <v>17385</v>
      </c>
      <c r="G267" s="2">
        <v>831</v>
      </c>
      <c r="H267" s="2">
        <v>568</v>
      </c>
      <c r="I267" s="2">
        <v>2227</v>
      </c>
      <c r="J267" s="2">
        <v>49351</v>
      </c>
      <c r="K267" s="2">
        <v>207450</v>
      </c>
      <c r="L267" s="4">
        <v>9.0547119787900698E-2</v>
      </c>
      <c r="M267" t="s">
        <v>13</v>
      </c>
    </row>
    <row r="268" spans="1:13" x14ac:dyDescent="0.3">
      <c r="A268" t="s">
        <v>291</v>
      </c>
      <c r="B268" t="s">
        <v>6</v>
      </c>
      <c r="C268" s="1">
        <v>45569</v>
      </c>
      <c r="D268" t="s">
        <v>15</v>
      </c>
      <c r="E268" t="s">
        <v>38</v>
      </c>
      <c r="F268" s="2">
        <v>15746</v>
      </c>
      <c r="G268" s="2">
        <v>258</v>
      </c>
      <c r="H268" s="2">
        <v>839</v>
      </c>
      <c r="I268" s="2">
        <v>2656</v>
      </c>
      <c r="J268" s="2">
        <v>66614</v>
      </c>
      <c r="K268" s="2">
        <v>213724</v>
      </c>
      <c r="L268" s="4">
        <v>7.8807246729426697E-2</v>
      </c>
      <c r="M268" t="s">
        <v>13</v>
      </c>
    </row>
    <row r="269" spans="1:13" x14ac:dyDescent="0.3">
      <c r="A269" t="s">
        <v>292</v>
      </c>
      <c r="B269" t="s">
        <v>6</v>
      </c>
      <c r="C269" s="1">
        <v>45760</v>
      </c>
      <c r="D269" t="s">
        <v>22</v>
      </c>
      <c r="E269" t="s">
        <v>52</v>
      </c>
      <c r="F269" s="2">
        <v>24700</v>
      </c>
      <c r="G269" s="2">
        <v>327</v>
      </c>
      <c r="H269" s="2">
        <v>999</v>
      </c>
      <c r="I269" s="2">
        <v>994</v>
      </c>
      <c r="J269" s="2">
        <v>59400</v>
      </c>
      <c r="K269" s="2">
        <v>243502</v>
      </c>
      <c r="L269" s="4">
        <v>0.106882078997298</v>
      </c>
      <c r="M269" t="s">
        <v>13</v>
      </c>
    </row>
    <row r="270" spans="1:13" x14ac:dyDescent="0.3">
      <c r="A270" t="s">
        <v>293</v>
      </c>
      <c r="B270" t="s">
        <v>1</v>
      </c>
      <c r="C270" s="1">
        <v>45601</v>
      </c>
      <c r="D270" t="s">
        <v>11</v>
      </c>
      <c r="E270" t="s">
        <v>52</v>
      </c>
      <c r="F270" s="2">
        <v>8469</v>
      </c>
      <c r="G270" s="2">
        <v>935</v>
      </c>
      <c r="H270" s="2">
        <v>211</v>
      </c>
      <c r="I270" s="2">
        <v>2635</v>
      </c>
      <c r="J270" s="2">
        <v>21890</v>
      </c>
      <c r="K270" s="2">
        <v>184539</v>
      </c>
      <c r="L270" s="4">
        <v>5.2102807536618299E-2</v>
      </c>
      <c r="M270" t="s">
        <v>33</v>
      </c>
    </row>
    <row r="271" spans="1:13" x14ac:dyDescent="0.3">
      <c r="A271" t="s">
        <v>294</v>
      </c>
      <c r="B271" t="s">
        <v>1</v>
      </c>
      <c r="C271" s="1">
        <v>45672</v>
      </c>
      <c r="D271" t="s">
        <v>11</v>
      </c>
      <c r="E271" t="s">
        <v>7</v>
      </c>
      <c r="F271" s="2">
        <v>11333</v>
      </c>
      <c r="G271" s="2">
        <v>920</v>
      </c>
      <c r="H271" s="2">
        <v>294</v>
      </c>
      <c r="I271" s="2">
        <v>606</v>
      </c>
      <c r="J271" s="2">
        <v>59490</v>
      </c>
      <c r="K271" s="2">
        <v>202082</v>
      </c>
      <c r="L271" s="4">
        <v>6.2088657079799298E-2</v>
      </c>
      <c r="M271" t="s">
        <v>13</v>
      </c>
    </row>
    <row r="272" spans="1:13" x14ac:dyDescent="0.3">
      <c r="A272" t="s">
        <v>295</v>
      </c>
      <c r="B272" t="s">
        <v>28</v>
      </c>
      <c r="C272" s="1">
        <v>45582</v>
      </c>
      <c r="D272" t="s">
        <v>15</v>
      </c>
      <c r="E272" t="s">
        <v>12</v>
      </c>
      <c r="F272" s="2">
        <v>18608</v>
      </c>
      <c r="G272" s="2">
        <v>1338</v>
      </c>
      <c r="H272" s="2">
        <v>365</v>
      </c>
      <c r="I272" s="2">
        <v>2289</v>
      </c>
      <c r="J272" s="2">
        <v>20785</v>
      </c>
      <c r="K272" s="2">
        <v>161999</v>
      </c>
      <c r="L272" s="4">
        <v>0.12537731714393299</v>
      </c>
      <c r="M272" t="s">
        <v>4</v>
      </c>
    </row>
    <row r="273" spans="1:13" x14ac:dyDescent="0.3">
      <c r="A273" t="s">
        <v>296</v>
      </c>
      <c r="B273" t="s">
        <v>6</v>
      </c>
      <c r="C273" s="1">
        <v>45743</v>
      </c>
      <c r="D273" t="s">
        <v>11</v>
      </c>
      <c r="E273" t="s">
        <v>43</v>
      </c>
      <c r="F273" s="2">
        <v>14819</v>
      </c>
      <c r="G273" s="2">
        <v>1432</v>
      </c>
      <c r="H273" s="2">
        <v>152</v>
      </c>
      <c r="I273" s="2">
        <v>961</v>
      </c>
      <c r="J273" s="2">
        <v>39154</v>
      </c>
      <c r="K273" s="2">
        <v>154793</v>
      </c>
      <c r="L273" s="4">
        <v>0.105967324103803</v>
      </c>
      <c r="M273" t="s">
        <v>17</v>
      </c>
    </row>
    <row r="274" spans="1:13" x14ac:dyDescent="0.3">
      <c r="A274" t="s">
        <v>297</v>
      </c>
      <c r="B274" t="s">
        <v>6</v>
      </c>
      <c r="C274" s="1">
        <v>45577</v>
      </c>
      <c r="D274" t="s">
        <v>2</v>
      </c>
      <c r="E274" t="s">
        <v>103</v>
      </c>
      <c r="F274" s="2">
        <v>6208</v>
      </c>
      <c r="G274" s="2">
        <v>725</v>
      </c>
      <c r="H274" s="2">
        <v>309</v>
      </c>
      <c r="I274" s="2">
        <v>848</v>
      </c>
      <c r="J274" s="2">
        <v>39319</v>
      </c>
      <c r="K274" s="2">
        <v>225763</v>
      </c>
      <c r="L274" s="4">
        <v>3.2077886987681797E-2</v>
      </c>
      <c r="M274" t="s">
        <v>4</v>
      </c>
    </row>
    <row r="275" spans="1:13" x14ac:dyDescent="0.3">
      <c r="A275" t="s">
        <v>298</v>
      </c>
      <c r="B275" t="s">
        <v>6</v>
      </c>
      <c r="C275" s="1">
        <v>45658</v>
      </c>
      <c r="D275" t="s">
        <v>15</v>
      </c>
      <c r="E275" t="s">
        <v>23</v>
      </c>
      <c r="F275" s="2">
        <v>8283</v>
      </c>
      <c r="G275" s="2">
        <v>720</v>
      </c>
      <c r="H275" s="2">
        <v>888</v>
      </c>
      <c r="I275" s="2">
        <v>611</v>
      </c>
      <c r="J275" s="2">
        <v>52791</v>
      </c>
      <c r="K275" s="2">
        <v>235229</v>
      </c>
      <c r="L275" s="4">
        <v>4.2048386891072098E-2</v>
      </c>
      <c r="M275" t="s">
        <v>4</v>
      </c>
    </row>
    <row r="276" spans="1:13" x14ac:dyDescent="0.3">
      <c r="A276" t="s">
        <v>299</v>
      </c>
      <c r="B276" t="s">
        <v>10</v>
      </c>
      <c r="C276" s="1">
        <v>45509</v>
      </c>
      <c r="D276" t="s">
        <v>11</v>
      </c>
      <c r="E276" t="s">
        <v>25</v>
      </c>
      <c r="F276" s="2">
        <v>4048</v>
      </c>
      <c r="G276" s="2">
        <v>751</v>
      </c>
      <c r="H276" s="2">
        <v>930</v>
      </c>
      <c r="I276" s="2">
        <v>1382</v>
      </c>
      <c r="J276" s="2">
        <v>16844</v>
      </c>
      <c r="K276" s="2">
        <v>148177</v>
      </c>
      <c r="L276" s="4">
        <v>3.8663220337839199E-2</v>
      </c>
      <c r="M276" t="s">
        <v>17</v>
      </c>
    </row>
    <row r="277" spans="1:13" x14ac:dyDescent="0.3">
      <c r="A277" t="s">
        <v>300</v>
      </c>
      <c r="B277" t="s">
        <v>6</v>
      </c>
      <c r="C277" s="1">
        <v>45450</v>
      </c>
      <c r="D277" t="s">
        <v>15</v>
      </c>
      <c r="E277" t="s">
        <v>16</v>
      </c>
      <c r="F277" s="2">
        <v>8233</v>
      </c>
      <c r="G277" s="2">
        <v>436</v>
      </c>
      <c r="H277" s="2">
        <v>269</v>
      </c>
      <c r="I277" s="2">
        <v>2037</v>
      </c>
      <c r="J277" s="2">
        <v>8875</v>
      </c>
      <c r="K277" s="2">
        <v>52289</v>
      </c>
      <c r="L277" s="4">
        <v>0.17093461339861199</v>
      </c>
      <c r="M277" t="s">
        <v>4</v>
      </c>
    </row>
    <row r="278" spans="1:13" x14ac:dyDescent="0.3">
      <c r="A278" t="s">
        <v>301</v>
      </c>
      <c r="B278" t="s">
        <v>10</v>
      </c>
      <c r="C278" s="1">
        <v>45753</v>
      </c>
      <c r="D278" t="s">
        <v>2</v>
      </c>
      <c r="E278" t="s">
        <v>52</v>
      </c>
      <c r="F278" s="2">
        <v>14941</v>
      </c>
      <c r="G278" s="2">
        <v>1424</v>
      </c>
      <c r="H278" s="2">
        <v>238</v>
      </c>
      <c r="I278" s="2">
        <v>1054</v>
      </c>
      <c r="J278" s="2">
        <v>20516</v>
      </c>
      <c r="K278" s="2">
        <v>216048</v>
      </c>
      <c r="L278" s="4">
        <v>7.6848663260016298E-2</v>
      </c>
      <c r="M278" t="s">
        <v>33</v>
      </c>
    </row>
    <row r="279" spans="1:13" x14ac:dyDescent="0.3">
      <c r="A279" t="s">
        <v>302</v>
      </c>
      <c r="B279" t="s">
        <v>28</v>
      </c>
      <c r="C279" s="1">
        <v>45622</v>
      </c>
      <c r="D279" t="s">
        <v>15</v>
      </c>
      <c r="E279" t="s">
        <v>23</v>
      </c>
      <c r="F279" s="2">
        <v>14607</v>
      </c>
      <c r="G279" s="2">
        <v>1458</v>
      </c>
      <c r="H279" s="2">
        <v>478</v>
      </c>
      <c r="I279" s="2">
        <v>334</v>
      </c>
      <c r="J279" s="2">
        <v>49257</v>
      </c>
      <c r="K279" s="2">
        <v>214668</v>
      </c>
      <c r="L279" s="4">
        <v>7.7063185942944396E-2</v>
      </c>
      <c r="M279" t="s">
        <v>17</v>
      </c>
    </row>
    <row r="280" spans="1:13" x14ac:dyDescent="0.3">
      <c r="A280" t="s">
        <v>303</v>
      </c>
      <c r="B280" t="s">
        <v>10</v>
      </c>
      <c r="C280" s="1">
        <v>45537</v>
      </c>
      <c r="D280" t="s">
        <v>15</v>
      </c>
      <c r="E280" t="s">
        <v>16</v>
      </c>
      <c r="F280" s="2">
        <v>11765</v>
      </c>
      <c r="G280" s="2">
        <v>693</v>
      </c>
      <c r="H280" s="2">
        <v>729</v>
      </c>
      <c r="I280" s="2">
        <v>744</v>
      </c>
      <c r="J280" s="2">
        <v>97772</v>
      </c>
      <c r="K280" s="2">
        <v>194243</v>
      </c>
      <c r="L280" s="4">
        <v>6.7889190344053593E-2</v>
      </c>
      <c r="M280" t="s">
        <v>4</v>
      </c>
    </row>
    <row r="281" spans="1:13" x14ac:dyDescent="0.3">
      <c r="A281" t="s">
        <v>304</v>
      </c>
      <c r="B281" t="s">
        <v>28</v>
      </c>
      <c r="C281" s="1">
        <v>45918</v>
      </c>
      <c r="D281" t="s">
        <v>15</v>
      </c>
      <c r="E281" t="s">
        <v>23</v>
      </c>
      <c r="F281" s="2">
        <v>3828</v>
      </c>
      <c r="G281" s="2">
        <v>203</v>
      </c>
      <c r="H281" s="2">
        <v>506</v>
      </c>
      <c r="I281" s="2">
        <v>2440</v>
      </c>
      <c r="J281" s="2">
        <v>63650</v>
      </c>
      <c r="K281" s="2">
        <v>126365</v>
      </c>
      <c r="L281" s="4">
        <v>3.5903929094290403E-2</v>
      </c>
      <c r="M281" t="s">
        <v>8</v>
      </c>
    </row>
    <row r="282" spans="1:13" x14ac:dyDescent="0.3">
      <c r="A282" t="s">
        <v>305</v>
      </c>
      <c r="B282" t="s">
        <v>6</v>
      </c>
      <c r="C282" s="1">
        <v>45738</v>
      </c>
      <c r="D282" t="s">
        <v>15</v>
      </c>
      <c r="E282" t="s">
        <v>38</v>
      </c>
      <c r="F282" s="2">
        <v>3917</v>
      </c>
      <c r="G282" s="2">
        <v>865</v>
      </c>
      <c r="H282" s="2">
        <v>759</v>
      </c>
      <c r="I282" s="2">
        <v>2282</v>
      </c>
      <c r="J282" s="2">
        <v>56125</v>
      </c>
      <c r="K282" s="2">
        <v>154014</v>
      </c>
      <c r="L282" s="4">
        <v>3.5977248821535697E-2</v>
      </c>
      <c r="M282" t="s">
        <v>4</v>
      </c>
    </row>
    <row r="283" spans="1:13" x14ac:dyDescent="0.3">
      <c r="A283" t="s">
        <v>306</v>
      </c>
      <c r="B283" t="s">
        <v>6</v>
      </c>
      <c r="C283" s="1">
        <v>45568</v>
      </c>
      <c r="D283" t="s">
        <v>2</v>
      </c>
      <c r="E283" t="s">
        <v>16</v>
      </c>
      <c r="F283" s="2">
        <v>22618</v>
      </c>
      <c r="G283" s="2">
        <v>641</v>
      </c>
      <c r="H283" s="2">
        <v>416</v>
      </c>
      <c r="I283" s="2">
        <v>1530</v>
      </c>
      <c r="J283" s="2">
        <v>18395</v>
      </c>
      <c r="K283" s="2">
        <v>215211</v>
      </c>
      <c r="L283" s="4">
        <v>0.110008317418719</v>
      </c>
      <c r="M283" t="s">
        <v>33</v>
      </c>
    </row>
    <row r="284" spans="1:13" x14ac:dyDescent="0.3">
      <c r="A284" t="s">
        <v>307</v>
      </c>
      <c r="B284" t="s">
        <v>28</v>
      </c>
      <c r="C284" s="1">
        <v>45786</v>
      </c>
      <c r="D284" t="s">
        <v>22</v>
      </c>
      <c r="E284" t="s">
        <v>25</v>
      </c>
      <c r="F284" s="2">
        <v>8988</v>
      </c>
      <c r="G284" s="2">
        <v>228</v>
      </c>
      <c r="H284" s="2">
        <v>766</v>
      </c>
      <c r="I284" s="2">
        <v>652</v>
      </c>
      <c r="J284" s="2">
        <v>63789</v>
      </c>
      <c r="K284" s="2">
        <v>219785</v>
      </c>
      <c r="L284" s="4">
        <v>4.5417112177810103E-2</v>
      </c>
      <c r="M284" t="s">
        <v>13</v>
      </c>
    </row>
    <row r="285" spans="1:13" x14ac:dyDescent="0.3">
      <c r="A285" t="s">
        <v>308</v>
      </c>
      <c r="B285" t="s">
        <v>1</v>
      </c>
      <c r="C285" s="1">
        <v>45552</v>
      </c>
      <c r="D285" t="s">
        <v>15</v>
      </c>
      <c r="E285" t="s">
        <v>23</v>
      </c>
      <c r="F285" s="2">
        <v>20410</v>
      </c>
      <c r="G285" s="2">
        <v>1332</v>
      </c>
      <c r="H285" s="2">
        <v>472</v>
      </c>
      <c r="I285" s="2">
        <v>1202</v>
      </c>
      <c r="J285" s="2">
        <v>9418</v>
      </c>
      <c r="K285" s="2">
        <v>200806</v>
      </c>
      <c r="L285" s="4">
        <v>0.110624184536319</v>
      </c>
      <c r="M285" t="s">
        <v>4</v>
      </c>
    </row>
    <row r="286" spans="1:13" x14ac:dyDescent="0.3">
      <c r="A286" t="s">
        <v>309</v>
      </c>
      <c r="B286" t="s">
        <v>28</v>
      </c>
      <c r="C286" s="1">
        <v>45491</v>
      </c>
      <c r="D286" t="s">
        <v>15</v>
      </c>
      <c r="E286" t="s">
        <v>3</v>
      </c>
      <c r="F286" s="2">
        <v>16594</v>
      </c>
      <c r="G286" s="2">
        <v>809</v>
      </c>
      <c r="H286" s="2">
        <v>784</v>
      </c>
      <c r="I286" s="2">
        <v>1655</v>
      </c>
      <c r="J286" s="2">
        <v>35505</v>
      </c>
      <c r="K286" s="2">
        <v>112588</v>
      </c>
      <c r="L286" s="4">
        <v>0.161535865278715</v>
      </c>
      <c r="M286" t="s">
        <v>13</v>
      </c>
    </row>
    <row r="287" spans="1:13" x14ac:dyDescent="0.3">
      <c r="A287" t="s">
        <v>310</v>
      </c>
      <c r="B287" t="s">
        <v>1</v>
      </c>
      <c r="C287" s="1">
        <v>45919</v>
      </c>
      <c r="D287" t="s">
        <v>11</v>
      </c>
      <c r="E287" t="s">
        <v>25</v>
      </c>
      <c r="F287" s="2">
        <v>22128</v>
      </c>
      <c r="G287" s="2">
        <v>1004</v>
      </c>
      <c r="H287" s="2">
        <v>690</v>
      </c>
      <c r="I287" s="2">
        <v>2048</v>
      </c>
      <c r="J287" s="2">
        <v>19443</v>
      </c>
      <c r="K287" s="2">
        <v>103646</v>
      </c>
      <c r="L287" s="4">
        <v>0.22984003241803799</v>
      </c>
      <c r="M287" t="s">
        <v>8</v>
      </c>
    </row>
    <row r="288" spans="1:13" x14ac:dyDescent="0.3">
      <c r="A288" t="s">
        <v>311</v>
      </c>
      <c r="B288" t="s">
        <v>10</v>
      </c>
      <c r="C288" s="1">
        <v>45519</v>
      </c>
      <c r="D288" t="s">
        <v>15</v>
      </c>
      <c r="E288" t="s">
        <v>16</v>
      </c>
      <c r="F288" s="2">
        <v>14977</v>
      </c>
      <c r="G288" s="2">
        <v>274</v>
      </c>
      <c r="H288" s="2">
        <v>798</v>
      </c>
      <c r="I288" s="2">
        <v>458</v>
      </c>
      <c r="J288" s="2">
        <v>6636</v>
      </c>
      <c r="K288" s="2">
        <v>43654</v>
      </c>
      <c r="L288" s="4">
        <v>0.367640995097815</v>
      </c>
      <c r="M288" t="s">
        <v>4</v>
      </c>
    </row>
    <row r="289" spans="1:13" x14ac:dyDescent="0.3">
      <c r="A289" t="s">
        <v>312</v>
      </c>
      <c r="B289" t="s">
        <v>10</v>
      </c>
      <c r="C289" s="1">
        <v>45764</v>
      </c>
      <c r="D289" t="s">
        <v>11</v>
      </c>
      <c r="E289" t="s">
        <v>25</v>
      </c>
      <c r="F289" s="2">
        <v>2009</v>
      </c>
      <c r="G289" s="2">
        <v>1037</v>
      </c>
      <c r="H289" s="2">
        <v>344</v>
      </c>
      <c r="I289" s="2">
        <v>2277</v>
      </c>
      <c r="J289" s="2">
        <v>85743</v>
      </c>
      <c r="K289" s="2">
        <v>58743</v>
      </c>
      <c r="L289" s="4">
        <v>5.7709003625963901E-2</v>
      </c>
      <c r="M289" t="s">
        <v>17</v>
      </c>
    </row>
    <row r="290" spans="1:13" x14ac:dyDescent="0.3">
      <c r="A290" t="s">
        <v>313</v>
      </c>
      <c r="B290" t="s">
        <v>10</v>
      </c>
      <c r="C290" s="1">
        <v>45624</v>
      </c>
      <c r="D290" t="s">
        <v>22</v>
      </c>
      <c r="E290" t="s">
        <v>23</v>
      </c>
      <c r="F290" s="2">
        <v>18644</v>
      </c>
      <c r="G290" s="2">
        <v>1369</v>
      </c>
      <c r="H290" s="2">
        <v>887</v>
      </c>
      <c r="I290" s="2">
        <v>1256</v>
      </c>
      <c r="J290" s="2">
        <v>43415</v>
      </c>
      <c r="K290" s="2">
        <v>88368</v>
      </c>
      <c r="L290" s="4">
        <v>0.23651095419156301</v>
      </c>
      <c r="M290" t="s">
        <v>13</v>
      </c>
    </row>
    <row r="291" spans="1:13" x14ac:dyDescent="0.3">
      <c r="A291" t="s">
        <v>314</v>
      </c>
      <c r="B291" t="s">
        <v>6</v>
      </c>
      <c r="C291" s="1">
        <v>45920</v>
      </c>
      <c r="D291" t="s">
        <v>2</v>
      </c>
      <c r="E291" t="s">
        <v>20</v>
      </c>
      <c r="F291" s="2">
        <v>24422</v>
      </c>
      <c r="G291" s="2">
        <v>327</v>
      </c>
      <c r="H291" s="2">
        <v>481</v>
      </c>
      <c r="I291" s="2">
        <v>2371</v>
      </c>
      <c r="J291" s="2">
        <v>35340</v>
      </c>
      <c r="K291" s="2">
        <v>245244</v>
      </c>
      <c r="L291" s="4">
        <v>0.10287713460879799</v>
      </c>
      <c r="M291" t="s">
        <v>8</v>
      </c>
    </row>
    <row r="292" spans="1:13" x14ac:dyDescent="0.3">
      <c r="A292" t="s">
        <v>315</v>
      </c>
      <c r="B292" t="s">
        <v>10</v>
      </c>
      <c r="C292" s="1">
        <v>45602</v>
      </c>
      <c r="D292" t="s">
        <v>2</v>
      </c>
      <c r="E292" t="s">
        <v>23</v>
      </c>
      <c r="F292" s="2">
        <v>11865</v>
      </c>
      <c r="G292" s="2">
        <v>241</v>
      </c>
      <c r="H292" s="2">
        <v>319</v>
      </c>
      <c r="I292" s="2">
        <v>703</v>
      </c>
      <c r="J292" s="2">
        <v>69596</v>
      </c>
      <c r="K292" s="2">
        <v>177513</v>
      </c>
      <c r="L292" s="4">
        <v>6.9994873614890193E-2</v>
      </c>
      <c r="M292" t="s">
        <v>17</v>
      </c>
    </row>
    <row r="293" spans="1:13" x14ac:dyDescent="0.3">
      <c r="A293" t="s">
        <v>316</v>
      </c>
      <c r="B293" t="s">
        <v>1</v>
      </c>
      <c r="C293" s="1">
        <v>45613</v>
      </c>
      <c r="D293" t="s">
        <v>22</v>
      </c>
      <c r="E293" t="s">
        <v>23</v>
      </c>
      <c r="F293" s="2">
        <v>4219</v>
      </c>
      <c r="G293" s="2">
        <v>240</v>
      </c>
      <c r="H293" s="2">
        <v>670</v>
      </c>
      <c r="I293" s="2">
        <v>815</v>
      </c>
      <c r="J293" s="2">
        <v>11978</v>
      </c>
      <c r="K293" s="2">
        <v>159735</v>
      </c>
      <c r="L293" s="4">
        <v>3.2109431245500399E-2</v>
      </c>
      <c r="M293" t="s">
        <v>17</v>
      </c>
    </row>
    <row r="294" spans="1:13" x14ac:dyDescent="0.3">
      <c r="A294" t="s">
        <v>317</v>
      </c>
      <c r="B294" t="s">
        <v>10</v>
      </c>
      <c r="C294" s="1">
        <v>45791</v>
      </c>
      <c r="D294" t="s">
        <v>2</v>
      </c>
      <c r="E294" t="s">
        <v>38</v>
      </c>
      <c r="F294" s="2">
        <v>9041</v>
      </c>
      <c r="G294" s="2">
        <v>1133</v>
      </c>
      <c r="H294" s="2">
        <v>612</v>
      </c>
      <c r="I294" s="2">
        <v>1687</v>
      </c>
      <c r="J294" s="2">
        <v>28102</v>
      </c>
      <c r="K294" s="2">
        <v>195683</v>
      </c>
      <c r="L294" s="4">
        <v>5.5119760020032403E-2</v>
      </c>
      <c r="M294" t="s">
        <v>17</v>
      </c>
    </row>
    <row r="295" spans="1:13" x14ac:dyDescent="0.3">
      <c r="A295" t="s">
        <v>318</v>
      </c>
      <c r="B295" t="s">
        <v>28</v>
      </c>
      <c r="C295" s="1">
        <v>45462</v>
      </c>
      <c r="D295" t="s">
        <v>22</v>
      </c>
      <c r="E295" t="s">
        <v>43</v>
      </c>
      <c r="F295" s="2">
        <v>20444</v>
      </c>
      <c r="G295" s="2">
        <v>233</v>
      </c>
      <c r="H295" s="2">
        <v>189</v>
      </c>
      <c r="I295" s="2">
        <v>2879</v>
      </c>
      <c r="J295" s="2">
        <v>28185</v>
      </c>
      <c r="K295" s="2">
        <v>159891</v>
      </c>
      <c r="L295" s="4">
        <v>0.13050140408153099</v>
      </c>
      <c r="M295" t="s">
        <v>17</v>
      </c>
    </row>
    <row r="296" spans="1:13" x14ac:dyDescent="0.3">
      <c r="A296" t="s">
        <v>319</v>
      </c>
      <c r="B296" t="s">
        <v>28</v>
      </c>
      <c r="C296" s="1">
        <v>45783</v>
      </c>
      <c r="D296" t="s">
        <v>22</v>
      </c>
      <c r="E296" t="s">
        <v>3</v>
      </c>
      <c r="F296" s="2">
        <v>7287</v>
      </c>
      <c r="G296" s="2">
        <v>1240</v>
      </c>
      <c r="H296" s="2">
        <v>686</v>
      </c>
      <c r="I296" s="2">
        <v>1255</v>
      </c>
      <c r="J296" s="2">
        <v>15403</v>
      </c>
      <c r="K296" s="2">
        <v>147971</v>
      </c>
      <c r="L296" s="4">
        <v>6.2262200025680697E-2</v>
      </c>
      <c r="M296" t="s">
        <v>4</v>
      </c>
    </row>
    <row r="297" spans="1:13" x14ac:dyDescent="0.3">
      <c r="A297" t="s">
        <v>320</v>
      </c>
      <c r="B297" t="s">
        <v>6</v>
      </c>
      <c r="C297" s="1">
        <v>45699</v>
      </c>
      <c r="D297" t="s">
        <v>22</v>
      </c>
      <c r="E297" t="s">
        <v>103</v>
      </c>
      <c r="F297" s="2">
        <v>3619</v>
      </c>
      <c r="G297" s="2">
        <v>1376</v>
      </c>
      <c r="H297" s="2">
        <v>410</v>
      </c>
      <c r="I297" s="2">
        <v>2499</v>
      </c>
      <c r="J297" s="2">
        <v>58146</v>
      </c>
      <c r="K297" s="2">
        <v>52149</v>
      </c>
      <c r="L297" s="4">
        <v>0.103645323975532</v>
      </c>
      <c r="M297" t="s">
        <v>4</v>
      </c>
    </row>
    <row r="298" spans="1:13" x14ac:dyDescent="0.3">
      <c r="A298" t="s">
        <v>321</v>
      </c>
      <c r="B298" t="s">
        <v>28</v>
      </c>
      <c r="C298" s="1">
        <v>45650</v>
      </c>
      <c r="D298" t="s">
        <v>2</v>
      </c>
      <c r="E298" t="s">
        <v>52</v>
      </c>
      <c r="F298" s="2">
        <v>10512</v>
      </c>
      <c r="G298" s="2">
        <v>1197</v>
      </c>
      <c r="H298" s="2">
        <v>544</v>
      </c>
      <c r="I298" s="2">
        <v>2012</v>
      </c>
      <c r="J298" s="2">
        <v>10245</v>
      </c>
      <c r="K298" s="2">
        <v>140102</v>
      </c>
      <c r="L298" s="4">
        <v>8.7457709383163704E-2</v>
      </c>
      <c r="M298" t="s">
        <v>4</v>
      </c>
    </row>
    <row r="299" spans="1:13" x14ac:dyDescent="0.3">
      <c r="A299" t="s">
        <v>322</v>
      </c>
      <c r="B299" t="s">
        <v>1</v>
      </c>
      <c r="C299" s="1">
        <v>45924</v>
      </c>
      <c r="D299" t="s">
        <v>11</v>
      </c>
      <c r="E299" t="s">
        <v>29</v>
      </c>
      <c r="F299" s="2">
        <v>3342</v>
      </c>
      <c r="G299" s="2">
        <v>787</v>
      </c>
      <c r="H299" s="2">
        <v>375</v>
      </c>
      <c r="I299" s="2">
        <v>907</v>
      </c>
      <c r="J299" s="2">
        <v>85823</v>
      </c>
      <c r="K299" s="2">
        <v>99189</v>
      </c>
      <c r="L299" s="4">
        <v>4.5408260996683103E-2</v>
      </c>
      <c r="M299" t="s">
        <v>8</v>
      </c>
    </row>
    <row r="300" spans="1:13" x14ac:dyDescent="0.3">
      <c r="A300" t="s">
        <v>323</v>
      </c>
      <c r="B300" t="s">
        <v>10</v>
      </c>
      <c r="C300" s="1">
        <v>45925</v>
      </c>
      <c r="D300" t="s">
        <v>22</v>
      </c>
      <c r="E300" t="s">
        <v>43</v>
      </c>
      <c r="F300" s="2">
        <v>12568</v>
      </c>
      <c r="G300" s="2">
        <v>541</v>
      </c>
      <c r="H300" s="2">
        <v>273</v>
      </c>
      <c r="I300" s="2">
        <v>2767</v>
      </c>
      <c r="J300" s="2">
        <v>22331</v>
      </c>
      <c r="K300" s="2">
        <v>192747</v>
      </c>
      <c r="L300" s="4">
        <v>6.94277991356545E-2</v>
      </c>
      <c r="M300" t="s">
        <v>8</v>
      </c>
    </row>
    <row r="301" spans="1:13" x14ac:dyDescent="0.3">
      <c r="A301" t="s">
        <v>324</v>
      </c>
      <c r="B301" t="s">
        <v>6</v>
      </c>
      <c r="C301" s="1">
        <v>45926</v>
      </c>
      <c r="D301" t="s">
        <v>15</v>
      </c>
      <c r="E301" t="s">
        <v>29</v>
      </c>
      <c r="F301" s="2">
        <v>21216</v>
      </c>
      <c r="G301" s="2">
        <v>226</v>
      </c>
      <c r="H301" s="2">
        <v>187</v>
      </c>
      <c r="I301" s="2">
        <v>1573</v>
      </c>
      <c r="J301" s="2">
        <v>62688</v>
      </c>
      <c r="K301" s="2">
        <v>111031</v>
      </c>
      <c r="L301" s="4">
        <v>0.19480145184678199</v>
      </c>
      <c r="M30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C638-C4CD-44EB-A731-84BB4DDEF621}">
  <dimension ref="A1:M301"/>
  <sheetViews>
    <sheetView topLeftCell="A277" workbookViewId="0">
      <selection sqref="A1:M301"/>
    </sheetView>
  </sheetViews>
  <sheetFormatPr defaultRowHeight="14.4" x14ac:dyDescent="0.3"/>
  <sheetData>
    <row r="1" spans="1:13" x14ac:dyDescent="0.3">
      <c r="A1" s="3" t="s">
        <v>325</v>
      </c>
      <c r="B1" s="3" t="s">
        <v>326</v>
      </c>
      <c r="C1" s="3" t="s">
        <v>327</v>
      </c>
      <c r="D1" s="3" t="s">
        <v>328</v>
      </c>
      <c r="E1" s="3" t="s">
        <v>329</v>
      </c>
      <c r="F1" s="3" t="s">
        <v>330</v>
      </c>
      <c r="G1" s="3" t="s">
        <v>331</v>
      </c>
      <c r="H1" s="3" t="s">
        <v>332</v>
      </c>
      <c r="I1" s="3" t="s">
        <v>333</v>
      </c>
      <c r="J1" s="3" t="s">
        <v>334</v>
      </c>
      <c r="K1" s="3" t="s">
        <v>335</v>
      </c>
      <c r="L1" s="3" t="s">
        <v>336</v>
      </c>
      <c r="M1" s="3" t="s">
        <v>337</v>
      </c>
    </row>
    <row r="2" spans="1:13" x14ac:dyDescent="0.3">
      <c r="A2" t="s">
        <v>0</v>
      </c>
      <c r="B2" t="s">
        <v>1</v>
      </c>
      <c r="C2" s="1">
        <v>45649</v>
      </c>
      <c r="D2" t="s">
        <v>2</v>
      </c>
      <c r="E2" t="s">
        <v>3</v>
      </c>
      <c r="F2" s="2">
        <v>24516</v>
      </c>
      <c r="G2" s="2">
        <v>976</v>
      </c>
      <c r="H2" s="2">
        <v>974</v>
      </c>
      <c r="I2" s="2">
        <v>2675</v>
      </c>
      <c r="J2" s="2">
        <v>23275</v>
      </c>
      <c r="K2" s="2">
        <v>202932</v>
      </c>
      <c r="L2" s="4">
        <v>0.13041807107799699</v>
      </c>
      <c r="M2" t="s">
        <v>4</v>
      </c>
    </row>
    <row r="3" spans="1:13" x14ac:dyDescent="0.3">
      <c r="A3" t="s">
        <v>5</v>
      </c>
      <c r="B3" t="s">
        <v>6</v>
      </c>
      <c r="C3" s="1">
        <v>45903</v>
      </c>
      <c r="D3" t="s">
        <v>2</v>
      </c>
      <c r="E3" t="s">
        <v>7</v>
      </c>
      <c r="F3" s="2">
        <v>4779</v>
      </c>
      <c r="G3" s="2">
        <v>1110</v>
      </c>
      <c r="H3" s="2">
        <v>436</v>
      </c>
      <c r="I3" s="2">
        <v>1574</v>
      </c>
      <c r="J3" s="2">
        <v>77167</v>
      </c>
      <c r="K3" s="2">
        <v>71585</v>
      </c>
      <c r="L3" s="4">
        <v>8.8356499266606103E-2</v>
      </c>
      <c r="M3" t="s">
        <v>8</v>
      </c>
    </row>
    <row r="4" spans="1:13" x14ac:dyDescent="0.3">
      <c r="A4" t="s">
        <v>9</v>
      </c>
      <c r="B4" t="s">
        <v>10</v>
      </c>
      <c r="C4" s="1">
        <v>45789</v>
      </c>
      <c r="D4" t="s">
        <v>11</v>
      </c>
      <c r="E4" t="s">
        <v>12</v>
      </c>
      <c r="F4" s="2">
        <v>19308</v>
      </c>
      <c r="G4" s="2">
        <v>1318</v>
      </c>
      <c r="H4" s="2">
        <v>795</v>
      </c>
      <c r="I4" s="2">
        <v>1499</v>
      </c>
      <c r="J4" s="2">
        <v>52307</v>
      </c>
      <c r="K4" s="2">
        <v>193087</v>
      </c>
      <c r="L4" s="4">
        <v>0.110939628250478</v>
      </c>
      <c r="M4" t="s">
        <v>13</v>
      </c>
    </row>
    <row r="5" spans="1:13" x14ac:dyDescent="0.3">
      <c r="A5" t="s">
        <v>14</v>
      </c>
      <c r="B5" t="s">
        <v>1</v>
      </c>
      <c r="C5" s="1">
        <v>45516</v>
      </c>
      <c r="D5" t="s">
        <v>15</v>
      </c>
      <c r="E5" t="s">
        <v>16</v>
      </c>
      <c r="F5" s="2">
        <v>3581</v>
      </c>
      <c r="G5" s="2">
        <v>517</v>
      </c>
      <c r="H5" s="2">
        <v>880</v>
      </c>
      <c r="I5" s="2">
        <v>1925</v>
      </c>
      <c r="J5" s="2">
        <v>18636</v>
      </c>
      <c r="K5" s="2">
        <v>248611</v>
      </c>
      <c r="L5" s="4">
        <v>2.0023249172401902E-2</v>
      </c>
      <c r="M5" t="s">
        <v>17</v>
      </c>
    </row>
    <row r="6" spans="1:13" x14ac:dyDescent="0.3">
      <c r="A6" t="s">
        <v>18</v>
      </c>
      <c r="B6" t="s">
        <v>1</v>
      </c>
      <c r="C6" s="1">
        <v>45904</v>
      </c>
      <c r="D6" t="s">
        <v>15</v>
      </c>
      <c r="E6" t="s">
        <v>3</v>
      </c>
      <c r="F6" s="2">
        <v>21708</v>
      </c>
      <c r="G6" s="2">
        <v>435</v>
      </c>
      <c r="H6" s="2">
        <v>317</v>
      </c>
      <c r="I6" s="2">
        <v>1213</v>
      </c>
      <c r="J6" s="2">
        <v>70701</v>
      </c>
      <c r="K6" s="2">
        <v>83585</v>
      </c>
      <c r="L6" s="4">
        <v>0.26870850032900601</v>
      </c>
      <c r="M6" t="s">
        <v>8</v>
      </c>
    </row>
    <row r="7" spans="1:13" x14ac:dyDescent="0.3">
      <c r="A7" t="s">
        <v>19</v>
      </c>
      <c r="B7" t="s">
        <v>6</v>
      </c>
      <c r="C7" s="1">
        <v>45905</v>
      </c>
      <c r="D7" t="s">
        <v>2</v>
      </c>
      <c r="E7" t="s">
        <v>20</v>
      </c>
      <c r="F7" s="2">
        <v>14677</v>
      </c>
      <c r="G7" s="2">
        <v>533</v>
      </c>
      <c r="H7" s="2">
        <v>759</v>
      </c>
      <c r="I7" s="2">
        <v>753</v>
      </c>
      <c r="J7" s="2">
        <v>23275</v>
      </c>
      <c r="K7" s="2">
        <v>66958</v>
      </c>
      <c r="L7" s="4">
        <v>0.23849278652289499</v>
      </c>
      <c r="M7" t="s">
        <v>8</v>
      </c>
    </row>
    <row r="8" spans="1:13" x14ac:dyDescent="0.3">
      <c r="A8" t="s">
        <v>21</v>
      </c>
      <c r="B8" t="s">
        <v>10</v>
      </c>
      <c r="C8" s="1">
        <v>45467</v>
      </c>
      <c r="D8" t="s">
        <v>22</v>
      </c>
      <c r="E8" t="s">
        <v>23</v>
      </c>
      <c r="F8" s="2">
        <v>7713</v>
      </c>
      <c r="G8" s="2">
        <v>575</v>
      </c>
      <c r="H8" s="2">
        <v>417</v>
      </c>
      <c r="I8" s="2">
        <v>336</v>
      </c>
      <c r="J8" s="2">
        <v>61660</v>
      </c>
      <c r="K8" s="2">
        <v>66017</v>
      </c>
      <c r="L8" s="4">
        <v>0.131859975460866</v>
      </c>
      <c r="M8" t="s">
        <v>17</v>
      </c>
    </row>
    <row r="9" spans="1:13" x14ac:dyDescent="0.3">
      <c r="A9" t="s">
        <v>24</v>
      </c>
      <c r="B9" t="s">
        <v>10</v>
      </c>
      <c r="C9" s="1">
        <v>45486</v>
      </c>
      <c r="D9" t="s">
        <v>15</v>
      </c>
      <c r="E9" t="s">
        <v>25</v>
      </c>
      <c r="F9" s="2">
        <v>18639</v>
      </c>
      <c r="G9" s="2">
        <v>1360</v>
      </c>
      <c r="H9" s="2">
        <v>898</v>
      </c>
      <c r="I9" s="2">
        <v>2011</v>
      </c>
      <c r="J9" s="2">
        <v>42841</v>
      </c>
      <c r="K9" s="2">
        <v>247779</v>
      </c>
      <c r="L9" s="4">
        <v>8.4337252148083602E-2</v>
      </c>
      <c r="M9" t="s">
        <v>17</v>
      </c>
    </row>
    <row r="10" spans="1:13" x14ac:dyDescent="0.3">
      <c r="A10" t="s">
        <v>26</v>
      </c>
      <c r="B10" t="s">
        <v>1</v>
      </c>
      <c r="C10" s="1">
        <v>45534</v>
      </c>
      <c r="D10" t="s">
        <v>22</v>
      </c>
      <c r="E10" t="s">
        <v>7</v>
      </c>
      <c r="F10" s="2">
        <v>6804</v>
      </c>
      <c r="G10" s="2">
        <v>787</v>
      </c>
      <c r="H10" s="2">
        <v>970</v>
      </c>
      <c r="I10" s="2">
        <v>1095</v>
      </c>
      <c r="J10" s="2">
        <v>56343</v>
      </c>
      <c r="K10" s="2">
        <v>164677</v>
      </c>
      <c r="L10" s="4">
        <v>5.19866162244879E-2</v>
      </c>
      <c r="M10" t="s">
        <v>4</v>
      </c>
    </row>
    <row r="11" spans="1:13" x14ac:dyDescent="0.3">
      <c r="A11" t="s">
        <v>27</v>
      </c>
      <c r="B11" t="s">
        <v>28</v>
      </c>
      <c r="C11" s="1">
        <v>45727</v>
      </c>
      <c r="D11" t="s">
        <v>15</v>
      </c>
      <c r="E11" t="s">
        <v>29</v>
      </c>
      <c r="F11" s="2">
        <v>20222</v>
      </c>
      <c r="G11" s="2">
        <v>712</v>
      </c>
      <c r="H11" s="2">
        <v>604</v>
      </c>
      <c r="I11" s="2">
        <v>1272</v>
      </c>
      <c r="J11" s="2">
        <v>71598</v>
      </c>
      <c r="K11" s="2">
        <v>216422</v>
      </c>
      <c r="L11" s="4">
        <v>9.9518533235992607E-2</v>
      </c>
      <c r="M11" t="s">
        <v>13</v>
      </c>
    </row>
    <row r="12" spans="1:13" x14ac:dyDescent="0.3">
      <c r="A12" t="s">
        <v>30</v>
      </c>
      <c r="B12" t="s">
        <v>1</v>
      </c>
      <c r="C12" s="1">
        <v>45690</v>
      </c>
      <c r="D12" t="s">
        <v>22</v>
      </c>
      <c r="E12" t="s">
        <v>16</v>
      </c>
      <c r="F12" s="2">
        <v>12136</v>
      </c>
      <c r="G12" s="2">
        <v>1117</v>
      </c>
      <c r="H12" s="2">
        <v>834</v>
      </c>
      <c r="I12" s="2">
        <v>892</v>
      </c>
      <c r="J12" s="2">
        <v>24675</v>
      </c>
      <c r="K12" s="2">
        <v>183273</v>
      </c>
      <c r="L12" s="4">
        <v>7.6863476889667298E-2</v>
      </c>
      <c r="M12" t="s">
        <v>13</v>
      </c>
    </row>
    <row r="13" spans="1:13" x14ac:dyDescent="0.3">
      <c r="A13" t="s">
        <v>31</v>
      </c>
      <c r="B13" t="s">
        <v>1</v>
      </c>
      <c r="C13" s="1">
        <v>45494</v>
      </c>
      <c r="D13" t="s">
        <v>11</v>
      </c>
      <c r="E13" t="s">
        <v>7</v>
      </c>
      <c r="F13" s="2">
        <v>2009</v>
      </c>
      <c r="G13" s="2">
        <v>1072</v>
      </c>
      <c r="H13" s="2">
        <v>550</v>
      </c>
      <c r="I13" s="2">
        <v>1437</v>
      </c>
      <c r="J13" s="2">
        <v>22982</v>
      </c>
      <c r="K13" s="2">
        <v>69426</v>
      </c>
      <c r="L13" s="4">
        <v>5.2300290957278298E-2</v>
      </c>
      <c r="M13" t="s">
        <v>17</v>
      </c>
    </row>
    <row r="14" spans="1:13" x14ac:dyDescent="0.3">
      <c r="A14" t="s">
        <v>32</v>
      </c>
      <c r="B14" t="s">
        <v>1</v>
      </c>
      <c r="C14" s="1">
        <v>45614</v>
      </c>
      <c r="D14" t="s">
        <v>22</v>
      </c>
      <c r="E14" t="s">
        <v>23</v>
      </c>
      <c r="F14" s="2">
        <v>21255</v>
      </c>
      <c r="G14" s="2">
        <v>1452</v>
      </c>
      <c r="H14" s="2">
        <v>625</v>
      </c>
      <c r="I14" s="2">
        <v>1624</v>
      </c>
      <c r="J14" s="2">
        <v>21282</v>
      </c>
      <c r="K14" s="2">
        <v>57778</v>
      </c>
      <c r="L14" s="4">
        <v>0.40382152376336999</v>
      </c>
      <c r="M14" t="s">
        <v>33</v>
      </c>
    </row>
    <row r="15" spans="1:13" x14ac:dyDescent="0.3">
      <c r="A15" t="s">
        <v>34</v>
      </c>
      <c r="B15" t="s">
        <v>1</v>
      </c>
      <c r="C15" s="1">
        <v>45906</v>
      </c>
      <c r="D15" t="s">
        <v>11</v>
      </c>
      <c r="E15" t="s">
        <v>25</v>
      </c>
      <c r="F15" s="2">
        <v>7124</v>
      </c>
      <c r="G15" s="2">
        <v>469</v>
      </c>
      <c r="H15" s="2">
        <v>851</v>
      </c>
      <c r="I15" s="2">
        <v>2571</v>
      </c>
      <c r="J15" s="2">
        <v>33802</v>
      </c>
      <c r="K15" s="2">
        <v>216313</v>
      </c>
      <c r="L15" s="4">
        <v>3.9036026498638597E-2</v>
      </c>
      <c r="M15" t="s">
        <v>8</v>
      </c>
    </row>
    <row r="16" spans="1:13" x14ac:dyDescent="0.3">
      <c r="A16" t="s">
        <v>35</v>
      </c>
      <c r="B16" t="s">
        <v>6</v>
      </c>
      <c r="C16" s="1">
        <v>45907</v>
      </c>
      <c r="D16" t="s">
        <v>11</v>
      </c>
      <c r="E16" t="s">
        <v>12</v>
      </c>
      <c r="F16" s="2">
        <v>3015</v>
      </c>
      <c r="G16" s="2">
        <v>997</v>
      </c>
      <c r="H16" s="2">
        <v>783</v>
      </c>
      <c r="I16" s="2">
        <v>617</v>
      </c>
      <c r="J16" s="2">
        <v>77167</v>
      </c>
      <c r="K16" s="2">
        <v>82229</v>
      </c>
      <c r="L16" s="4">
        <v>5.83127607048608E-2</v>
      </c>
      <c r="M16" t="s">
        <v>8</v>
      </c>
    </row>
    <row r="17" spans="1:13" x14ac:dyDescent="0.3">
      <c r="A17" t="s">
        <v>36</v>
      </c>
      <c r="B17" t="s">
        <v>10</v>
      </c>
      <c r="C17" s="1">
        <v>45530</v>
      </c>
      <c r="D17" t="s">
        <v>22</v>
      </c>
      <c r="E17" t="s">
        <v>25</v>
      </c>
      <c r="F17" s="2">
        <v>4193</v>
      </c>
      <c r="G17" s="2">
        <v>924</v>
      </c>
      <c r="H17" s="2">
        <v>707</v>
      </c>
      <c r="I17" s="2">
        <v>2696</v>
      </c>
      <c r="J17" s="2">
        <v>55075</v>
      </c>
      <c r="K17" s="2">
        <v>126652</v>
      </c>
      <c r="L17" s="4">
        <v>4.5984271863057799E-2</v>
      </c>
      <c r="M17" t="s">
        <v>17</v>
      </c>
    </row>
    <row r="18" spans="1:13" x14ac:dyDescent="0.3">
      <c r="A18" t="s">
        <v>37</v>
      </c>
      <c r="B18" t="s">
        <v>6</v>
      </c>
      <c r="C18" s="1">
        <v>45782</v>
      </c>
      <c r="D18" t="s">
        <v>11</v>
      </c>
      <c r="E18" t="s">
        <v>38</v>
      </c>
      <c r="F18" s="2">
        <v>10415</v>
      </c>
      <c r="G18" s="2">
        <v>1388</v>
      </c>
      <c r="H18" s="2">
        <v>725</v>
      </c>
      <c r="I18" s="2">
        <v>2462</v>
      </c>
      <c r="J18" s="2">
        <v>53082</v>
      </c>
      <c r="K18" s="2">
        <v>168267</v>
      </c>
      <c r="L18" s="4">
        <v>7.4453101321114601E-2</v>
      </c>
      <c r="M18" t="s">
        <v>33</v>
      </c>
    </row>
    <row r="19" spans="1:13" x14ac:dyDescent="0.3">
      <c r="A19" t="s">
        <v>39</v>
      </c>
      <c r="B19" t="s">
        <v>6</v>
      </c>
      <c r="C19" s="1">
        <v>45523</v>
      </c>
      <c r="D19" t="s">
        <v>2</v>
      </c>
      <c r="E19" t="s">
        <v>25</v>
      </c>
      <c r="F19" s="2">
        <v>15550</v>
      </c>
      <c r="G19" s="2">
        <v>204</v>
      </c>
      <c r="H19" s="2">
        <v>279</v>
      </c>
      <c r="I19" s="2">
        <v>1646</v>
      </c>
      <c r="J19" s="2">
        <v>35819</v>
      </c>
      <c r="K19" s="2">
        <v>219436</v>
      </c>
      <c r="L19" s="4">
        <v>7.3064583751070902E-2</v>
      </c>
      <c r="M19" t="s">
        <v>4</v>
      </c>
    </row>
    <row r="20" spans="1:13" x14ac:dyDescent="0.3">
      <c r="A20" t="s">
        <v>40</v>
      </c>
      <c r="B20" t="s">
        <v>6</v>
      </c>
      <c r="C20" s="1">
        <v>45466</v>
      </c>
      <c r="D20" t="s">
        <v>11</v>
      </c>
      <c r="E20" t="s">
        <v>38</v>
      </c>
      <c r="F20" s="2">
        <v>16512</v>
      </c>
      <c r="G20" s="2">
        <v>1050</v>
      </c>
      <c r="H20" s="2">
        <v>971</v>
      </c>
      <c r="I20" s="2">
        <v>1891</v>
      </c>
      <c r="J20" s="2">
        <v>15865</v>
      </c>
      <c r="K20" s="2">
        <v>166503</v>
      </c>
      <c r="L20" s="4">
        <v>0.11130730377230399</v>
      </c>
      <c r="M20" t="s">
        <v>17</v>
      </c>
    </row>
    <row r="21" spans="1:13" x14ac:dyDescent="0.3">
      <c r="A21" t="s">
        <v>41</v>
      </c>
      <c r="B21" t="s">
        <v>1</v>
      </c>
      <c r="C21" s="1">
        <v>45544</v>
      </c>
      <c r="D21" t="s">
        <v>15</v>
      </c>
      <c r="E21" t="s">
        <v>12</v>
      </c>
      <c r="F21" s="2">
        <v>6158</v>
      </c>
      <c r="G21" s="2">
        <v>277</v>
      </c>
      <c r="H21" s="2">
        <v>512</v>
      </c>
      <c r="I21" s="2">
        <v>2189</v>
      </c>
      <c r="J21" s="2">
        <v>76881</v>
      </c>
      <c r="K21" s="2">
        <v>124878</v>
      </c>
      <c r="L21" s="4">
        <v>5.5630295168084001E-2</v>
      </c>
      <c r="M21" t="s">
        <v>17</v>
      </c>
    </row>
    <row r="22" spans="1:13" x14ac:dyDescent="0.3">
      <c r="A22" t="s">
        <v>42</v>
      </c>
      <c r="B22" t="s">
        <v>28</v>
      </c>
      <c r="C22" s="1">
        <v>45908</v>
      </c>
      <c r="D22" t="s">
        <v>22</v>
      </c>
      <c r="E22" t="s">
        <v>43</v>
      </c>
      <c r="F22" s="2">
        <v>22309</v>
      </c>
      <c r="G22" s="2">
        <v>773</v>
      </c>
      <c r="H22" s="2">
        <v>854</v>
      </c>
      <c r="I22" s="2">
        <v>2387</v>
      </c>
      <c r="J22" s="2">
        <v>72396</v>
      </c>
      <c r="K22" s="2">
        <v>97056</v>
      </c>
      <c r="L22" s="4">
        <v>0.24662050774810401</v>
      </c>
      <c r="M22" t="s">
        <v>8</v>
      </c>
    </row>
    <row r="23" spans="1:13" x14ac:dyDescent="0.3">
      <c r="A23" t="s">
        <v>44</v>
      </c>
      <c r="B23" t="s">
        <v>10</v>
      </c>
      <c r="C23" s="1">
        <v>45715</v>
      </c>
      <c r="D23" t="s">
        <v>2</v>
      </c>
      <c r="E23" t="s">
        <v>23</v>
      </c>
      <c r="F23" s="2">
        <v>8970</v>
      </c>
      <c r="G23" s="2">
        <v>331</v>
      </c>
      <c r="H23" s="2">
        <v>968</v>
      </c>
      <c r="I23" s="2">
        <v>2296</v>
      </c>
      <c r="J23" s="2">
        <v>24613</v>
      </c>
      <c r="K23" s="2">
        <v>198562</v>
      </c>
      <c r="L23" s="4">
        <v>5.1716844109144802E-2</v>
      </c>
      <c r="M23" t="s">
        <v>17</v>
      </c>
    </row>
    <row r="24" spans="1:13" x14ac:dyDescent="0.3">
      <c r="A24" t="s">
        <v>45</v>
      </c>
      <c r="B24" t="s">
        <v>28</v>
      </c>
      <c r="C24" s="1">
        <v>45602</v>
      </c>
      <c r="D24" t="s">
        <v>22</v>
      </c>
      <c r="E24" t="s">
        <v>38</v>
      </c>
      <c r="F24" s="2">
        <v>8938</v>
      </c>
      <c r="G24" s="2">
        <v>800</v>
      </c>
      <c r="H24" s="2">
        <v>842</v>
      </c>
      <c r="I24" s="2">
        <v>2072</v>
      </c>
      <c r="J24" s="2">
        <v>31736</v>
      </c>
      <c r="K24" s="2">
        <v>59975</v>
      </c>
      <c r="L24" s="4">
        <v>0.17640683618174199</v>
      </c>
      <c r="M24" t="s">
        <v>17</v>
      </c>
    </row>
    <row r="25" spans="1:13" x14ac:dyDescent="0.3">
      <c r="A25" t="s">
        <v>46</v>
      </c>
      <c r="B25" t="s">
        <v>6</v>
      </c>
      <c r="C25" s="1">
        <v>45680</v>
      </c>
      <c r="D25" t="s">
        <v>15</v>
      </c>
      <c r="E25" t="s">
        <v>29</v>
      </c>
      <c r="F25" s="2">
        <v>23168</v>
      </c>
      <c r="G25" s="2">
        <v>1265</v>
      </c>
      <c r="H25" s="2">
        <v>441</v>
      </c>
      <c r="I25" s="2">
        <v>1612</v>
      </c>
      <c r="J25" s="2">
        <v>66615</v>
      </c>
      <c r="K25" s="2">
        <v>197795</v>
      </c>
      <c r="L25" s="4">
        <v>0.125756465026922</v>
      </c>
      <c r="M25" t="s">
        <v>17</v>
      </c>
    </row>
    <row r="26" spans="1:13" x14ac:dyDescent="0.3">
      <c r="A26" t="s">
        <v>47</v>
      </c>
      <c r="B26" t="s">
        <v>6</v>
      </c>
      <c r="C26" s="1">
        <v>45909</v>
      </c>
      <c r="D26" t="s">
        <v>15</v>
      </c>
      <c r="E26" t="s">
        <v>25</v>
      </c>
      <c r="F26" s="2">
        <v>15772</v>
      </c>
      <c r="G26" s="2">
        <v>288</v>
      </c>
      <c r="H26" s="2">
        <v>520</v>
      </c>
      <c r="I26" s="2">
        <v>1585</v>
      </c>
      <c r="J26" s="2">
        <v>59182</v>
      </c>
      <c r="K26" s="2">
        <v>194351</v>
      </c>
      <c r="L26" s="4">
        <v>8.5309568769906002E-2</v>
      </c>
      <c r="M26" t="s">
        <v>8</v>
      </c>
    </row>
    <row r="27" spans="1:13" x14ac:dyDescent="0.3">
      <c r="A27" t="s">
        <v>48</v>
      </c>
      <c r="B27" t="s">
        <v>28</v>
      </c>
      <c r="C27" s="1">
        <v>45752</v>
      </c>
      <c r="D27" t="s">
        <v>15</v>
      </c>
      <c r="E27" t="s">
        <v>25</v>
      </c>
      <c r="F27" s="2">
        <v>22384</v>
      </c>
      <c r="G27" s="2">
        <v>601</v>
      </c>
      <c r="H27" s="2">
        <v>943</v>
      </c>
      <c r="I27" s="2">
        <v>515</v>
      </c>
      <c r="J27" s="2">
        <v>41309</v>
      </c>
      <c r="K27" s="2">
        <v>249373</v>
      </c>
      <c r="L27" s="4">
        <v>9.5952649244304702E-2</v>
      </c>
      <c r="M27" t="s">
        <v>4</v>
      </c>
    </row>
    <row r="28" spans="1:13" x14ac:dyDescent="0.3">
      <c r="A28" t="s">
        <v>49</v>
      </c>
      <c r="B28" t="s">
        <v>28</v>
      </c>
      <c r="C28" s="1">
        <v>45552</v>
      </c>
      <c r="D28" t="s">
        <v>11</v>
      </c>
      <c r="E28" t="s">
        <v>29</v>
      </c>
      <c r="F28" s="2">
        <v>20017</v>
      </c>
      <c r="G28" s="2">
        <v>495</v>
      </c>
      <c r="H28" s="2">
        <v>178</v>
      </c>
      <c r="I28" s="2">
        <v>2683</v>
      </c>
      <c r="J28" s="2">
        <v>32244</v>
      </c>
      <c r="K28" s="2">
        <v>182633</v>
      </c>
      <c r="L28" s="4">
        <v>0.113287302951821</v>
      </c>
      <c r="M28" t="s">
        <v>4</v>
      </c>
    </row>
    <row r="29" spans="1:13" x14ac:dyDescent="0.3">
      <c r="A29" t="s">
        <v>50</v>
      </c>
      <c r="B29" t="s">
        <v>28</v>
      </c>
      <c r="C29" s="1">
        <v>45720</v>
      </c>
      <c r="D29" t="s">
        <v>11</v>
      </c>
      <c r="E29" t="s">
        <v>20</v>
      </c>
      <c r="F29" s="2">
        <v>12344</v>
      </c>
      <c r="G29" s="2">
        <v>815</v>
      </c>
      <c r="H29" s="2">
        <v>298</v>
      </c>
      <c r="I29" s="2">
        <v>2439</v>
      </c>
      <c r="J29" s="2">
        <v>6259</v>
      </c>
      <c r="K29" s="2">
        <v>237133</v>
      </c>
      <c r="L29" s="4">
        <v>5.6748744375519203E-2</v>
      </c>
      <c r="M29" t="s">
        <v>17</v>
      </c>
    </row>
    <row r="30" spans="1:13" x14ac:dyDescent="0.3">
      <c r="A30" t="s">
        <v>51</v>
      </c>
      <c r="B30" t="s">
        <v>6</v>
      </c>
      <c r="C30" s="1">
        <v>45910</v>
      </c>
      <c r="D30" t="s">
        <v>22</v>
      </c>
      <c r="E30" t="s">
        <v>52</v>
      </c>
      <c r="F30" s="2">
        <v>9266</v>
      </c>
      <c r="G30" s="2">
        <v>999</v>
      </c>
      <c r="H30" s="2">
        <v>928</v>
      </c>
      <c r="I30" s="2">
        <v>2700</v>
      </c>
      <c r="J30" s="2">
        <v>12264</v>
      </c>
      <c r="K30" s="2">
        <v>128397</v>
      </c>
      <c r="L30" s="4">
        <v>8.7174933993784898E-2</v>
      </c>
      <c r="M30" t="s">
        <v>8</v>
      </c>
    </row>
    <row r="31" spans="1:13" x14ac:dyDescent="0.3">
      <c r="A31" t="s">
        <v>53</v>
      </c>
      <c r="B31" t="s">
        <v>6</v>
      </c>
      <c r="C31" s="1">
        <v>45713</v>
      </c>
      <c r="D31" t="s">
        <v>22</v>
      </c>
      <c r="E31" t="s">
        <v>43</v>
      </c>
      <c r="F31" s="2">
        <v>10702</v>
      </c>
      <c r="G31" s="2">
        <v>621</v>
      </c>
      <c r="H31" s="2">
        <v>445</v>
      </c>
      <c r="I31" s="2">
        <v>2918</v>
      </c>
      <c r="J31" s="2">
        <v>54808</v>
      </c>
      <c r="K31" s="2">
        <v>220225</v>
      </c>
      <c r="L31" s="4">
        <v>5.3436258372119398E-2</v>
      </c>
      <c r="M31" t="s">
        <v>4</v>
      </c>
    </row>
    <row r="32" spans="1:13" x14ac:dyDescent="0.3">
      <c r="A32" t="s">
        <v>54</v>
      </c>
      <c r="B32" t="s">
        <v>10</v>
      </c>
      <c r="C32" s="1">
        <v>45642</v>
      </c>
      <c r="D32" t="s">
        <v>2</v>
      </c>
      <c r="E32" t="s">
        <v>16</v>
      </c>
      <c r="F32" s="2">
        <v>2384</v>
      </c>
      <c r="G32" s="2">
        <v>1246</v>
      </c>
      <c r="H32" s="2">
        <v>160</v>
      </c>
      <c r="I32" s="2">
        <v>2004</v>
      </c>
      <c r="J32" s="2">
        <v>2701</v>
      </c>
      <c r="K32" s="2">
        <v>73142</v>
      </c>
      <c r="L32" s="4">
        <v>5.18170134806267E-2</v>
      </c>
      <c r="M32" t="s">
        <v>4</v>
      </c>
    </row>
    <row r="33" spans="1:13" x14ac:dyDescent="0.3">
      <c r="A33" t="s">
        <v>55</v>
      </c>
      <c r="B33" t="s">
        <v>10</v>
      </c>
      <c r="C33" s="1">
        <v>45504</v>
      </c>
      <c r="D33" t="s">
        <v>2</v>
      </c>
      <c r="E33" t="s">
        <v>38</v>
      </c>
      <c r="F33" s="2">
        <v>2404</v>
      </c>
      <c r="G33" s="2">
        <v>774</v>
      </c>
      <c r="H33" s="2">
        <v>661</v>
      </c>
      <c r="I33" s="2">
        <v>662</v>
      </c>
      <c r="J33" s="2">
        <v>12676</v>
      </c>
      <c r="K33" s="2">
        <v>66916</v>
      </c>
      <c r="L33" s="4">
        <v>5.7370434574690599E-2</v>
      </c>
      <c r="M33" t="s">
        <v>4</v>
      </c>
    </row>
    <row r="34" spans="1:13" x14ac:dyDescent="0.3">
      <c r="A34" t="s">
        <v>56</v>
      </c>
      <c r="B34" t="s">
        <v>6</v>
      </c>
      <c r="C34" s="1">
        <v>45911</v>
      </c>
      <c r="D34" t="s">
        <v>22</v>
      </c>
      <c r="E34" t="s">
        <v>29</v>
      </c>
      <c r="F34" s="2">
        <v>10175</v>
      </c>
      <c r="G34" s="2">
        <v>342</v>
      </c>
      <c r="H34" s="2">
        <v>825</v>
      </c>
      <c r="I34" s="2">
        <v>2904</v>
      </c>
      <c r="J34" s="2">
        <v>15954</v>
      </c>
      <c r="K34" s="2">
        <v>104324</v>
      </c>
      <c r="L34" s="4">
        <v>0.10871899083624099</v>
      </c>
      <c r="M34" t="s">
        <v>8</v>
      </c>
    </row>
    <row r="35" spans="1:13" x14ac:dyDescent="0.3">
      <c r="A35" t="s">
        <v>57</v>
      </c>
      <c r="B35" t="s">
        <v>28</v>
      </c>
      <c r="C35" s="1">
        <v>45912</v>
      </c>
      <c r="D35" t="s">
        <v>11</v>
      </c>
      <c r="E35" t="s">
        <v>12</v>
      </c>
      <c r="F35" s="2">
        <v>17158</v>
      </c>
      <c r="G35" s="2">
        <v>1192</v>
      </c>
      <c r="H35" s="2">
        <v>262</v>
      </c>
      <c r="I35" s="2">
        <v>2016</v>
      </c>
      <c r="J35" s="2">
        <v>28771</v>
      </c>
      <c r="K35" s="2">
        <v>216037</v>
      </c>
      <c r="L35" s="4">
        <v>8.6151909163708101E-2</v>
      </c>
      <c r="M35" t="s">
        <v>8</v>
      </c>
    </row>
    <row r="36" spans="1:13" x14ac:dyDescent="0.3">
      <c r="A36" t="s">
        <v>58</v>
      </c>
      <c r="B36" t="s">
        <v>28</v>
      </c>
      <c r="C36" s="1">
        <v>45626</v>
      </c>
      <c r="D36" t="s">
        <v>15</v>
      </c>
      <c r="E36" t="s">
        <v>38</v>
      </c>
      <c r="F36" s="2">
        <v>14763</v>
      </c>
      <c r="G36" s="2">
        <v>864</v>
      </c>
      <c r="H36" s="2">
        <v>336</v>
      </c>
      <c r="I36" s="2">
        <v>1493</v>
      </c>
      <c r="J36" s="2">
        <v>33310</v>
      </c>
      <c r="K36" s="2">
        <v>165932</v>
      </c>
      <c r="L36" s="4">
        <v>9.6202058674637797E-2</v>
      </c>
      <c r="M36" t="s">
        <v>17</v>
      </c>
    </row>
    <row r="37" spans="1:13" x14ac:dyDescent="0.3">
      <c r="A37" t="s">
        <v>59</v>
      </c>
      <c r="B37" t="s">
        <v>10</v>
      </c>
      <c r="C37" s="1">
        <v>45766</v>
      </c>
      <c r="D37" t="s">
        <v>22</v>
      </c>
      <c r="E37" t="s">
        <v>52</v>
      </c>
      <c r="F37" s="2">
        <v>20384</v>
      </c>
      <c r="G37" s="2">
        <v>344</v>
      </c>
      <c r="H37" s="2">
        <v>956</v>
      </c>
      <c r="I37" s="2">
        <v>655</v>
      </c>
      <c r="J37" s="2">
        <v>67621</v>
      </c>
      <c r="K37" s="2">
        <v>175720</v>
      </c>
      <c r="L37" s="4">
        <v>0.12340086501252</v>
      </c>
      <c r="M37" t="s">
        <v>13</v>
      </c>
    </row>
    <row r="38" spans="1:13" x14ac:dyDescent="0.3">
      <c r="A38" t="s">
        <v>60</v>
      </c>
      <c r="B38" t="s">
        <v>6</v>
      </c>
      <c r="C38" s="1">
        <v>45663</v>
      </c>
      <c r="D38" t="s">
        <v>2</v>
      </c>
      <c r="E38" t="s">
        <v>12</v>
      </c>
      <c r="F38" s="2">
        <v>11860</v>
      </c>
      <c r="G38" s="2">
        <v>1448</v>
      </c>
      <c r="H38" s="2">
        <v>893</v>
      </c>
      <c r="I38" s="2">
        <v>490</v>
      </c>
      <c r="J38" s="2">
        <v>23518</v>
      </c>
      <c r="K38" s="2">
        <v>206205</v>
      </c>
      <c r="L38" s="4">
        <v>6.8868359157149395E-2</v>
      </c>
      <c r="M38" t="s">
        <v>4</v>
      </c>
    </row>
    <row r="39" spans="1:13" x14ac:dyDescent="0.3">
      <c r="A39" t="s">
        <v>61</v>
      </c>
      <c r="B39" t="s">
        <v>10</v>
      </c>
      <c r="C39" s="1">
        <v>45705</v>
      </c>
      <c r="D39" t="s">
        <v>11</v>
      </c>
      <c r="E39" t="s">
        <v>7</v>
      </c>
      <c r="F39" s="2">
        <v>7989</v>
      </c>
      <c r="G39" s="2">
        <v>1206</v>
      </c>
      <c r="H39" s="2">
        <v>376</v>
      </c>
      <c r="I39" s="2">
        <v>2769</v>
      </c>
      <c r="J39" s="2">
        <v>27550</v>
      </c>
      <c r="K39" s="2">
        <v>221749</v>
      </c>
      <c r="L39" s="4">
        <v>4.3161412227338103E-2</v>
      </c>
      <c r="M39" t="s">
        <v>13</v>
      </c>
    </row>
    <row r="40" spans="1:13" x14ac:dyDescent="0.3">
      <c r="A40" t="s">
        <v>62</v>
      </c>
      <c r="B40" t="s">
        <v>10</v>
      </c>
      <c r="C40" s="1">
        <v>45913</v>
      </c>
      <c r="D40" t="s">
        <v>22</v>
      </c>
      <c r="E40" t="s">
        <v>23</v>
      </c>
      <c r="F40" s="2">
        <v>17106</v>
      </c>
      <c r="G40" s="2">
        <v>702</v>
      </c>
      <c r="H40" s="2">
        <v>459</v>
      </c>
      <c r="I40" s="2">
        <v>999</v>
      </c>
      <c r="J40" s="2">
        <v>59627</v>
      </c>
      <c r="K40" s="2">
        <v>136059</v>
      </c>
      <c r="L40" s="4">
        <v>0.13425793222058099</v>
      </c>
      <c r="M40" t="s">
        <v>8</v>
      </c>
    </row>
    <row r="41" spans="1:13" x14ac:dyDescent="0.3">
      <c r="A41" t="s">
        <v>63</v>
      </c>
      <c r="B41" t="s">
        <v>1</v>
      </c>
      <c r="C41" s="1">
        <v>45914</v>
      </c>
      <c r="D41" t="s">
        <v>22</v>
      </c>
      <c r="E41" t="s">
        <v>25</v>
      </c>
      <c r="F41" s="2">
        <v>19844</v>
      </c>
      <c r="G41" s="2">
        <v>1020</v>
      </c>
      <c r="H41" s="2">
        <v>247</v>
      </c>
      <c r="I41" s="2">
        <v>2354</v>
      </c>
      <c r="J41" s="2">
        <v>37792</v>
      </c>
      <c r="K41" s="2">
        <v>138317</v>
      </c>
      <c r="L41" s="4">
        <v>0.152627659651381</v>
      </c>
      <c r="M41" t="s">
        <v>8</v>
      </c>
    </row>
    <row r="42" spans="1:13" x14ac:dyDescent="0.3">
      <c r="A42" t="s">
        <v>64</v>
      </c>
      <c r="B42" t="s">
        <v>1</v>
      </c>
      <c r="C42" s="1">
        <v>45915</v>
      </c>
      <c r="D42" t="s">
        <v>11</v>
      </c>
      <c r="E42" t="s">
        <v>7</v>
      </c>
      <c r="F42" s="2">
        <v>5636</v>
      </c>
      <c r="G42" s="2">
        <v>303</v>
      </c>
      <c r="H42" s="2">
        <v>204</v>
      </c>
      <c r="I42" s="2">
        <v>2480</v>
      </c>
      <c r="J42" s="2">
        <v>7377</v>
      </c>
      <c r="K42" s="2">
        <v>241207</v>
      </c>
      <c r="L42" s="4">
        <v>2.5467751765081401E-2</v>
      </c>
      <c r="M42" t="s">
        <v>8</v>
      </c>
    </row>
    <row r="43" spans="1:13" x14ac:dyDescent="0.3">
      <c r="A43" t="s">
        <v>65</v>
      </c>
      <c r="B43" t="s">
        <v>1</v>
      </c>
      <c r="C43" s="1">
        <v>45721</v>
      </c>
      <c r="D43" t="s">
        <v>22</v>
      </c>
      <c r="E43" t="s">
        <v>38</v>
      </c>
      <c r="F43" s="2">
        <v>12916</v>
      </c>
      <c r="G43" s="2">
        <v>1262</v>
      </c>
      <c r="H43" s="2">
        <v>772</v>
      </c>
      <c r="I43" s="2">
        <v>856</v>
      </c>
      <c r="J43" s="2">
        <v>11496</v>
      </c>
      <c r="K43" s="2">
        <v>75046</v>
      </c>
      <c r="L43" s="4">
        <v>0.199211150494363</v>
      </c>
      <c r="M43" t="s">
        <v>13</v>
      </c>
    </row>
    <row r="44" spans="1:13" x14ac:dyDescent="0.3">
      <c r="A44" t="s">
        <v>66</v>
      </c>
      <c r="B44" t="s">
        <v>28</v>
      </c>
      <c r="C44" s="1">
        <v>45916</v>
      </c>
      <c r="D44" t="s">
        <v>11</v>
      </c>
      <c r="E44" t="s">
        <v>52</v>
      </c>
      <c r="F44" s="2">
        <v>6809</v>
      </c>
      <c r="G44" s="2">
        <v>397</v>
      </c>
      <c r="H44" s="2">
        <v>813</v>
      </c>
      <c r="I44" s="2">
        <v>1125</v>
      </c>
      <c r="J44" s="2">
        <v>12206</v>
      </c>
      <c r="K44" s="2">
        <v>218136</v>
      </c>
      <c r="L44" s="4">
        <v>3.6761469908680802E-2</v>
      </c>
      <c r="M44" t="s">
        <v>8</v>
      </c>
    </row>
    <row r="45" spans="1:13" x14ac:dyDescent="0.3">
      <c r="A45" t="s">
        <v>67</v>
      </c>
      <c r="B45" t="s">
        <v>6</v>
      </c>
      <c r="C45" s="1">
        <v>45718</v>
      </c>
      <c r="D45" t="s">
        <v>15</v>
      </c>
      <c r="E45" t="s">
        <v>43</v>
      </c>
      <c r="F45" s="2">
        <v>22562</v>
      </c>
      <c r="G45" s="2">
        <v>778</v>
      </c>
      <c r="H45" s="2">
        <v>907</v>
      </c>
      <c r="I45" s="2">
        <v>1354</v>
      </c>
      <c r="J45" s="2">
        <v>34475</v>
      </c>
      <c r="K45" s="2">
        <v>141459</v>
      </c>
      <c r="L45" s="4">
        <v>0.171406555963212</v>
      </c>
      <c r="M45" t="s">
        <v>17</v>
      </c>
    </row>
    <row r="46" spans="1:13" x14ac:dyDescent="0.3">
      <c r="A46" t="s">
        <v>68</v>
      </c>
      <c r="B46" t="s">
        <v>6</v>
      </c>
      <c r="C46" s="1">
        <v>45917</v>
      </c>
      <c r="D46" t="s">
        <v>11</v>
      </c>
      <c r="E46" t="s">
        <v>23</v>
      </c>
      <c r="F46" s="2">
        <v>15456</v>
      </c>
      <c r="G46" s="2">
        <v>590</v>
      </c>
      <c r="H46" s="2">
        <v>555</v>
      </c>
      <c r="I46" s="2">
        <v>2882</v>
      </c>
      <c r="J46" s="2">
        <v>49816</v>
      </c>
      <c r="K46" s="2">
        <v>240422</v>
      </c>
      <c r="L46" s="4">
        <v>6.9049421433978603E-2</v>
      </c>
      <c r="M46" t="s">
        <v>8</v>
      </c>
    </row>
    <row r="47" spans="1:13" x14ac:dyDescent="0.3">
      <c r="A47" t="s">
        <v>69</v>
      </c>
      <c r="B47" t="s">
        <v>6</v>
      </c>
      <c r="C47" s="1">
        <v>45779</v>
      </c>
      <c r="D47" t="s">
        <v>11</v>
      </c>
      <c r="E47" t="s">
        <v>38</v>
      </c>
      <c r="F47" s="2">
        <v>17444</v>
      </c>
      <c r="G47" s="2">
        <v>1402</v>
      </c>
      <c r="H47" s="2">
        <v>218</v>
      </c>
      <c r="I47" s="2">
        <v>725</v>
      </c>
      <c r="J47" s="2">
        <v>8710</v>
      </c>
      <c r="K47" s="2">
        <v>85893</v>
      </c>
      <c r="L47" s="4">
        <v>0.221950566402384</v>
      </c>
      <c r="M47" t="s">
        <v>33</v>
      </c>
    </row>
    <row r="48" spans="1:13" x14ac:dyDescent="0.3">
      <c r="A48" t="s">
        <v>70</v>
      </c>
      <c r="B48" t="s">
        <v>6</v>
      </c>
      <c r="C48" s="1">
        <v>45712</v>
      </c>
      <c r="D48" t="s">
        <v>11</v>
      </c>
      <c r="E48" t="s">
        <v>29</v>
      </c>
      <c r="F48" s="2">
        <v>24984</v>
      </c>
      <c r="G48" s="2">
        <v>753</v>
      </c>
      <c r="H48" s="2">
        <v>461</v>
      </c>
      <c r="I48" s="2">
        <v>2710</v>
      </c>
      <c r="J48" s="2">
        <v>20792</v>
      </c>
      <c r="K48" s="2">
        <v>141520</v>
      </c>
      <c r="L48" s="4">
        <v>0.18511871113623499</v>
      </c>
      <c r="M48" t="s">
        <v>13</v>
      </c>
    </row>
    <row r="49" spans="1:13" x14ac:dyDescent="0.3">
      <c r="A49" t="s">
        <v>71</v>
      </c>
      <c r="B49" t="s">
        <v>1</v>
      </c>
      <c r="C49" s="1">
        <v>45727</v>
      </c>
      <c r="D49" t="s">
        <v>22</v>
      </c>
      <c r="E49" t="s">
        <v>3</v>
      </c>
      <c r="F49" s="2">
        <v>7997</v>
      </c>
      <c r="G49" s="2">
        <v>1238</v>
      </c>
      <c r="H49" s="2">
        <v>438</v>
      </c>
      <c r="I49" s="2">
        <v>1874</v>
      </c>
      <c r="J49" s="2">
        <v>36272</v>
      </c>
      <c r="K49" s="2">
        <v>165818</v>
      </c>
      <c r="L49" s="4">
        <v>5.8335042034037297E-2</v>
      </c>
      <c r="M49" t="s">
        <v>33</v>
      </c>
    </row>
    <row r="50" spans="1:13" x14ac:dyDescent="0.3">
      <c r="A50" t="s">
        <v>72</v>
      </c>
      <c r="B50" t="s">
        <v>28</v>
      </c>
      <c r="C50" s="1">
        <v>45918</v>
      </c>
      <c r="D50" t="s">
        <v>22</v>
      </c>
      <c r="E50" t="s">
        <v>38</v>
      </c>
      <c r="F50" s="2">
        <v>4048</v>
      </c>
      <c r="G50" s="2">
        <v>677</v>
      </c>
      <c r="H50" s="2">
        <v>911</v>
      </c>
      <c r="I50" s="2">
        <v>2429</v>
      </c>
      <c r="J50" s="2">
        <v>27361</v>
      </c>
      <c r="K50" s="2">
        <v>101272</v>
      </c>
      <c r="L50" s="4">
        <v>5.5652105221581503E-2</v>
      </c>
      <c r="M50" t="s">
        <v>8</v>
      </c>
    </row>
    <row r="51" spans="1:13" x14ac:dyDescent="0.3">
      <c r="A51" t="s">
        <v>73</v>
      </c>
      <c r="B51" t="s">
        <v>28</v>
      </c>
      <c r="C51" s="1">
        <v>45476</v>
      </c>
      <c r="D51" t="s">
        <v>11</v>
      </c>
      <c r="E51" t="s">
        <v>23</v>
      </c>
      <c r="F51" s="2">
        <v>14338</v>
      </c>
      <c r="G51" s="2">
        <v>1454</v>
      </c>
      <c r="H51" s="2">
        <v>697</v>
      </c>
      <c r="I51" s="2">
        <v>2703</v>
      </c>
      <c r="J51" s="2">
        <v>21288</v>
      </c>
      <c r="K51" s="2">
        <v>107649</v>
      </c>
      <c r="L51" s="4">
        <v>0.15317374058281999</v>
      </c>
      <c r="M51" t="s">
        <v>17</v>
      </c>
    </row>
    <row r="52" spans="1:13" x14ac:dyDescent="0.3">
      <c r="A52" t="s">
        <v>74</v>
      </c>
      <c r="B52" t="s">
        <v>1</v>
      </c>
      <c r="C52" s="1">
        <v>45456</v>
      </c>
      <c r="D52" t="s">
        <v>22</v>
      </c>
      <c r="E52" t="s">
        <v>25</v>
      </c>
      <c r="F52" s="2">
        <v>23164</v>
      </c>
      <c r="G52" s="2">
        <v>1122</v>
      </c>
      <c r="H52" s="2">
        <v>900</v>
      </c>
      <c r="I52" s="2">
        <v>888</v>
      </c>
      <c r="J52" s="2">
        <v>36938</v>
      </c>
      <c r="K52" s="2">
        <v>104674</v>
      </c>
      <c r="L52" s="4">
        <v>0.240613714962646</v>
      </c>
      <c r="M52" t="s">
        <v>4</v>
      </c>
    </row>
    <row r="53" spans="1:13" x14ac:dyDescent="0.3">
      <c r="A53" t="s">
        <v>75</v>
      </c>
      <c r="B53" t="s">
        <v>28</v>
      </c>
      <c r="C53" s="1">
        <v>45919</v>
      </c>
      <c r="D53" t="s">
        <v>2</v>
      </c>
      <c r="E53" t="s">
        <v>25</v>
      </c>
      <c r="F53" s="2">
        <v>19100</v>
      </c>
      <c r="G53" s="2">
        <v>619</v>
      </c>
      <c r="H53" s="2">
        <v>297</v>
      </c>
      <c r="I53" s="2">
        <v>2312</v>
      </c>
      <c r="J53" s="2">
        <v>9730</v>
      </c>
      <c r="K53" s="2">
        <v>184832</v>
      </c>
      <c r="L53" s="4">
        <v>0.108292936288089</v>
      </c>
      <c r="M53" t="s">
        <v>8</v>
      </c>
    </row>
    <row r="54" spans="1:13" x14ac:dyDescent="0.3">
      <c r="A54" t="s">
        <v>76</v>
      </c>
      <c r="B54" t="s">
        <v>1</v>
      </c>
      <c r="C54" s="1">
        <v>45712</v>
      </c>
      <c r="D54" t="s">
        <v>2</v>
      </c>
      <c r="E54" t="s">
        <v>38</v>
      </c>
      <c r="F54" s="2">
        <v>23949</v>
      </c>
      <c r="G54" s="2">
        <v>356</v>
      </c>
      <c r="H54" s="2">
        <v>616</v>
      </c>
      <c r="I54" s="2">
        <v>1847</v>
      </c>
      <c r="J54" s="2">
        <v>3144</v>
      </c>
      <c r="K54" s="2">
        <v>192999</v>
      </c>
      <c r="L54" s="4">
        <v>0.129125021373168</v>
      </c>
      <c r="M54" t="s">
        <v>17</v>
      </c>
    </row>
    <row r="55" spans="1:13" x14ac:dyDescent="0.3">
      <c r="A55" t="s">
        <v>77</v>
      </c>
      <c r="B55" t="s">
        <v>6</v>
      </c>
      <c r="C55" s="1">
        <v>45729</v>
      </c>
      <c r="D55" t="s">
        <v>22</v>
      </c>
      <c r="E55" t="s">
        <v>12</v>
      </c>
      <c r="F55" s="2">
        <v>6544</v>
      </c>
      <c r="G55" s="2">
        <v>749</v>
      </c>
      <c r="H55" s="2">
        <v>888</v>
      </c>
      <c r="I55" s="2">
        <v>594</v>
      </c>
      <c r="J55" s="2">
        <v>18171</v>
      </c>
      <c r="K55" s="2">
        <v>126475</v>
      </c>
      <c r="L55" s="4">
        <v>6.4684720300454607E-2</v>
      </c>
      <c r="M55" t="s">
        <v>13</v>
      </c>
    </row>
    <row r="56" spans="1:13" x14ac:dyDescent="0.3">
      <c r="A56" t="s">
        <v>78</v>
      </c>
      <c r="B56" t="s">
        <v>1</v>
      </c>
      <c r="C56" s="1">
        <v>45460</v>
      </c>
      <c r="D56" t="s">
        <v>22</v>
      </c>
      <c r="E56" t="s">
        <v>3</v>
      </c>
      <c r="F56" s="2">
        <v>6976</v>
      </c>
      <c r="G56" s="2">
        <v>1320</v>
      </c>
      <c r="H56" s="2">
        <v>393</v>
      </c>
      <c r="I56" s="2">
        <v>2285</v>
      </c>
      <c r="J56" s="2">
        <v>14049</v>
      </c>
      <c r="K56" s="2">
        <v>101367</v>
      </c>
      <c r="L56" s="4">
        <v>8.57182317716811E-2</v>
      </c>
      <c r="M56" t="s">
        <v>33</v>
      </c>
    </row>
    <row r="57" spans="1:13" x14ac:dyDescent="0.3">
      <c r="A57" t="s">
        <v>79</v>
      </c>
      <c r="B57" t="s">
        <v>6</v>
      </c>
      <c r="C57" s="1">
        <v>45644</v>
      </c>
      <c r="D57" t="s">
        <v>11</v>
      </c>
      <c r="E57" t="s">
        <v>29</v>
      </c>
      <c r="F57" s="2">
        <v>14775</v>
      </c>
      <c r="G57" s="2">
        <v>1220</v>
      </c>
      <c r="H57" s="2">
        <v>640</v>
      </c>
      <c r="I57" s="2">
        <v>1547</v>
      </c>
      <c r="J57" s="2">
        <v>28527</v>
      </c>
      <c r="K57" s="2">
        <v>183660</v>
      </c>
      <c r="L57" s="4">
        <v>9.0574975498203203E-2</v>
      </c>
      <c r="M57" t="s">
        <v>33</v>
      </c>
    </row>
    <row r="58" spans="1:13" x14ac:dyDescent="0.3">
      <c r="A58" t="s">
        <v>80</v>
      </c>
      <c r="B58" t="s">
        <v>6</v>
      </c>
      <c r="C58" s="1">
        <v>45586</v>
      </c>
      <c r="D58" t="s">
        <v>15</v>
      </c>
      <c r="E58" t="s">
        <v>38</v>
      </c>
      <c r="F58" s="2">
        <v>12015</v>
      </c>
      <c r="G58" s="2">
        <v>1196</v>
      </c>
      <c r="H58" s="2">
        <v>998</v>
      </c>
      <c r="I58" s="2">
        <v>1848</v>
      </c>
      <c r="J58" s="2">
        <v>44739</v>
      </c>
      <c r="K58" s="2">
        <v>161750</v>
      </c>
      <c r="L58" s="4">
        <v>8.7845440494590393E-2</v>
      </c>
      <c r="M58" t="s">
        <v>33</v>
      </c>
    </row>
    <row r="59" spans="1:13" x14ac:dyDescent="0.3">
      <c r="A59" t="s">
        <v>81</v>
      </c>
      <c r="B59" t="s">
        <v>10</v>
      </c>
      <c r="C59" s="1">
        <v>45762</v>
      </c>
      <c r="D59" t="s">
        <v>22</v>
      </c>
      <c r="E59" t="s">
        <v>12</v>
      </c>
      <c r="F59" s="2">
        <v>5419</v>
      </c>
      <c r="G59" s="2">
        <v>1150</v>
      </c>
      <c r="H59" s="2">
        <v>656</v>
      </c>
      <c r="I59" s="2">
        <v>1990</v>
      </c>
      <c r="J59" s="2">
        <v>410</v>
      </c>
      <c r="K59" s="2">
        <v>158154</v>
      </c>
      <c r="L59" s="4">
        <v>4.56833213197263E-2</v>
      </c>
      <c r="M59" t="s">
        <v>13</v>
      </c>
    </row>
    <row r="60" spans="1:13" x14ac:dyDescent="0.3">
      <c r="A60" t="s">
        <v>82</v>
      </c>
      <c r="B60" t="s">
        <v>1</v>
      </c>
      <c r="C60" s="1">
        <v>45465</v>
      </c>
      <c r="D60" t="s">
        <v>2</v>
      </c>
      <c r="E60" t="s">
        <v>25</v>
      </c>
      <c r="F60" s="2">
        <v>16430</v>
      </c>
      <c r="G60" s="2">
        <v>488</v>
      </c>
      <c r="H60" s="2">
        <v>514</v>
      </c>
      <c r="I60" s="2">
        <v>1436</v>
      </c>
      <c r="J60" s="2">
        <v>30059</v>
      </c>
      <c r="K60" s="2">
        <v>223305</v>
      </c>
      <c r="L60" s="4">
        <v>7.8063634938760895E-2</v>
      </c>
      <c r="M60" t="s">
        <v>17</v>
      </c>
    </row>
    <row r="61" spans="1:13" x14ac:dyDescent="0.3">
      <c r="A61" t="s">
        <v>83</v>
      </c>
      <c r="B61" t="s">
        <v>10</v>
      </c>
      <c r="C61" s="1">
        <v>45685</v>
      </c>
      <c r="D61" t="s">
        <v>11</v>
      </c>
      <c r="E61" t="s">
        <v>25</v>
      </c>
      <c r="F61" s="2">
        <v>9239</v>
      </c>
      <c r="G61" s="2">
        <v>1477</v>
      </c>
      <c r="H61" s="2">
        <v>631</v>
      </c>
      <c r="I61" s="2">
        <v>1556</v>
      </c>
      <c r="J61" s="2">
        <v>11580</v>
      </c>
      <c r="K61" s="2">
        <v>84738</v>
      </c>
      <c r="L61" s="4">
        <v>0.13390686586891401</v>
      </c>
      <c r="M61" t="s">
        <v>13</v>
      </c>
    </row>
    <row r="62" spans="1:13" x14ac:dyDescent="0.3">
      <c r="A62" t="s">
        <v>84</v>
      </c>
      <c r="B62" t="s">
        <v>1</v>
      </c>
      <c r="C62" s="1">
        <v>45540</v>
      </c>
      <c r="D62" t="s">
        <v>22</v>
      </c>
      <c r="E62" t="s">
        <v>52</v>
      </c>
      <c r="F62" s="2">
        <v>16489</v>
      </c>
      <c r="G62" s="2">
        <v>395</v>
      </c>
      <c r="H62" s="2">
        <v>350</v>
      </c>
      <c r="I62" s="2">
        <v>2364</v>
      </c>
      <c r="J62" s="2">
        <v>43239</v>
      </c>
      <c r="K62" s="2">
        <v>73397</v>
      </c>
      <c r="L62" s="4">
        <v>0.234805237271278</v>
      </c>
      <c r="M62" t="s">
        <v>33</v>
      </c>
    </row>
    <row r="63" spans="1:13" x14ac:dyDescent="0.3">
      <c r="A63" t="s">
        <v>85</v>
      </c>
      <c r="B63" t="s">
        <v>1</v>
      </c>
      <c r="C63" s="1">
        <v>45920</v>
      </c>
      <c r="D63" t="s">
        <v>2</v>
      </c>
      <c r="E63" t="s">
        <v>38</v>
      </c>
      <c r="F63" s="2">
        <v>18633</v>
      </c>
      <c r="G63" s="2">
        <v>797</v>
      </c>
      <c r="H63" s="2">
        <v>303</v>
      </c>
      <c r="I63" s="2">
        <v>659</v>
      </c>
      <c r="J63" s="2">
        <v>7</v>
      </c>
      <c r="K63" s="2">
        <v>122189</v>
      </c>
      <c r="L63" s="4">
        <v>0.161495715653619</v>
      </c>
      <c r="M63" t="s">
        <v>8</v>
      </c>
    </row>
    <row r="64" spans="1:13" x14ac:dyDescent="0.3">
      <c r="A64" t="s">
        <v>86</v>
      </c>
      <c r="B64" t="s">
        <v>10</v>
      </c>
      <c r="C64" s="1">
        <v>45504</v>
      </c>
      <c r="D64" t="s">
        <v>2</v>
      </c>
      <c r="E64" t="s">
        <v>3</v>
      </c>
      <c r="F64" s="2">
        <v>12357</v>
      </c>
      <c r="G64" s="2">
        <v>716</v>
      </c>
      <c r="H64" s="2">
        <v>599</v>
      </c>
      <c r="I64" s="2">
        <v>999</v>
      </c>
      <c r="J64" s="2">
        <v>89591</v>
      </c>
      <c r="K64" s="2">
        <v>116367</v>
      </c>
      <c r="L64" s="4">
        <v>0.117490353794461</v>
      </c>
      <c r="M64" t="s">
        <v>4</v>
      </c>
    </row>
    <row r="65" spans="1:13" x14ac:dyDescent="0.3">
      <c r="A65" t="s">
        <v>87</v>
      </c>
      <c r="B65" t="s">
        <v>10</v>
      </c>
      <c r="C65" s="1">
        <v>45521</v>
      </c>
      <c r="D65" t="s">
        <v>15</v>
      </c>
      <c r="E65" t="s">
        <v>20</v>
      </c>
      <c r="F65" s="2">
        <v>19154</v>
      </c>
      <c r="G65" s="2">
        <v>1064</v>
      </c>
      <c r="H65" s="2">
        <v>650</v>
      </c>
      <c r="I65" s="2">
        <v>747</v>
      </c>
      <c r="J65" s="2">
        <v>42667</v>
      </c>
      <c r="K65" s="2">
        <v>242332</v>
      </c>
      <c r="L65" s="4">
        <v>8.6113266097750205E-2</v>
      </c>
      <c r="M65" t="s">
        <v>13</v>
      </c>
    </row>
    <row r="66" spans="1:13" x14ac:dyDescent="0.3">
      <c r="A66" t="s">
        <v>88</v>
      </c>
      <c r="B66" t="s">
        <v>1</v>
      </c>
      <c r="C66" s="1">
        <v>45744</v>
      </c>
      <c r="D66" t="s">
        <v>11</v>
      </c>
      <c r="E66" t="s">
        <v>3</v>
      </c>
      <c r="F66" s="2">
        <v>6363</v>
      </c>
      <c r="G66" s="2">
        <v>1341</v>
      </c>
      <c r="H66" s="2">
        <v>222</v>
      </c>
      <c r="I66" s="2">
        <v>2712</v>
      </c>
      <c r="J66" s="2">
        <v>19987</v>
      </c>
      <c r="K66" s="2">
        <v>160585</v>
      </c>
      <c r="L66" s="4">
        <v>4.9357038328610998E-2</v>
      </c>
      <c r="M66" t="s">
        <v>13</v>
      </c>
    </row>
    <row r="67" spans="1:13" x14ac:dyDescent="0.3">
      <c r="A67" t="s">
        <v>89</v>
      </c>
      <c r="B67" t="s">
        <v>28</v>
      </c>
      <c r="C67" s="1">
        <v>45499</v>
      </c>
      <c r="D67" t="s">
        <v>11</v>
      </c>
      <c r="E67" t="s">
        <v>25</v>
      </c>
      <c r="F67" s="2">
        <v>12176</v>
      </c>
      <c r="G67" s="2">
        <v>1005</v>
      </c>
      <c r="H67" s="2">
        <v>862</v>
      </c>
      <c r="I67" s="2">
        <v>974</v>
      </c>
      <c r="J67" s="2">
        <v>2285</v>
      </c>
      <c r="K67" s="2">
        <v>116619</v>
      </c>
      <c r="L67" s="4">
        <v>0.12041777068916699</v>
      </c>
      <c r="M67" t="s">
        <v>17</v>
      </c>
    </row>
    <row r="68" spans="1:13" x14ac:dyDescent="0.3">
      <c r="A68" t="s">
        <v>90</v>
      </c>
      <c r="B68" t="s">
        <v>6</v>
      </c>
      <c r="C68" s="1">
        <v>45745</v>
      </c>
      <c r="D68" t="s">
        <v>15</v>
      </c>
      <c r="E68" t="s">
        <v>25</v>
      </c>
      <c r="F68" s="2">
        <v>19461</v>
      </c>
      <c r="G68" s="2">
        <v>1382</v>
      </c>
      <c r="H68" s="2">
        <v>445</v>
      </c>
      <c r="I68" s="2">
        <v>1307</v>
      </c>
      <c r="J68" s="2">
        <v>84691</v>
      </c>
      <c r="K68" s="2">
        <v>151453</v>
      </c>
      <c r="L68" s="4">
        <v>0.14055845707909401</v>
      </c>
      <c r="M68" t="s">
        <v>17</v>
      </c>
    </row>
    <row r="69" spans="1:13" x14ac:dyDescent="0.3">
      <c r="A69" t="s">
        <v>91</v>
      </c>
      <c r="B69" t="s">
        <v>10</v>
      </c>
      <c r="C69" s="1">
        <v>45634</v>
      </c>
      <c r="D69" t="s">
        <v>15</v>
      </c>
      <c r="E69" t="s">
        <v>7</v>
      </c>
      <c r="F69" s="2">
        <v>10427</v>
      </c>
      <c r="G69" s="2">
        <v>1014</v>
      </c>
      <c r="H69" s="2">
        <v>166</v>
      </c>
      <c r="I69" s="2">
        <v>1649</v>
      </c>
      <c r="J69" s="2">
        <v>15145</v>
      </c>
      <c r="K69" s="2">
        <v>59816</v>
      </c>
      <c r="L69" s="4">
        <v>0.19404507155276199</v>
      </c>
      <c r="M69" t="s">
        <v>13</v>
      </c>
    </row>
    <row r="70" spans="1:13" x14ac:dyDescent="0.3">
      <c r="A70" t="s">
        <v>92</v>
      </c>
      <c r="B70" t="s">
        <v>6</v>
      </c>
      <c r="C70" s="1">
        <v>45724</v>
      </c>
      <c r="D70" t="s">
        <v>11</v>
      </c>
      <c r="E70" t="s">
        <v>25</v>
      </c>
      <c r="F70" s="2">
        <v>10580</v>
      </c>
      <c r="G70" s="2">
        <v>427</v>
      </c>
      <c r="H70" s="2">
        <v>790</v>
      </c>
      <c r="I70" s="2">
        <v>2814</v>
      </c>
      <c r="J70" s="2">
        <v>24916</v>
      </c>
      <c r="K70" s="2">
        <v>213312</v>
      </c>
      <c r="L70" s="4">
        <v>5.5303967896789701E-2</v>
      </c>
      <c r="M70" t="s">
        <v>33</v>
      </c>
    </row>
    <row r="71" spans="1:13" x14ac:dyDescent="0.3">
      <c r="A71" t="s">
        <v>93</v>
      </c>
      <c r="B71" t="s">
        <v>28</v>
      </c>
      <c r="C71" s="1">
        <v>45749</v>
      </c>
      <c r="D71" t="s">
        <v>11</v>
      </c>
      <c r="E71" t="s">
        <v>29</v>
      </c>
      <c r="F71" s="2">
        <v>6858</v>
      </c>
      <c r="G71" s="2">
        <v>415</v>
      </c>
      <c r="H71" s="2">
        <v>366</v>
      </c>
      <c r="I71" s="2">
        <v>2761</v>
      </c>
      <c r="J71" s="2">
        <v>2988</v>
      </c>
      <c r="K71" s="2">
        <v>177348</v>
      </c>
      <c r="L71" s="4">
        <v>4.3073505198818099E-2</v>
      </c>
      <c r="M71" t="s">
        <v>4</v>
      </c>
    </row>
    <row r="72" spans="1:13" x14ac:dyDescent="0.3">
      <c r="A72" t="s">
        <v>94</v>
      </c>
      <c r="B72" t="s">
        <v>28</v>
      </c>
      <c r="C72" s="1">
        <v>45537</v>
      </c>
      <c r="D72" t="s">
        <v>22</v>
      </c>
      <c r="E72" t="s">
        <v>16</v>
      </c>
      <c r="F72" s="2">
        <v>12040</v>
      </c>
      <c r="G72" s="2">
        <v>1147</v>
      </c>
      <c r="H72" s="2">
        <v>210</v>
      </c>
      <c r="I72" s="2">
        <v>885</v>
      </c>
      <c r="J72" s="2">
        <v>30360</v>
      </c>
      <c r="K72" s="2">
        <v>119530</v>
      </c>
      <c r="L72" s="4">
        <v>0.112080649209404</v>
      </c>
      <c r="M72" t="s">
        <v>17</v>
      </c>
    </row>
    <row r="73" spans="1:13" x14ac:dyDescent="0.3">
      <c r="A73" t="s">
        <v>95</v>
      </c>
      <c r="B73" t="s">
        <v>28</v>
      </c>
      <c r="C73" s="1">
        <v>45719</v>
      </c>
      <c r="D73" t="s">
        <v>22</v>
      </c>
      <c r="E73" t="s">
        <v>38</v>
      </c>
      <c r="F73" s="2">
        <v>24928</v>
      </c>
      <c r="G73" s="2">
        <v>214</v>
      </c>
      <c r="H73" s="2">
        <v>765</v>
      </c>
      <c r="I73" s="2">
        <v>1556</v>
      </c>
      <c r="J73" s="2">
        <v>5239</v>
      </c>
      <c r="K73" s="2">
        <v>194571</v>
      </c>
      <c r="L73" s="4">
        <v>0.13314933880177399</v>
      </c>
      <c r="M73" t="s">
        <v>33</v>
      </c>
    </row>
    <row r="74" spans="1:13" x14ac:dyDescent="0.3">
      <c r="A74" t="s">
        <v>96</v>
      </c>
      <c r="B74" t="s">
        <v>10</v>
      </c>
      <c r="C74" s="1">
        <v>45921</v>
      </c>
      <c r="D74" t="s">
        <v>15</v>
      </c>
      <c r="E74" t="s">
        <v>3</v>
      </c>
      <c r="F74" s="2">
        <v>23103</v>
      </c>
      <c r="G74" s="2">
        <v>1380</v>
      </c>
      <c r="H74" s="2">
        <v>191</v>
      </c>
      <c r="I74" s="2">
        <v>1547</v>
      </c>
      <c r="J74" s="2">
        <v>77798</v>
      </c>
      <c r="K74" s="2">
        <v>148856</v>
      </c>
      <c r="L74" s="4">
        <v>0.16575751061428501</v>
      </c>
      <c r="M74" t="s">
        <v>8</v>
      </c>
    </row>
    <row r="75" spans="1:13" x14ac:dyDescent="0.3">
      <c r="A75" t="s">
        <v>97</v>
      </c>
      <c r="B75" t="s">
        <v>28</v>
      </c>
      <c r="C75" s="1">
        <v>45593</v>
      </c>
      <c r="D75" t="s">
        <v>22</v>
      </c>
      <c r="E75" t="s">
        <v>16</v>
      </c>
      <c r="F75" s="2">
        <v>21198</v>
      </c>
      <c r="G75" s="2">
        <v>1484</v>
      </c>
      <c r="H75" s="2">
        <v>174</v>
      </c>
      <c r="I75" s="2">
        <v>1293</v>
      </c>
      <c r="J75" s="2">
        <v>16330</v>
      </c>
      <c r="K75" s="2">
        <v>111635</v>
      </c>
      <c r="L75" s="4">
        <v>0.204738657231155</v>
      </c>
      <c r="M75" t="s">
        <v>17</v>
      </c>
    </row>
    <row r="76" spans="1:13" x14ac:dyDescent="0.3">
      <c r="A76" t="s">
        <v>98</v>
      </c>
      <c r="B76" t="s">
        <v>10</v>
      </c>
      <c r="C76" s="1">
        <v>45505</v>
      </c>
      <c r="D76" t="s">
        <v>2</v>
      </c>
      <c r="E76" t="s">
        <v>12</v>
      </c>
      <c r="F76" s="2">
        <v>21758</v>
      </c>
      <c r="G76" s="2">
        <v>1380</v>
      </c>
      <c r="H76" s="2">
        <v>188</v>
      </c>
      <c r="I76" s="2">
        <v>1735</v>
      </c>
      <c r="J76" s="2">
        <v>20998</v>
      </c>
      <c r="K76" s="2">
        <v>147803</v>
      </c>
      <c r="L76" s="4">
        <v>0.157818176897627</v>
      </c>
      <c r="M76" t="s">
        <v>33</v>
      </c>
    </row>
    <row r="77" spans="1:13" x14ac:dyDescent="0.3">
      <c r="A77" t="s">
        <v>99</v>
      </c>
      <c r="B77" t="s">
        <v>28</v>
      </c>
      <c r="C77" s="1">
        <v>45603</v>
      </c>
      <c r="D77" t="s">
        <v>22</v>
      </c>
      <c r="E77" t="s">
        <v>20</v>
      </c>
      <c r="F77" s="2">
        <v>17254</v>
      </c>
      <c r="G77" s="2">
        <v>246</v>
      </c>
      <c r="H77" s="2">
        <v>952</v>
      </c>
      <c r="I77" s="2">
        <v>871</v>
      </c>
      <c r="J77" s="2">
        <v>14957</v>
      </c>
      <c r="K77" s="2">
        <v>75946</v>
      </c>
      <c r="L77" s="4">
        <v>0.242962104653306</v>
      </c>
      <c r="M77" t="s">
        <v>33</v>
      </c>
    </row>
    <row r="78" spans="1:13" x14ac:dyDescent="0.3">
      <c r="A78" t="s">
        <v>100</v>
      </c>
      <c r="B78" t="s">
        <v>6</v>
      </c>
      <c r="C78" s="1">
        <v>45720</v>
      </c>
      <c r="D78" t="s">
        <v>22</v>
      </c>
      <c r="E78" t="s">
        <v>29</v>
      </c>
      <c r="F78" s="2">
        <v>13470</v>
      </c>
      <c r="G78" s="2">
        <v>523</v>
      </c>
      <c r="H78" s="2">
        <v>280</v>
      </c>
      <c r="I78" s="2">
        <v>2682</v>
      </c>
      <c r="J78" s="2">
        <v>8538</v>
      </c>
      <c r="K78" s="2">
        <v>95204</v>
      </c>
      <c r="L78" s="4">
        <v>0.14992017142136899</v>
      </c>
      <c r="M78" t="s">
        <v>4</v>
      </c>
    </row>
    <row r="79" spans="1:13" x14ac:dyDescent="0.3">
      <c r="A79" t="s">
        <v>101</v>
      </c>
      <c r="B79" t="s">
        <v>6</v>
      </c>
      <c r="C79" s="1">
        <v>45460</v>
      </c>
      <c r="D79" t="s">
        <v>2</v>
      </c>
      <c r="E79" t="s">
        <v>23</v>
      </c>
      <c r="F79" s="2">
        <v>3252</v>
      </c>
      <c r="G79" s="2">
        <v>1043</v>
      </c>
      <c r="H79" s="2">
        <v>647</v>
      </c>
      <c r="I79" s="2">
        <v>1545</v>
      </c>
      <c r="J79" s="2">
        <v>18859</v>
      </c>
      <c r="K79" s="2">
        <v>222958</v>
      </c>
      <c r="L79" s="4">
        <v>2.2165609666394599E-2</v>
      </c>
      <c r="M79" t="s">
        <v>4</v>
      </c>
    </row>
    <row r="80" spans="1:13" x14ac:dyDescent="0.3">
      <c r="A80" t="s">
        <v>102</v>
      </c>
      <c r="B80" t="s">
        <v>1</v>
      </c>
      <c r="C80" s="1">
        <v>45922</v>
      </c>
      <c r="D80" t="s">
        <v>15</v>
      </c>
      <c r="E80" t="s">
        <v>103</v>
      </c>
      <c r="F80" s="2">
        <v>8996</v>
      </c>
      <c r="G80" s="2">
        <v>329</v>
      </c>
      <c r="H80" s="2">
        <v>378</v>
      </c>
      <c r="I80" s="2">
        <v>2384</v>
      </c>
      <c r="J80" s="2">
        <v>39404</v>
      </c>
      <c r="K80" s="2">
        <v>242724</v>
      </c>
      <c r="L80" s="4">
        <v>3.9975445361810101E-2</v>
      </c>
      <c r="M80" t="s">
        <v>8</v>
      </c>
    </row>
    <row r="81" spans="1:13" x14ac:dyDescent="0.3">
      <c r="A81" t="s">
        <v>104</v>
      </c>
      <c r="B81" t="s">
        <v>6</v>
      </c>
      <c r="C81" s="1">
        <v>45456</v>
      </c>
      <c r="D81" t="s">
        <v>2</v>
      </c>
      <c r="E81" t="s">
        <v>3</v>
      </c>
      <c r="F81" s="2">
        <v>14173</v>
      </c>
      <c r="G81" s="2">
        <v>294</v>
      </c>
      <c r="H81" s="2">
        <v>257</v>
      </c>
      <c r="I81" s="2">
        <v>1288</v>
      </c>
      <c r="J81" s="2">
        <v>39466</v>
      </c>
      <c r="K81" s="2">
        <v>55563</v>
      </c>
      <c r="L81" s="4">
        <v>0.26499649047027701</v>
      </c>
      <c r="M81" t="s">
        <v>33</v>
      </c>
    </row>
    <row r="82" spans="1:13" x14ac:dyDescent="0.3">
      <c r="A82" t="s">
        <v>105</v>
      </c>
      <c r="B82" t="s">
        <v>1</v>
      </c>
      <c r="C82" s="1">
        <v>45584</v>
      </c>
      <c r="D82" t="s">
        <v>22</v>
      </c>
      <c r="E82" t="s">
        <v>16</v>
      </c>
      <c r="F82" s="2">
        <v>6673</v>
      </c>
      <c r="G82" s="2">
        <v>826</v>
      </c>
      <c r="H82" s="2">
        <v>321</v>
      </c>
      <c r="I82" s="2">
        <v>577</v>
      </c>
      <c r="J82" s="2">
        <v>19262</v>
      </c>
      <c r="K82" s="2">
        <v>132324</v>
      </c>
      <c r="L82" s="4">
        <v>5.9097367068710098E-2</v>
      </c>
      <c r="M82" t="s">
        <v>33</v>
      </c>
    </row>
    <row r="83" spans="1:13" x14ac:dyDescent="0.3">
      <c r="A83" t="s">
        <v>106</v>
      </c>
      <c r="B83" t="s">
        <v>6</v>
      </c>
      <c r="C83" s="1">
        <v>45497</v>
      </c>
      <c r="D83" t="s">
        <v>15</v>
      </c>
      <c r="E83" t="s">
        <v>23</v>
      </c>
      <c r="F83" s="2">
        <v>22914</v>
      </c>
      <c r="G83" s="2">
        <v>954</v>
      </c>
      <c r="H83" s="2">
        <v>584</v>
      </c>
      <c r="I83" s="2">
        <v>1519</v>
      </c>
      <c r="J83" s="2">
        <v>13637</v>
      </c>
      <c r="K83" s="2">
        <v>49847</v>
      </c>
      <c r="L83" s="4">
        <v>0.49054105563022798</v>
      </c>
      <c r="M83" t="s">
        <v>4</v>
      </c>
    </row>
    <row r="84" spans="1:13" x14ac:dyDescent="0.3">
      <c r="A84" t="s">
        <v>107</v>
      </c>
      <c r="B84" t="s">
        <v>10</v>
      </c>
      <c r="C84" s="1">
        <v>45580</v>
      </c>
      <c r="D84" t="s">
        <v>22</v>
      </c>
      <c r="E84" t="s">
        <v>20</v>
      </c>
      <c r="F84" s="2">
        <v>17781</v>
      </c>
      <c r="G84" s="2">
        <v>993</v>
      </c>
      <c r="H84" s="2">
        <v>627</v>
      </c>
      <c r="I84" s="2">
        <v>2187</v>
      </c>
      <c r="J84" s="2">
        <v>9609</v>
      </c>
      <c r="K84" s="2">
        <v>66155</v>
      </c>
      <c r="L84" s="4">
        <v>0.29326581513113098</v>
      </c>
      <c r="M84" t="s">
        <v>17</v>
      </c>
    </row>
    <row r="85" spans="1:13" x14ac:dyDescent="0.3">
      <c r="A85" t="s">
        <v>108</v>
      </c>
      <c r="B85" t="s">
        <v>6</v>
      </c>
      <c r="C85" s="1">
        <v>45635</v>
      </c>
      <c r="D85" t="s">
        <v>2</v>
      </c>
      <c r="E85" t="s">
        <v>7</v>
      </c>
      <c r="F85" s="2">
        <v>15051</v>
      </c>
      <c r="G85" s="2">
        <v>268</v>
      </c>
      <c r="H85" s="2">
        <v>251</v>
      </c>
      <c r="I85" s="2">
        <v>783</v>
      </c>
      <c r="J85" s="2">
        <v>34154</v>
      </c>
      <c r="K85" s="2">
        <v>119671</v>
      </c>
      <c r="L85" s="4">
        <v>0.13010670922779999</v>
      </c>
      <c r="M85" t="s">
        <v>17</v>
      </c>
    </row>
    <row r="86" spans="1:13" x14ac:dyDescent="0.3">
      <c r="A86" t="s">
        <v>109</v>
      </c>
      <c r="B86" t="s">
        <v>1</v>
      </c>
      <c r="C86" s="1">
        <v>45766</v>
      </c>
      <c r="D86" t="s">
        <v>2</v>
      </c>
      <c r="E86" t="s">
        <v>23</v>
      </c>
      <c r="F86" s="2">
        <v>8881</v>
      </c>
      <c r="G86" s="2">
        <v>210</v>
      </c>
      <c r="H86" s="2">
        <v>673</v>
      </c>
      <c r="I86" s="2">
        <v>1565</v>
      </c>
      <c r="J86" s="2">
        <v>24847</v>
      </c>
      <c r="K86" s="2">
        <v>156891</v>
      </c>
      <c r="L86" s="4">
        <v>6.2234290048505003E-2</v>
      </c>
      <c r="M86" t="s">
        <v>13</v>
      </c>
    </row>
    <row r="87" spans="1:13" x14ac:dyDescent="0.3">
      <c r="A87" t="s">
        <v>110</v>
      </c>
      <c r="B87" t="s">
        <v>1</v>
      </c>
      <c r="C87" s="1">
        <v>45684</v>
      </c>
      <c r="D87" t="s">
        <v>22</v>
      </c>
      <c r="E87" t="s">
        <v>29</v>
      </c>
      <c r="F87" s="2">
        <v>8949</v>
      </c>
      <c r="G87" s="2">
        <v>1477</v>
      </c>
      <c r="H87" s="2">
        <v>424</v>
      </c>
      <c r="I87" s="2">
        <v>1030</v>
      </c>
      <c r="J87" s="2">
        <v>58052</v>
      </c>
      <c r="K87" s="2">
        <v>123310</v>
      </c>
      <c r="L87" s="4">
        <v>8.7989619657773105E-2</v>
      </c>
      <c r="M87" t="s">
        <v>4</v>
      </c>
    </row>
    <row r="88" spans="1:13" x14ac:dyDescent="0.3">
      <c r="A88" t="s">
        <v>111</v>
      </c>
      <c r="B88" t="s">
        <v>28</v>
      </c>
      <c r="C88" s="1">
        <v>45449</v>
      </c>
      <c r="D88" t="s">
        <v>11</v>
      </c>
      <c r="E88" t="s">
        <v>29</v>
      </c>
      <c r="F88" s="2">
        <v>11521</v>
      </c>
      <c r="G88" s="2">
        <v>1071</v>
      </c>
      <c r="H88" s="2">
        <v>762</v>
      </c>
      <c r="I88" s="2">
        <v>2539</v>
      </c>
      <c r="J88" s="2">
        <v>12701</v>
      </c>
      <c r="K88" s="2">
        <v>238350</v>
      </c>
      <c r="L88" s="4">
        <v>5.6026851269142003E-2</v>
      </c>
      <c r="M88" t="s">
        <v>13</v>
      </c>
    </row>
    <row r="89" spans="1:13" x14ac:dyDescent="0.3">
      <c r="A89" t="s">
        <v>112</v>
      </c>
      <c r="B89" t="s">
        <v>10</v>
      </c>
      <c r="C89" s="1">
        <v>45480</v>
      </c>
      <c r="D89" t="s">
        <v>11</v>
      </c>
      <c r="E89" t="s">
        <v>7</v>
      </c>
      <c r="F89" s="2">
        <v>24625</v>
      </c>
      <c r="G89" s="2">
        <v>749</v>
      </c>
      <c r="H89" s="2">
        <v>193</v>
      </c>
      <c r="I89" s="2">
        <v>1340</v>
      </c>
      <c r="J89" s="2">
        <v>4890</v>
      </c>
      <c r="K89" s="2">
        <v>189381</v>
      </c>
      <c r="L89" s="4">
        <v>0.13500298340382599</v>
      </c>
      <c r="M89" t="s">
        <v>4</v>
      </c>
    </row>
    <row r="90" spans="1:13" x14ac:dyDescent="0.3">
      <c r="A90" t="s">
        <v>113</v>
      </c>
      <c r="B90" t="s">
        <v>6</v>
      </c>
      <c r="C90" s="1">
        <v>45923</v>
      </c>
      <c r="D90" t="s">
        <v>2</v>
      </c>
      <c r="E90" t="s">
        <v>103</v>
      </c>
      <c r="F90" s="2">
        <v>10017</v>
      </c>
      <c r="G90" s="2">
        <v>1357</v>
      </c>
      <c r="H90" s="2">
        <v>966</v>
      </c>
      <c r="I90" s="2">
        <v>2871</v>
      </c>
      <c r="J90" s="2">
        <v>14800</v>
      </c>
      <c r="K90" s="2">
        <v>171691</v>
      </c>
      <c r="L90" s="4">
        <v>7.1873307278774098E-2</v>
      </c>
      <c r="M90" t="s">
        <v>8</v>
      </c>
    </row>
    <row r="91" spans="1:13" x14ac:dyDescent="0.3">
      <c r="A91" t="s">
        <v>114</v>
      </c>
      <c r="B91" t="s">
        <v>28</v>
      </c>
      <c r="C91" s="1">
        <v>45446</v>
      </c>
      <c r="D91" t="s">
        <v>2</v>
      </c>
      <c r="E91" t="s">
        <v>38</v>
      </c>
      <c r="F91" s="2">
        <v>8941</v>
      </c>
      <c r="G91" s="2">
        <v>911</v>
      </c>
      <c r="H91" s="2">
        <v>166</v>
      </c>
      <c r="I91" s="2">
        <v>1217</v>
      </c>
      <c r="J91" s="2">
        <v>68817</v>
      </c>
      <c r="K91" s="2">
        <v>221180</v>
      </c>
      <c r="L91" s="4">
        <v>4.5293426168731402E-2</v>
      </c>
      <c r="M91" t="s">
        <v>33</v>
      </c>
    </row>
    <row r="92" spans="1:13" x14ac:dyDescent="0.3">
      <c r="A92" t="s">
        <v>115</v>
      </c>
      <c r="B92" t="s">
        <v>6</v>
      </c>
      <c r="C92" s="1">
        <v>45924</v>
      </c>
      <c r="D92" t="s">
        <v>11</v>
      </c>
      <c r="E92" t="s">
        <v>23</v>
      </c>
      <c r="F92" s="2">
        <v>12209</v>
      </c>
      <c r="G92" s="2">
        <v>222</v>
      </c>
      <c r="H92" s="2">
        <v>479</v>
      </c>
      <c r="I92" s="2">
        <v>2748</v>
      </c>
      <c r="J92" s="2">
        <v>24615</v>
      </c>
      <c r="K92" s="2">
        <v>74707</v>
      </c>
      <c r="L92" s="4">
        <v>0.17280843829895501</v>
      </c>
      <c r="M92" t="s">
        <v>8</v>
      </c>
    </row>
    <row r="93" spans="1:13" x14ac:dyDescent="0.3">
      <c r="A93" t="s">
        <v>116</v>
      </c>
      <c r="B93" t="s">
        <v>6</v>
      </c>
      <c r="C93" s="1">
        <v>45586</v>
      </c>
      <c r="D93" t="s">
        <v>11</v>
      </c>
      <c r="E93" t="s">
        <v>7</v>
      </c>
      <c r="F93" s="2">
        <v>19715</v>
      </c>
      <c r="G93" s="2">
        <v>1014</v>
      </c>
      <c r="H93" s="2">
        <v>718</v>
      </c>
      <c r="I93" s="2">
        <v>1185</v>
      </c>
      <c r="J93" s="2">
        <v>37625</v>
      </c>
      <c r="K93" s="2">
        <v>191409</v>
      </c>
      <c r="L93" s="4">
        <v>0.11204802282024399</v>
      </c>
      <c r="M93" t="s">
        <v>4</v>
      </c>
    </row>
    <row r="94" spans="1:13" x14ac:dyDescent="0.3">
      <c r="A94" t="s">
        <v>117</v>
      </c>
      <c r="B94" t="s">
        <v>28</v>
      </c>
      <c r="C94" s="1">
        <v>45637</v>
      </c>
      <c r="D94" t="s">
        <v>22</v>
      </c>
      <c r="E94" t="s">
        <v>29</v>
      </c>
      <c r="F94" s="2">
        <v>22645</v>
      </c>
      <c r="G94" s="2">
        <v>545</v>
      </c>
      <c r="H94" s="2">
        <v>972</v>
      </c>
      <c r="I94" s="2">
        <v>321</v>
      </c>
      <c r="J94" s="2">
        <v>8396</v>
      </c>
      <c r="K94" s="2">
        <v>121537</v>
      </c>
      <c r="L94" s="4">
        <v>0.198803656499667</v>
      </c>
      <c r="M94" t="s">
        <v>33</v>
      </c>
    </row>
    <row r="95" spans="1:13" x14ac:dyDescent="0.3">
      <c r="A95" t="s">
        <v>118</v>
      </c>
      <c r="B95" t="s">
        <v>28</v>
      </c>
      <c r="C95" s="1">
        <v>45603</v>
      </c>
      <c r="D95" t="s">
        <v>22</v>
      </c>
      <c r="E95" t="s">
        <v>29</v>
      </c>
      <c r="F95" s="2">
        <v>11550</v>
      </c>
      <c r="G95" s="2">
        <v>501</v>
      </c>
      <c r="H95" s="2">
        <v>646</v>
      </c>
      <c r="I95" s="2">
        <v>773</v>
      </c>
      <c r="J95" s="2">
        <v>17841</v>
      </c>
      <c r="K95" s="2">
        <v>237576</v>
      </c>
      <c r="L95" s="4">
        <v>5.3443950567397397E-2</v>
      </c>
      <c r="M95" t="s">
        <v>17</v>
      </c>
    </row>
    <row r="96" spans="1:13" x14ac:dyDescent="0.3">
      <c r="A96" t="s">
        <v>119</v>
      </c>
      <c r="B96" t="s">
        <v>28</v>
      </c>
      <c r="C96" s="1">
        <v>45604</v>
      </c>
      <c r="D96" t="s">
        <v>11</v>
      </c>
      <c r="E96" t="s">
        <v>16</v>
      </c>
      <c r="F96" s="2">
        <v>23499</v>
      </c>
      <c r="G96" s="2">
        <v>562</v>
      </c>
      <c r="H96" s="2">
        <v>964</v>
      </c>
      <c r="I96" s="2">
        <v>2557</v>
      </c>
      <c r="J96" s="2">
        <v>56890</v>
      </c>
      <c r="K96" s="2">
        <v>218686</v>
      </c>
      <c r="L96" s="4">
        <v>0.11443347996670999</v>
      </c>
      <c r="M96" t="s">
        <v>17</v>
      </c>
    </row>
    <row r="97" spans="1:13" x14ac:dyDescent="0.3">
      <c r="A97" t="s">
        <v>120</v>
      </c>
      <c r="B97" t="s">
        <v>28</v>
      </c>
      <c r="C97" s="1">
        <v>45545</v>
      </c>
      <c r="D97" t="s">
        <v>22</v>
      </c>
      <c r="E97" t="s">
        <v>25</v>
      </c>
      <c r="F97" s="2">
        <v>6637</v>
      </c>
      <c r="G97" s="2">
        <v>595</v>
      </c>
      <c r="H97" s="2">
        <v>161</v>
      </c>
      <c r="I97" s="2">
        <v>2653</v>
      </c>
      <c r="J97" s="2">
        <v>19334</v>
      </c>
      <c r="K97" s="2">
        <v>131155</v>
      </c>
      <c r="L97" s="4">
        <v>5.6368419046166802E-2</v>
      </c>
      <c r="M97" t="s">
        <v>13</v>
      </c>
    </row>
    <row r="98" spans="1:13" x14ac:dyDescent="0.3">
      <c r="A98" t="s">
        <v>121</v>
      </c>
      <c r="B98" t="s">
        <v>28</v>
      </c>
      <c r="C98" s="1">
        <v>45517</v>
      </c>
      <c r="D98" t="s">
        <v>22</v>
      </c>
      <c r="E98" t="s">
        <v>103</v>
      </c>
      <c r="F98" s="2">
        <v>6854</v>
      </c>
      <c r="G98" s="2">
        <v>417</v>
      </c>
      <c r="H98" s="2">
        <v>467</v>
      </c>
      <c r="I98" s="2">
        <v>1003</v>
      </c>
      <c r="J98" s="2">
        <v>61333</v>
      </c>
      <c r="K98" s="2">
        <v>40281</v>
      </c>
      <c r="L98" s="4">
        <v>0.19210049402944299</v>
      </c>
      <c r="M98" t="s">
        <v>4</v>
      </c>
    </row>
    <row r="99" spans="1:13" x14ac:dyDescent="0.3">
      <c r="A99" t="s">
        <v>122</v>
      </c>
      <c r="B99" t="s">
        <v>6</v>
      </c>
      <c r="C99" s="1">
        <v>45453</v>
      </c>
      <c r="D99" t="s">
        <v>15</v>
      </c>
      <c r="E99" t="s">
        <v>23</v>
      </c>
      <c r="F99" s="2">
        <v>21561</v>
      </c>
      <c r="G99" s="2">
        <v>340</v>
      </c>
      <c r="H99" s="2">
        <v>741</v>
      </c>
      <c r="I99" s="2">
        <v>986</v>
      </c>
      <c r="J99" s="2">
        <v>24826</v>
      </c>
      <c r="K99" s="2">
        <v>198492</v>
      </c>
      <c r="L99" s="4">
        <v>0.114070088467041</v>
      </c>
      <c r="M99" t="s">
        <v>4</v>
      </c>
    </row>
    <row r="100" spans="1:13" x14ac:dyDescent="0.3">
      <c r="A100" t="s">
        <v>123</v>
      </c>
      <c r="B100" t="s">
        <v>28</v>
      </c>
      <c r="C100" s="1">
        <v>45475</v>
      </c>
      <c r="D100" t="s">
        <v>22</v>
      </c>
      <c r="E100" t="s">
        <v>23</v>
      </c>
      <c r="F100" s="2">
        <v>12320</v>
      </c>
      <c r="G100" s="2">
        <v>1157</v>
      </c>
      <c r="H100" s="2">
        <v>365</v>
      </c>
      <c r="I100" s="2">
        <v>584</v>
      </c>
      <c r="J100" s="2">
        <v>66634</v>
      </c>
      <c r="K100" s="2">
        <v>210102</v>
      </c>
      <c r="L100" s="4">
        <v>6.5882285746922897E-2</v>
      </c>
      <c r="M100" t="s">
        <v>17</v>
      </c>
    </row>
    <row r="101" spans="1:13" x14ac:dyDescent="0.3">
      <c r="A101" t="s">
        <v>124</v>
      </c>
      <c r="B101" t="s">
        <v>10</v>
      </c>
      <c r="C101" s="1">
        <v>45925</v>
      </c>
      <c r="D101" t="s">
        <v>2</v>
      </c>
      <c r="E101" t="s">
        <v>20</v>
      </c>
      <c r="F101" s="2">
        <v>20564</v>
      </c>
      <c r="G101" s="2">
        <v>1433</v>
      </c>
      <c r="H101" s="2">
        <v>488</v>
      </c>
      <c r="I101" s="2">
        <v>1015</v>
      </c>
      <c r="J101" s="2">
        <v>24333</v>
      </c>
      <c r="K101" s="2">
        <v>172130</v>
      </c>
      <c r="L101" s="4">
        <v>0.13062801371056801</v>
      </c>
      <c r="M101" t="s">
        <v>8</v>
      </c>
    </row>
    <row r="102" spans="1:13" x14ac:dyDescent="0.3">
      <c r="A102" t="s">
        <v>125</v>
      </c>
      <c r="B102" t="s">
        <v>1</v>
      </c>
      <c r="C102" s="1">
        <v>45583</v>
      </c>
      <c r="D102" t="s">
        <v>22</v>
      </c>
      <c r="E102" t="s">
        <v>7</v>
      </c>
      <c r="F102" s="2">
        <v>6892</v>
      </c>
      <c r="G102" s="2">
        <v>1184</v>
      </c>
      <c r="H102" s="2">
        <v>925</v>
      </c>
      <c r="I102" s="2">
        <v>1062</v>
      </c>
      <c r="J102" s="2">
        <v>75008</v>
      </c>
      <c r="K102" s="2">
        <v>116260</v>
      </c>
      <c r="L102" s="4">
        <v>7.7421297092723204E-2</v>
      </c>
      <c r="M102" t="s">
        <v>33</v>
      </c>
    </row>
    <row r="103" spans="1:13" x14ac:dyDescent="0.3">
      <c r="A103" t="s">
        <v>126</v>
      </c>
      <c r="B103" t="s">
        <v>28</v>
      </c>
      <c r="C103" s="1">
        <v>45926</v>
      </c>
      <c r="D103" t="s">
        <v>22</v>
      </c>
      <c r="E103" t="s">
        <v>20</v>
      </c>
      <c r="F103" s="2">
        <v>9043</v>
      </c>
      <c r="G103" s="2">
        <v>1192</v>
      </c>
      <c r="H103" s="2">
        <v>810</v>
      </c>
      <c r="I103" s="2">
        <v>1550</v>
      </c>
      <c r="J103" s="2">
        <v>5221</v>
      </c>
      <c r="K103" s="2">
        <v>199476</v>
      </c>
      <c r="L103" s="4">
        <v>5.53700695823056E-2</v>
      </c>
      <c r="M103" t="s">
        <v>8</v>
      </c>
    </row>
    <row r="104" spans="1:13" x14ac:dyDescent="0.3">
      <c r="A104" t="s">
        <v>127</v>
      </c>
      <c r="B104" t="s">
        <v>28</v>
      </c>
      <c r="C104" s="1">
        <v>45927</v>
      </c>
      <c r="D104" t="s">
        <v>11</v>
      </c>
      <c r="E104" t="s">
        <v>7</v>
      </c>
      <c r="F104" s="2">
        <v>18521</v>
      </c>
      <c r="G104" s="2">
        <v>1027</v>
      </c>
      <c r="H104" s="2">
        <v>230</v>
      </c>
      <c r="I104" s="2">
        <v>1247</v>
      </c>
      <c r="J104" s="2">
        <v>39588</v>
      </c>
      <c r="K104" s="2">
        <v>200928</v>
      </c>
      <c r="L104" s="4">
        <v>9.8433269628921793E-2</v>
      </c>
      <c r="M104" t="s">
        <v>8</v>
      </c>
    </row>
    <row r="105" spans="1:13" x14ac:dyDescent="0.3">
      <c r="A105" t="s">
        <v>128</v>
      </c>
      <c r="B105" t="s">
        <v>6</v>
      </c>
      <c r="C105" s="1">
        <v>45739</v>
      </c>
      <c r="D105" t="s">
        <v>2</v>
      </c>
      <c r="E105" t="s">
        <v>12</v>
      </c>
      <c r="F105" s="2">
        <v>24711</v>
      </c>
      <c r="G105" s="2">
        <v>882</v>
      </c>
      <c r="H105" s="2">
        <v>876</v>
      </c>
      <c r="I105" s="2">
        <v>2728</v>
      </c>
      <c r="J105" s="2">
        <v>32015</v>
      </c>
      <c r="K105" s="2">
        <v>180272</v>
      </c>
      <c r="L105" s="4">
        <v>0.14682812638679299</v>
      </c>
      <c r="M105" t="s">
        <v>17</v>
      </c>
    </row>
    <row r="106" spans="1:13" x14ac:dyDescent="0.3">
      <c r="A106" t="s">
        <v>129</v>
      </c>
      <c r="B106" t="s">
        <v>28</v>
      </c>
      <c r="C106" s="1">
        <v>45457</v>
      </c>
      <c r="D106" t="s">
        <v>22</v>
      </c>
      <c r="E106" t="s">
        <v>29</v>
      </c>
      <c r="F106" s="2">
        <v>21856</v>
      </c>
      <c r="G106" s="2">
        <v>1203</v>
      </c>
      <c r="H106" s="2">
        <v>634</v>
      </c>
      <c r="I106" s="2">
        <v>2807</v>
      </c>
      <c r="J106" s="2">
        <v>3647</v>
      </c>
      <c r="K106" s="2">
        <v>104178</v>
      </c>
      <c r="L106" s="4">
        <v>0.22742805582752601</v>
      </c>
      <c r="M106" t="s">
        <v>17</v>
      </c>
    </row>
    <row r="107" spans="1:13" x14ac:dyDescent="0.3">
      <c r="A107" t="s">
        <v>130</v>
      </c>
      <c r="B107" t="s">
        <v>28</v>
      </c>
      <c r="C107" s="1">
        <v>45692</v>
      </c>
      <c r="D107" t="s">
        <v>22</v>
      </c>
      <c r="E107" t="s">
        <v>25</v>
      </c>
      <c r="F107" s="2">
        <v>23833</v>
      </c>
      <c r="G107" s="2">
        <v>555</v>
      </c>
      <c r="H107" s="2">
        <v>523</v>
      </c>
      <c r="I107" s="2">
        <v>1330</v>
      </c>
      <c r="J107" s="2">
        <v>69141</v>
      </c>
      <c r="K107" s="2">
        <v>73997</v>
      </c>
      <c r="L107" s="4">
        <v>0.33664878305877299</v>
      </c>
      <c r="M107" t="s">
        <v>17</v>
      </c>
    </row>
    <row r="108" spans="1:13" x14ac:dyDescent="0.3">
      <c r="A108" t="s">
        <v>131</v>
      </c>
      <c r="B108" t="s">
        <v>28</v>
      </c>
      <c r="C108" s="1">
        <v>45464</v>
      </c>
      <c r="D108" t="s">
        <v>15</v>
      </c>
      <c r="E108" t="s">
        <v>16</v>
      </c>
      <c r="F108" s="2">
        <v>21216</v>
      </c>
      <c r="G108" s="2">
        <v>1207</v>
      </c>
      <c r="H108" s="2">
        <v>859</v>
      </c>
      <c r="I108" s="2">
        <v>328</v>
      </c>
      <c r="J108" s="2">
        <v>91296</v>
      </c>
      <c r="K108" s="2">
        <v>196683</v>
      </c>
      <c r="L108" s="4">
        <v>0.118373219851233</v>
      </c>
      <c r="M108" t="s">
        <v>13</v>
      </c>
    </row>
    <row r="109" spans="1:13" x14ac:dyDescent="0.3">
      <c r="A109" t="s">
        <v>132</v>
      </c>
      <c r="B109" t="s">
        <v>6</v>
      </c>
      <c r="C109" s="1">
        <v>45928</v>
      </c>
      <c r="D109" t="s">
        <v>22</v>
      </c>
      <c r="E109" t="s">
        <v>25</v>
      </c>
      <c r="F109" s="2">
        <v>21963</v>
      </c>
      <c r="G109" s="2">
        <v>1356</v>
      </c>
      <c r="H109" s="2">
        <v>349</v>
      </c>
      <c r="I109" s="2">
        <v>1206</v>
      </c>
      <c r="J109" s="2">
        <v>51755</v>
      </c>
      <c r="K109" s="2">
        <v>159273</v>
      </c>
      <c r="L109" s="4">
        <v>0.14860020216860401</v>
      </c>
      <c r="M109" t="s">
        <v>8</v>
      </c>
    </row>
    <row r="110" spans="1:13" x14ac:dyDescent="0.3">
      <c r="A110" t="s">
        <v>133</v>
      </c>
      <c r="B110" t="s">
        <v>28</v>
      </c>
      <c r="C110" s="1">
        <v>45512</v>
      </c>
      <c r="D110" t="s">
        <v>22</v>
      </c>
      <c r="E110" t="s">
        <v>25</v>
      </c>
      <c r="F110" s="2">
        <v>24355</v>
      </c>
      <c r="G110" s="2">
        <v>1087</v>
      </c>
      <c r="H110" s="2">
        <v>686</v>
      </c>
      <c r="I110" s="2">
        <v>2426</v>
      </c>
      <c r="J110" s="2">
        <v>24963</v>
      </c>
      <c r="K110" s="2">
        <v>212307</v>
      </c>
      <c r="L110" s="4">
        <v>0.123067067972323</v>
      </c>
      <c r="M110" t="s">
        <v>4</v>
      </c>
    </row>
    <row r="111" spans="1:13" x14ac:dyDescent="0.3">
      <c r="A111" t="s">
        <v>134</v>
      </c>
      <c r="B111" t="s">
        <v>1</v>
      </c>
      <c r="C111" s="1">
        <v>45502</v>
      </c>
      <c r="D111" t="s">
        <v>15</v>
      </c>
      <c r="E111" t="s">
        <v>25</v>
      </c>
      <c r="F111" s="2">
        <v>6164</v>
      </c>
      <c r="G111" s="2">
        <v>326</v>
      </c>
      <c r="H111" s="2">
        <v>615</v>
      </c>
      <c r="I111" s="2">
        <v>2806</v>
      </c>
      <c r="J111" s="2">
        <v>38579</v>
      </c>
      <c r="K111" s="2">
        <v>206129</v>
      </c>
      <c r="L111" s="4">
        <v>3.4468706489625398E-2</v>
      </c>
      <c r="M111" t="s">
        <v>33</v>
      </c>
    </row>
    <row r="112" spans="1:13" x14ac:dyDescent="0.3">
      <c r="A112" t="s">
        <v>135</v>
      </c>
      <c r="B112" t="s">
        <v>6</v>
      </c>
      <c r="C112" s="1">
        <v>45619</v>
      </c>
      <c r="D112" t="s">
        <v>11</v>
      </c>
      <c r="E112" t="s">
        <v>20</v>
      </c>
      <c r="F112" s="2">
        <v>9941</v>
      </c>
      <c r="G112" s="2">
        <v>1329</v>
      </c>
      <c r="H112" s="2">
        <v>238</v>
      </c>
      <c r="I112" s="2">
        <v>869</v>
      </c>
      <c r="J112" s="2">
        <v>40281</v>
      </c>
      <c r="K112" s="2">
        <v>172311</v>
      </c>
      <c r="L112" s="4">
        <v>6.6786217943137702E-2</v>
      </c>
      <c r="M112" t="s">
        <v>13</v>
      </c>
    </row>
    <row r="113" spans="1:13" x14ac:dyDescent="0.3">
      <c r="A113" t="s">
        <v>136</v>
      </c>
      <c r="B113" t="s">
        <v>1</v>
      </c>
      <c r="C113" s="1">
        <v>45570</v>
      </c>
      <c r="D113" t="s">
        <v>22</v>
      </c>
      <c r="E113" t="s">
        <v>7</v>
      </c>
      <c r="F113" s="2">
        <v>16388</v>
      </c>
      <c r="G113" s="2">
        <v>1208</v>
      </c>
      <c r="H113" s="2">
        <v>417</v>
      </c>
      <c r="I113" s="2">
        <v>2306</v>
      </c>
      <c r="J113" s="2">
        <v>16865</v>
      </c>
      <c r="K113" s="2">
        <v>236733</v>
      </c>
      <c r="L113" s="4">
        <v>7.6089940988370894E-2</v>
      </c>
      <c r="M113" t="s">
        <v>4</v>
      </c>
    </row>
    <row r="114" spans="1:13" x14ac:dyDescent="0.3">
      <c r="A114" t="s">
        <v>137</v>
      </c>
      <c r="B114" t="s">
        <v>6</v>
      </c>
      <c r="C114" s="1">
        <v>45929</v>
      </c>
      <c r="D114" t="s">
        <v>15</v>
      </c>
      <c r="E114" t="s">
        <v>43</v>
      </c>
      <c r="F114" s="2">
        <v>7569</v>
      </c>
      <c r="G114" s="2">
        <v>803</v>
      </c>
      <c r="H114" s="2">
        <v>804</v>
      </c>
      <c r="I114" s="2">
        <v>1753</v>
      </c>
      <c r="J114" s="2">
        <v>43582</v>
      </c>
      <c r="K114" s="2">
        <v>166945</v>
      </c>
      <c r="L114" s="4">
        <v>5.4964209769684601E-2</v>
      </c>
      <c r="M114" t="s">
        <v>8</v>
      </c>
    </row>
    <row r="115" spans="1:13" x14ac:dyDescent="0.3">
      <c r="A115" t="s">
        <v>138</v>
      </c>
      <c r="B115" t="s">
        <v>28</v>
      </c>
      <c r="C115" s="1">
        <v>45610</v>
      </c>
      <c r="D115" t="s">
        <v>2</v>
      </c>
      <c r="E115" t="s">
        <v>12</v>
      </c>
      <c r="F115" s="2">
        <v>6300</v>
      </c>
      <c r="G115" s="2">
        <v>1213</v>
      </c>
      <c r="H115" s="2">
        <v>720</v>
      </c>
      <c r="I115" s="2">
        <v>1037</v>
      </c>
      <c r="J115" s="2">
        <v>39569</v>
      </c>
      <c r="K115" s="2">
        <v>85272</v>
      </c>
      <c r="L115" s="4">
        <v>9.6549863964724605E-2</v>
      </c>
      <c r="M115" t="s">
        <v>17</v>
      </c>
    </row>
    <row r="116" spans="1:13" x14ac:dyDescent="0.3">
      <c r="A116" t="s">
        <v>139</v>
      </c>
      <c r="B116" t="s">
        <v>1</v>
      </c>
      <c r="C116" s="1">
        <v>45930</v>
      </c>
      <c r="D116" t="s">
        <v>11</v>
      </c>
      <c r="E116" t="s">
        <v>3</v>
      </c>
      <c r="F116" s="2">
        <v>8269</v>
      </c>
      <c r="G116" s="2">
        <v>250</v>
      </c>
      <c r="H116" s="2">
        <v>638</v>
      </c>
      <c r="I116" s="2">
        <v>815</v>
      </c>
      <c r="J116" s="2">
        <v>41991</v>
      </c>
      <c r="K116" s="2">
        <v>129393</v>
      </c>
      <c r="L116" s="4">
        <v>7.0768897853825202E-2</v>
      </c>
      <c r="M116" t="s">
        <v>8</v>
      </c>
    </row>
    <row r="117" spans="1:13" x14ac:dyDescent="0.3">
      <c r="A117" t="s">
        <v>140</v>
      </c>
      <c r="B117" t="s">
        <v>6</v>
      </c>
      <c r="C117" s="1">
        <v>45734</v>
      </c>
      <c r="D117" t="s">
        <v>2</v>
      </c>
      <c r="E117" t="s">
        <v>25</v>
      </c>
      <c r="F117" s="2">
        <v>5818</v>
      </c>
      <c r="G117" s="2">
        <v>1252</v>
      </c>
      <c r="H117" s="2">
        <v>687</v>
      </c>
      <c r="I117" s="2">
        <v>2300</v>
      </c>
      <c r="J117" s="2">
        <v>25081</v>
      </c>
      <c r="K117" s="2">
        <v>101212</v>
      </c>
      <c r="L117" s="4">
        <v>7.6641109749832001E-2</v>
      </c>
      <c r="M117" t="s">
        <v>33</v>
      </c>
    </row>
    <row r="118" spans="1:13" x14ac:dyDescent="0.3">
      <c r="A118" t="s">
        <v>141</v>
      </c>
      <c r="B118" t="s">
        <v>10</v>
      </c>
      <c r="C118" s="1">
        <v>45600</v>
      </c>
      <c r="D118" t="s">
        <v>2</v>
      </c>
      <c r="E118" t="s">
        <v>38</v>
      </c>
      <c r="F118" s="2">
        <v>14015</v>
      </c>
      <c r="G118" s="2">
        <v>978</v>
      </c>
      <c r="H118" s="2">
        <v>196</v>
      </c>
      <c r="I118" s="2">
        <v>2744</v>
      </c>
      <c r="J118" s="2">
        <v>20190</v>
      </c>
      <c r="K118" s="2">
        <v>186470</v>
      </c>
      <c r="L118" s="4">
        <v>8.1455462004611998E-2</v>
      </c>
      <c r="M118" t="s">
        <v>13</v>
      </c>
    </row>
    <row r="119" spans="1:13" x14ac:dyDescent="0.3">
      <c r="A119" t="s">
        <v>142</v>
      </c>
      <c r="B119" t="s">
        <v>28</v>
      </c>
      <c r="C119" s="1">
        <v>45600</v>
      </c>
      <c r="D119" t="s">
        <v>15</v>
      </c>
      <c r="E119" t="s">
        <v>20</v>
      </c>
      <c r="F119" s="2">
        <v>14234</v>
      </c>
      <c r="G119" s="2">
        <v>1013</v>
      </c>
      <c r="H119" s="2">
        <v>437</v>
      </c>
      <c r="I119" s="2">
        <v>338</v>
      </c>
      <c r="J119" s="2">
        <v>67754</v>
      </c>
      <c r="K119" s="2">
        <v>160030</v>
      </c>
      <c r="L119" s="4">
        <v>9.8006623758045405E-2</v>
      </c>
      <c r="M119" t="s">
        <v>13</v>
      </c>
    </row>
    <row r="120" spans="1:13" x14ac:dyDescent="0.3">
      <c r="A120" t="s">
        <v>143</v>
      </c>
      <c r="B120" t="s">
        <v>6</v>
      </c>
      <c r="C120" s="1">
        <v>45695</v>
      </c>
      <c r="D120" t="s">
        <v>22</v>
      </c>
      <c r="E120" t="s">
        <v>103</v>
      </c>
      <c r="F120" s="2">
        <v>20290</v>
      </c>
      <c r="G120" s="2">
        <v>619</v>
      </c>
      <c r="H120" s="2">
        <v>927</v>
      </c>
      <c r="I120" s="2">
        <v>1186</v>
      </c>
      <c r="J120" s="2">
        <v>8924</v>
      </c>
      <c r="K120" s="2">
        <v>96503</v>
      </c>
      <c r="L120" s="4">
        <v>0.22627275835984401</v>
      </c>
      <c r="M120" t="s">
        <v>33</v>
      </c>
    </row>
    <row r="121" spans="1:13" x14ac:dyDescent="0.3">
      <c r="A121" t="s">
        <v>144</v>
      </c>
      <c r="B121" t="s">
        <v>10</v>
      </c>
      <c r="C121" s="1">
        <v>45586</v>
      </c>
      <c r="D121" t="s">
        <v>15</v>
      </c>
      <c r="E121" t="s">
        <v>16</v>
      </c>
      <c r="F121" s="2">
        <v>8254</v>
      </c>
      <c r="G121" s="2">
        <v>1405</v>
      </c>
      <c r="H121" s="2">
        <v>165</v>
      </c>
      <c r="I121" s="2">
        <v>2504</v>
      </c>
      <c r="J121" s="2">
        <v>8081</v>
      </c>
      <c r="K121" s="2">
        <v>177710</v>
      </c>
      <c r="L121" s="4">
        <v>5.5281075910190797E-2</v>
      </c>
      <c r="M121" t="s">
        <v>4</v>
      </c>
    </row>
    <row r="122" spans="1:13" x14ac:dyDescent="0.3">
      <c r="A122" t="s">
        <v>145</v>
      </c>
      <c r="B122" t="s">
        <v>6</v>
      </c>
      <c r="C122" s="1">
        <v>45502</v>
      </c>
      <c r="D122" t="s">
        <v>15</v>
      </c>
      <c r="E122" t="s">
        <v>3</v>
      </c>
      <c r="F122" s="2">
        <v>19144</v>
      </c>
      <c r="G122" s="2">
        <v>1182</v>
      </c>
      <c r="H122" s="2">
        <v>860</v>
      </c>
      <c r="I122" s="2">
        <v>1398</v>
      </c>
      <c r="J122" s="2">
        <v>4185</v>
      </c>
      <c r="K122" s="2">
        <v>46570</v>
      </c>
      <c r="L122" s="4">
        <v>0.454928065278076</v>
      </c>
      <c r="M122" t="s">
        <v>4</v>
      </c>
    </row>
    <row r="123" spans="1:13" x14ac:dyDescent="0.3">
      <c r="A123" t="s">
        <v>146</v>
      </c>
      <c r="B123" t="s">
        <v>10</v>
      </c>
      <c r="C123" s="1">
        <v>45567</v>
      </c>
      <c r="D123" t="s">
        <v>15</v>
      </c>
      <c r="E123" t="s">
        <v>43</v>
      </c>
      <c r="F123" s="2">
        <v>9350</v>
      </c>
      <c r="G123" s="2">
        <v>1024</v>
      </c>
      <c r="H123" s="2">
        <v>550</v>
      </c>
      <c r="I123" s="2">
        <v>2123</v>
      </c>
      <c r="J123" s="2">
        <v>53916</v>
      </c>
      <c r="K123" s="2">
        <v>108785</v>
      </c>
      <c r="L123" s="4">
        <v>0.10041825619340899</v>
      </c>
      <c r="M123" t="s">
        <v>13</v>
      </c>
    </row>
    <row r="124" spans="1:13" x14ac:dyDescent="0.3">
      <c r="A124" t="s">
        <v>147</v>
      </c>
      <c r="B124" t="s">
        <v>28</v>
      </c>
      <c r="C124" s="1">
        <v>45457</v>
      </c>
      <c r="D124" t="s">
        <v>15</v>
      </c>
      <c r="E124" t="s">
        <v>38</v>
      </c>
      <c r="F124" s="2">
        <v>17183</v>
      </c>
      <c r="G124" s="2">
        <v>1224</v>
      </c>
      <c r="H124" s="2">
        <v>943</v>
      </c>
      <c r="I124" s="2">
        <v>2010</v>
      </c>
      <c r="J124" s="2">
        <v>21481</v>
      </c>
      <c r="K124" s="2">
        <v>49110</v>
      </c>
      <c r="L124" s="4">
        <v>0.39401343921808202</v>
      </c>
      <c r="M124" t="s">
        <v>13</v>
      </c>
    </row>
    <row r="125" spans="1:13" x14ac:dyDescent="0.3">
      <c r="A125" t="s">
        <v>148</v>
      </c>
      <c r="B125" t="s">
        <v>1</v>
      </c>
      <c r="C125" s="1">
        <v>45753</v>
      </c>
      <c r="D125" t="s">
        <v>11</v>
      </c>
      <c r="E125" t="s">
        <v>43</v>
      </c>
      <c r="F125" s="2">
        <v>8238</v>
      </c>
      <c r="G125" s="2">
        <v>766</v>
      </c>
      <c r="H125" s="2">
        <v>235</v>
      </c>
      <c r="I125" s="2">
        <v>1273</v>
      </c>
      <c r="J125" s="2">
        <v>4706</v>
      </c>
      <c r="K125" s="2">
        <v>119141</v>
      </c>
      <c r="L125" s="4">
        <v>7.7546772311798601E-2</v>
      </c>
      <c r="M125" t="s">
        <v>17</v>
      </c>
    </row>
    <row r="126" spans="1:13" x14ac:dyDescent="0.3">
      <c r="A126" t="s">
        <v>149</v>
      </c>
      <c r="B126" t="s">
        <v>10</v>
      </c>
      <c r="C126" s="1">
        <v>45543</v>
      </c>
      <c r="D126" t="s">
        <v>22</v>
      </c>
      <c r="E126" t="s">
        <v>3</v>
      </c>
      <c r="F126" s="2">
        <v>8090</v>
      </c>
      <c r="G126" s="2">
        <v>570</v>
      </c>
      <c r="H126" s="2">
        <v>399</v>
      </c>
      <c r="I126" s="2">
        <v>1862</v>
      </c>
      <c r="J126" s="2">
        <v>34088</v>
      </c>
      <c r="K126" s="2">
        <v>52115</v>
      </c>
      <c r="L126" s="4">
        <v>0.173827113115226</v>
      </c>
      <c r="M126" t="s">
        <v>4</v>
      </c>
    </row>
    <row r="127" spans="1:13" x14ac:dyDescent="0.3">
      <c r="A127" t="s">
        <v>150</v>
      </c>
      <c r="B127" t="s">
        <v>6</v>
      </c>
      <c r="C127" s="1">
        <v>45744</v>
      </c>
      <c r="D127" t="s">
        <v>2</v>
      </c>
      <c r="E127" t="s">
        <v>25</v>
      </c>
      <c r="F127" s="2">
        <v>13637</v>
      </c>
      <c r="G127" s="2">
        <v>1135</v>
      </c>
      <c r="H127" s="2">
        <v>540</v>
      </c>
      <c r="I127" s="2">
        <v>1288</v>
      </c>
      <c r="J127" s="2">
        <v>45183</v>
      </c>
      <c r="K127" s="2">
        <v>79062</v>
      </c>
      <c r="L127" s="4">
        <v>0.193670790012901</v>
      </c>
      <c r="M127" t="s">
        <v>33</v>
      </c>
    </row>
    <row r="128" spans="1:13" x14ac:dyDescent="0.3">
      <c r="A128" t="s">
        <v>151</v>
      </c>
      <c r="B128" t="s">
        <v>28</v>
      </c>
      <c r="C128" s="1">
        <v>45684</v>
      </c>
      <c r="D128" t="s">
        <v>2</v>
      </c>
      <c r="E128" t="s">
        <v>38</v>
      </c>
      <c r="F128" s="2">
        <v>24415</v>
      </c>
      <c r="G128" s="2">
        <v>860</v>
      </c>
      <c r="H128" s="2">
        <v>931</v>
      </c>
      <c r="I128" s="2">
        <v>320</v>
      </c>
      <c r="J128" s="2">
        <v>65049</v>
      </c>
      <c r="K128" s="2">
        <v>62911</v>
      </c>
      <c r="L128" s="4">
        <v>0.41655672298961999</v>
      </c>
      <c r="M128" t="s">
        <v>4</v>
      </c>
    </row>
    <row r="129" spans="1:13" x14ac:dyDescent="0.3">
      <c r="A129" t="s">
        <v>152</v>
      </c>
      <c r="B129" t="s">
        <v>10</v>
      </c>
      <c r="C129" s="1">
        <v>45667</v>
      </c>
      <c r="D129" t="s">
        <v>22</v>
      </c>
      <c r="E129" t="s">
        <v>43</v>
      </c>
      <c r="F129" s="2">
        <v>14647</v>
      </c>
      <c r="G129" s="2">
        <v>1168</v>
      </c>
      <c r="H129" s="2">
        <v>484</v>
      </c>
      <c r="I129" s="2">
        <v>2650</v>
      </c>
      <c r="J129" s="2">
        <v>27217</v>
      </c>
      <c r="K129" s="2">
        <v>144061</v>
      </c>
      <c r="L129" s="4">
        <v>0.113139572819847</v>
      </c>
      <c r="M129" t="s">
        <v>17</v>
      </c>
    </row>
    <row r="130" spans="1:13" x14ac:dyDescent="0.3">
      <c r="A130" t="s">
        <v>153</v>
      </c>
      <c r="B130" t="s">
        <v>6</v>
      </c>
      <c r="C130" s="1">
        <v>45494</v>
      </c>
      <c r="D130" t="s">
        <v>2</v>
      </c>
      <c r="E130" t="s">
        <v>16</v>
      </c>
      <c r="F130" s="2">
        <v>11911</v>
      </c>
      <c r="G130" s="2">
        <v>1360</v>
      </c>
      <c r="H130" s="2">
        <v>778</v>
      </c>
      <c r="I130" s="2">
        <v>1168</v>
      </c>
      <c r="J130" s="2">
        <v>16483</v>
      </c>
      <c r="K130" s="2">
        <v>72556</v>
      </c>
      <c r="L130" s="4">
        <v>0.19362974805667299</v>
      </c>
      <c r="M130" t="s">
        <v>13</v>
      </c>
    </row>
    <row r="131" spans="1:13" x14ac:dyDescent="0.3">
      <c r="A131" t="s">
        <v>154</v>
      </c>
      <c r="B131" t="s">
        <v>6</v>
      </c>
      <c r="C131" s="1">
        <v>45564</v>
      </c>
      <c r="D131" t="s">
        <v>22</v>
      </c>
      <c r="E131" t="s">
        <v>7</v>
      </c>
      <c r="F131" s="2">
        <v>10472</v>
      </c>
      <c r="G131" s="2">
        <v>401</v>
      </c>
      <c r="H131" s="2">
        <v>668</v>
      </c>
      <c r="I131" s="2">
        <v>383</v>
      </c>
      <c r="J131" s="2">
        <v>37571</v>
      </c>
      <c r="K131" s="2">
        <v>249203</v>
      </c>
      <c r="L131" s="4">
        <v>4.6311641513143903E-2</v>
      </c>
      <c r="M131" t="s">
        <v>13</v>
      </c>
    </row>
    <row r="132" spans="1:13" x14ac:dyDescent="0.3">
      <c r="A132" t="s">
        <v>155</v>
      </c>
      <c r="B132" t="s">
        <v>6</v>
      </c>
      <c r="C132" s="1">
        <v>45586</v>
      </c>
      <c r="D132" t="s">
        <v>2</v>
      </c>
      <c r="E132" t="s">
        <v>29</v>
      </c>
      <c r="F132" s="2">
        <v>20271</v>
      </c>
      <c r="G132" s="2">
        <v>512</v>
      </c>
      <c r="H132" s="2">
        <v>286</v>
      </c>
      <c r="I132" s="2">
        <v>1982</v>
      </c>
      <c r="J132" s="2">
        <v>43225</v>
      </c>
      <c r="K132" s="2">
        <v>168335</v>
      </c>
      <c r="L132" s="4">
        <v>0.125161137018445</v>
      </c>
      <c r="M132" t="s">
        <v>17</v>
      </c>
    </row>
    <row r="133" spans="1:13" x14ac:dyDescent="0.3">
      <c r="A133" t="s">
        <v>156</v>
      </c>
      <c r="B133" t="s">
        <v>10</v>
      </c>
      <c r="C133" s="1">
        <v>45720</v>
      </c>
      <c r="D133" t="s">
        <v>15</v>
      </c>
      <c r="E133" t="s">
        <v>7</v>
      </c>
      <c r="F133" s="2">
        <v>5266</v>
      </c>
      <c r="G133" s="2">
        <v>316</v>
      </c>
      <c r="H133" s="2">
        <v>837</v>
      </c>
      <c r="I133" s="2">
        <v>2276</v>
      </c>
      <c r="J133" s="2">
        <v>20967</v>
      </c>
      <c r="K133" s="2">
        <v>41969</v>
      </c>
      <c r="L133" s="4">
        <v>0.15294622221163201</v>
      </c>
      <c r="M133" t="s">
        <v>33</v>
      </c>
    </row>
    <row r="134" spans="1:13" x14ac:dyDescent="0.3">
      <c r="A134" t="s">
        <v>157</v>
      </c>
      <c r="B134" t="s">
        <v>10</v>
      </c>
      <c r="C134" s="1">
        <v>45694</v>
      </c>
      <c r="D134" t="s">
        <v>2</v>
      </c>
      <c r="E134" t="s">
        <v>3</v>
      </c>
      <c r="F134" s="2">
        <v>2666</v>
      </c>
      <c r="G134" s="2">
        <v>1136</v>
      </c>
      <c r="H134" s="2">
        <v>989</v>
      </c>
      <c r="I134" s="2">
        <v>1710</v>
      </c>
      <c r="J134" s="2">
        <v>36467</v>
      </c>
      <c r="K134" s="2">
        <v>83753</v>
      </c>
      <c r="L134" s="4">
        <v>5.7203921053574198E-2</v>
      </c>
      <c r="M134" t="s">
        <v>13</v>
      </c>
    </row>
    <row r="135" spans="1:13" x14ac:dyDescent="0.3">
      <c r="A135" t="s">
        <v>158</v>
      </c>
      <c r="B135" t="s">
        <v>10</v>
      </c>
      <c r="C135" s="1">
        <v>45931</v>
      </c>
      <c r="D135" t="s">
        <v>22</v>
      </c>
      <c r="E135" t="s">
        <v>20</v>
      </c>
      <c r="F135" s="2">
        <v>6188</v>
      </c>
      <c r="G135" s="2">
        <v>774</v>
      </c>
      <c r="H135" s="2">
        <v>647</v>
      </c>
      <c r="I135" s="2">
        <v>1830</v>
      </c>
      <c r="J135" s="2">
        <v>55436</v>
      </c>
      <c r="K135" s="2">
        <v>175542</v>
      </c>
      <c r="L135" s="4">
        <v>4.3345752013763103E-2</v>
      </c>
      <c r="M135" t="s">
        <v>8</v>
      </c>
    </row>
    <row r="136" spans="1:13" x14ac:dyDescent="0.3">
      <c r="A136" t="s">
        <v>159</v>
      </c>
      <c r="B136" t="s">
        <v>1</v>
      </c>
      <c r="C136" s="1">
        <v>45624</v>
      </c>
      <c r="D136" t="s">
        <v>22</v>
      </c>
      <c r="E136" t="s">
        <v>29</v>
      </c>
      <c r="F136" s="2">
        <v>19055</v>
      </c>
      <c r="G136" s="2">
        <v>443</v>
      </c>
      <c r="H136" s="2">
        <v>976</v>
      </c>
      <c r="I136" s="2">
        <v>869</v>
      </c>
      <c r="J136" s="2">
        <v>75437</v>
      </c>
      <c r="K136" s="2">
        <v>161863</v>
      </c>
      <c r="L136" s="4">
        <v>0.12648968572187599</v>
      </c>
      <c r="M136" t="s">
        <v>13</v>
      </c>
    </row>
    <row r="137" spans="1:13" x14ac:dyDescent="0.3">
      <c r="A137" t="s">
        <v>160</v>
      </c>
      <c r="B137" t="s">
        <v>10</v>
      </c>
      <c r="C137" s="1">
        <v>45932</v>
      </c>
      <c r="D137" t="s">
        <v>22</v>
      </c>
      <c r="E137" t="s">
        <v>12</v>
      </c>
      <c r="F137" s="2">
        <v>12161</v>
      </c>
      <c r="G137" s="2">
        <v>736</v>
      </c>
      <c r="H137" s="2">
        <v>876</v>
      </c>
      <c r="I137" s="2">
        <v>1233</v>
      </c>
      <c r="J137" s="2">
        <v>21337</v>
      </c>
      <c r="K137" s="2">
        <v>50225</v>
      </c>
      <c r="L137" s="4">
        <v>0.27422598307615698</v>
      </c>
      <c r="M137" t="s">
        <v>8</v>
      </c>
    </row>
    <row r="138" spans="1:13" x14ac:dyDescent="0.3">
      <c r="A138" t="s">
        <v>161</v>
      </c>
      <c r="B138" t="s">
        <v>10</v>
      </c>
      <c r="C138" s="1">
        <v>45504</v>
      </c>
      <c r="D138" t="s">
        <v>22</v>
      </c>
      <c r="E138" t="s">
        <v>16</v>
      </c>
      <c r="F138" s="2">
        <v>13314</v>
      </c>
      <c r="G138" s="2">
        <v>274</v>
      </c>
      <c r="H138" s="2">
        <v>626</v>
      </c>
      <c r="I138" s="2">
        <v>2280</v>
      </c>
      <c r="J138" s="2">
        <v>14639</v>
      </c>
      <c r="K138" s="2">
        <v>163008</v>
      </c>
      <c r="L138" s="4">
        <v>8.7198174322732594E-2</v>
      </c>
      <c r="M138" t="s">
        <v>17</v>
      </c>
    </row>
    <row r="139" spans="1:13" x14ac:dyDescent="0.3">
      <c r="A139" t="s">
        <v>162</v>
      </c>
      <c r="B139" t="s">
        <v>10</v>
      </c>
      <c r="C139" s="1">
        <v>45745</v>
      </c>
      <c r="D139" t="s">
        <v>22</v>
      </c>
      <c r="E139" t="s">
        <v>12</v>
      </c>
      <c r="F139" s="2">
        <v>23508</v>
      </c>
      <c r="G139" s="2">
        <v>585</v>
      </c>
      <c r="H139" s="2">
        <v>743</v>
      </c>
      <c r="I139" s="2">
        <v>2155</v>
      </c>
      <c r="J139" s="2">
        <v>3704</v>
      </c>
      <c r="K139" s="2">
        <v>194268</v>
      </c>
      <c r="L139" s="4">
        <v>0.12784400930673101</v>
      </c>
      <c r="M139" t="s">
        <v>17</v>
      </c>
    </row>
    <row r="140" spans="1:13" x14ac:dyDescent="0.3">
      <c r="A140" t="s">
        <v>163</v>
      </c>
      <c r="B140" t="s">
        <v>1</v>
      </c>
      <c r="C140" s="1">
        <v>45594</v>
      </c>
      <c r="D140" t="s">
        <v>11</v>
      </c>
      <c r="E140" t="s">
        <v>38</v>
      </c>
      <c r="F140" s="2">
        <v>23969</v>
      </c>
      <c r="G140" s="2">
        <v>1433</v>
      </c>
      <c r="H140" s="2">
        <v>372</v>
      </c>
      <c r="I140" s="2">
        <v>1092</v>
      </c>
      <c r="J140" s="2">
        <v>32147</v>
      </c>
      <c r="K140" s="2">
        <v>145823</v>
      </c>
      <c r="L140" s="4">
        <v>0.17674852389540699</v>
      </c>
      <c r="M140" t="s">
        <v>13</v>
      </c>
    </row>
    <row r="141" spans="1:13" x14ac:dyDescent="0.3">
      <c r="A141" t="s">
        <v>164</v>
      </c>
      <c r="B141" t="s">
        <v>10</v>
      </c>
      <c r="C141" s="1">
        <v>45488</v>
      </c>
      <c r="D141" t="s">
        <v>11</v>
      </c>
      <c r="E141" t="s">
        <v>23</v>
      </c>
      <c r="F141" s="2">
        <v>14891</v>
      </c>
      <c r="G141" s="2">
        <v>674</v>
      </c>
      <c r="H141" s="2">
        <v>521</v>
      </c>
      <c r="I141" s="2">
        <v>1091</v>
      </c>
      <c r="J141" s="2">
        <v>18101</v>
      </c>
      <c r="K141" s="2">
        <v>53669</v>
      </c>
      <c r="L141" s="4">
        <v>0.29972609886526702</v>
      </c>
      <c r="M141" t="s">
        <v>4</v>
      </c>
    </row>
    <row r="142" spans="1:13" x14ac:dyDescent="0.3">
      <c r="A142" t="s">
        <v>165</v>
      </c>
      <c r="B142" t="s">
        <v>6</v>
      </c>
      <c r="C142" s="1">
        <v>45933</v>
      </c>
      <c r="D142" t="s">
        <v>2</v>
      </c>
      <c r="E142" t="s">
        <v>29</v>
      </c>
      <c r="F142" s="2">
        <v>6777</v>
      </c>
      <c r="G142" s="2">
        <v>617</v>
      </c>
      <c r="H142" s="2">
        <v>551</v>
      </c>
      <c r="I142" s="2">
        <v>2109</v>
      </c>
      <c r="J142" s="2">
        <v>18559</v>
      </c>
      <c r="K142" s="2">
        <v>208452</v>
      </c>
      <c r="L142" s="4">
        <v>3.81142901003588E-2</v>
      </c>
      <c r="M142" t="s">
        <v>8</v>
      </c>
    </row>
    <row r="143" spans="1:13" x14ac:dyDescent="0.3">
      <c r="A143" t="s">
        <v>166</v>
      </c>
      <c r="B143" t="s">
        <v>10</v>
      </c>
      <c r="C143" s="1">
        <v>45741</v>
      </c>
      <c r="D143" t="s">
        <v>22</v>
      </c>
      <c r="E143" t="s">
        <v>12</v>
      </c>
      <c r="F143" s="2">
        <v>5900</v>
      </c>
      <c r="G143" s="2">
        <v>546</v>
      </c>
      <c r="H143" s="2">
        <v>592</v>
      </c>
      <c r="I143" s="2">
        <v>1594</v>
      </c>
      <c r="J143" s="2">
        <v>38627</v>
      </c>
      <c r="K143" s="2">
        <v>164398</v>
      </c>
      <c r="L143" s="4">
        <v>4.2810739790021798E-2</v>
      </c>
      <c r="M143" t="s">
        <v>33</v>
      </c>
    </row>
    <row r="144" spans="1:13" x14ac:dyDescent="0.3">
      <c r="A144" t="s">
        <v>167</v>
      </c>
      <c r="B144" t="s">
        <v>6</v>
      </c>
      <c r="C144" s="1">
        <v>45567</v>
      </c>
      <c r="D144" t="s">
        <v>2</v>
      </c>
      <c r="E144" t="s">
        <v>12</v>
      </c>
      <c r="F144" s="2">
        <v>15716</v>
      </c>
      <c r="G144" s="2">
        <v>839</v>
      </c>
      <c r="H144" s="2">
        <v>639</v>
      </c>
      <c r="I144" s="2">
        <v>2839</v>
      </c>
      <c r="J144" s="2">
        <v>349</v>
      </c>
      <c r="K144" s="2">
        <v>150677</v>
      </c>
      <c r="L144" s="4">
        <v>0.114111642785561</v>
      </c>
      <c r="M144" t="s">
        <v>13</v>
      </c>
    </row>
    <row r="145" spans="1:13" x14ac:dyDescent="0.3">
      <c r="A145" t="s">
        <v>168</v>
      </c>
      <c r="B145" t="s">
        <v>6</v>
      </c>
      <c r="C145" s="1">
        <v>45593</v>
      </c>
      <c r="D145" t="s">
        <v>22</v>
      </c>
      <c r="E145" t="s">
        <v>43</v>
      </c>
      <c r="F145" s="2">
        <v>8981</v>
      </c>
      <c r="G145" s="2">
        <v>1138</v>
      </c>
      <c r="H145" s="2">
        <v>764</v>
      </c>
      <c r="I145" s="2">
        <v>2555</v>
      </c>
      <c r="J145" s="2">
        <v>92810</v>
      </c>
      <c r="K145" s="2">
        <v>88320</v>
      </c>
      <c r="L145" s="4">
        <v>0.123222373188406</v>
      </c>
      <c r="M145" t="s">
        <v>33</v>
      </c>
    </row>
    <row r="146" spans="1:13" x14ac:dyDescent="0.3">
      <c r="A146" t="s">
        <v>169</v>
      </c>
      <c r="B146" t="s">
        <v>6</v>
      </c>
      <c r="C146" s="1">
        <v>45516</v>
      </c>
      <c r="D146" t="s">
        <v>22</v>
      </c>
      <c r="E146" t="s">
        <v>7</v>
      </c>
      <c r="F146" s="2">
        <v>8376</v>
      </c>
      <c r="G146" s="2">
        <v>1154</v>
      </c>
      <c r="H146" s="2">
        <v>422</v>
      </c>
      <c r="I146" s="2">
        <v>1907</v>
      </c>
      <c r="J146" s="2">
        <v>36874</v>
      </c>
      <c r="K146" s="2">
        <v>218486</v>
      </c>
      <c r="L146" s="4">
        <v>4.5549829279679203E-2</v>
      </c>
      <c r="M146" t="s">
        <v>13</v>
      </c>
    </row>
    <row r="147" spans="1:13" x14ac:dyDescent="0.3">
      <c r="A147" t="s">
        <v>170</v>
      </c>
      <c r="B147" t="s">
        <v>1</v>
      </c>
      <c r="C147" s="1">
        <v>45448</v>
      </c>
      <c r="D147" t="s">
        <v>11</v>
      </c>
      <c r="E147" t="s">
        <v>43</v>
      </c>
      <c r="F147" s="2">
        <v>18907</v>
      </c>
      <c r="G147" s="2">
        <v>1075</v>
      </c>
      <c r="H147" s="2">
        <v>675</v>
      </c>
      <c r="I147" s="2">
        <v>1383</v>
      </c>
      <c r="J147" s="2">
        <v>17875</v>
      </c>
      <c r="K147" s="2">
        <v>186649</v>
      </c>
      <c r="L147" s="4">
        <v>0.110672974406506</v>
      </c>
      <c r="M147" t="s">
        <v>4</v>
      </c>
    </row>
    <row r="148" spans="1:13" x14ac:dyDescent="0.3">
      <c r="A148" t="s">
        <v>171</v>
      </c>
      <c r="B148" t="s">
        <v>1</v>
      </c>
      <c r="C148" s="1">
        <v>45586</v>
      </c>
      <c r="D148" t="s">
        <v>11</v>
      </c>
      <c r="E148" t="s">
        <v>29</v>
      </c>
      <c r="F148" s="2">
        <v>20777</v>
      </c>
      <c r="G148" s="2">
        <v>962</v>
      </c>
      <c r="H148" s="2">
        <v>308</v>
      </c>
      <c r="I148" s="2">
        <v>2777</v>
      </c>
      <c r="J148" s="2">
        <v>25529</v>
      </c>
      <c r="K148" s="2">
        <v>165354</v>
      </c>
      <c r="L148" s="4">
        <v>0.13333212380710499</v>
      </c>
      <c r="M148" t="s">
        <v>4</v>
      </c>
    </row>
    <row r="149" spans="1:13" x14ac:dyDescent="0.3">
      <c r="A149" t="s">
        <v>172</v>
      </c>
      <c r="B149" t="s">
        <v>1</v>
      </c>
      <c r="C149" s="1">
        <v>45762</v>
      </c>
      <c r="D149" t="s">
        <v>15</v>
      </c>
      <c r="E149" t="s">
        <v>29</v>
      </c>
      <c r="F149" s="2">
        <v>20977</v>
      </c>
      <c r="G149" s="2">
        <v>1402</v>
      </c>
      <c r="H149" s="2">
        <v>301</v>
      </c>
      <c r="I149" s="2">
        <v>1284</v>
      </c>
      <c r="J149" s="2">
        <v>24620</v>
      </c>
      <c r="K149" s="2">
        <v>128009</v>
      </c>
      <c r="L149" s="4">
        <v>0.177175042379833</v>
      </c>
      <c r="M149" t="s">
        <v>4</v>
      </c>
    </row>
    <row r="150" spans="1:13" x14ac:dyDescent="0.3">
      <c r="A150" t="s">
        <v>173</v>
      </c>
      <c r="B150" t="s">
        <v>10</v>
      </c>
      <c r="C150" s="1">
        <v>45459</v>
      </c>
      <c r="D150" t="s">
        <v>11</v>
      </c>
      <c r="E150" t="s">
        <v>3</v>
      </c>
      <c r="F150" s="2">
        <v>12160</v>
      </c>
      <c r="G150" s="2">
        <v>1405</v>
      </c>
      <c r="H150" s="2">
        <v>769</v>
      </c>
      <c r="I150" s="2">
        <v>1980</v>
      </c>
      <c r="J150" s="2">
        <v>33174</v>
      </c>
      <c r="K150" s="2">
        <v>226481</v>
      </c>
      <c r="L150" s="4">
        <v>6.3290077313328696E-2</v>
      </c>
      <c r="M150" t="s">
        <v>4</v>
      </c>
    </row>
    <row r="151" spans="1:13" x14ac:dyDescent="0.3">
      <c r="A151" t="s">
        <v>174</v>
      </c>
      <c r="B151" t="s">
        <v>6</v>
      </c>
      <c r="C151" s="1">
        <v>45526</v>
      </c>
      <c r="D151" t="s">
        <v>15</v>
      </c>
      <c r="E151" t="s">
        <v>43</v>
      </c>
      <c r="F151" s="2">
        <v>16124</v>
      </c>
      <c r="G151" s="2">
        <v>863</v>
      </c>
      <c r="H151" s="2">
        <v>337</v>
      </c>
      <c r="I151" s="2">
        <v>819</v>
      </c>
      <c r="J151" s="2">
        <v>85788</v>
      </c>
      <c r="K151" s="2">
        <v>68625</v>
      </c>
      <c r="L151" s="4">
        <v>0.25244444444444403</v>
      </c>
      <c r="M151" t="s">
        <v>17</v>
      </c>
    </row>
    <row r="152" spans="1:13" x14ac:dyDescent="0.3">
      <c r="A152" t="s">
        <v>175</v>
      </c>
      <c r="B152" t="s">
        <v>1</v>
      </c>
      <c r="C152" s="1">
        <v>45499</v>
      </c>
      <c r="D152" t="s">
        <v>15</v>
      </c>
      <c r="E152" t="s">
        <v>52</v>
      </c>
      <c r="F152" s="2">
        <v>18282</v>
      </c>
      <c r="G152" s="2">
        <v>224</v>
      </c>
      <c r="H152" s="2">
        <v>962</v>
      </c>
      <c r="I152" s="2">
        <v>890</v>
      </c>
      <c r="J152" s="2">
        <v>35105</v>
      </c>
      <c r="K152" s="2">
        <v>64089</v>
      </c>
      <c r="L152" s="4">
        <v>0.30376507669022801</v>
      </c>
      <c r="M152" t="s">
        <v>17</v>
      </c>
    </row>
    <row r="153" spans="1:13" x14ac:dyDescent="0.3">
      <c r="A153" t="s">
        <v>176</v>
      </c>
      <c r="B153" t="s">
        <v>1</v>
      </c>
      <c r="C153" s="1">
        <v>45934</v>
      </c>
      <c r="D153" t="s">
        <v>15</v>
      </c>
      <c r="E153" t="s">
        <v>103</v>
      </c>
      <c r="F153" s="2">
        <v>12488</v>
      </c>
      <c r="G153" s="2">
        <v>1403</v>
      </c>
      <c r="H153" s="2">
        <v>247</v>
      </c>
      <c r="I153" s="2">
        <v>1350</v>
      </c>
      <c r="J153" s="2">
        <v>28370</v>
      </c>
      <c r="K153" s="2">
        <v>76487</v>
      </c>
      <c r="L153" s="4">
        <v>0.184841868552826</v>
      </c>
      <c r="M153" t="s">
        <v>8</v>
      </c>
    </row>
    <row r="154" spans="1:13" x14ac:dyDescent="0.3">
      <c r="A154" t="s">
        <v>177</v>
      </c>
      <c r="B154" t="s">
        <v>10</v>
      </c>
      <c r="C154" s="1">
        <v>45658</v>
      </c>
      <c r="D154" t="s">
        <v>15</v>
      </c>
      <c r="E154" t="s">
        <v>7</v>
      </c>
      <c r="F154" s="2">
        <v>24574</v>
      </c>
      <c r="G154" s="2">
        <v>909</v>
      </c>
      <c r="H154" s="2">
        <v>280</v>
      </c>
      <c r="I154" s="2">
        <v>2009</v>
      </c>
      <c r="J154" s="2">
        <v>6221</v>
      </c>
      <c r="K154" s="2">
        <v>236910</v>
      </c>
      <c r="L154" s="4">
        <v>0.108745937275759</v>
      </c>
      <c r="M154" t="s">
        <v>33</v>
      </c>
    </row>
    <row r="155" spans="1:13" x14ac:dyDescent="0.3">
      <c r="A155" t="s">
        <v>178</v>
      </c>
      <c r="B155" t="s">
        <v>1</v>
      </c>
      <c r="C155" s="1">
        <v>45574</v>
      </c>
      <c r="D155" t="s">
        <v>15</v>
      </c>
      <c r="E155" t="s">
        <v>29</v>
      </c>
      <c r="F155" s="2">
        <v>7240</v>
      </c>
      <c r="G155" s="2">
        <v>1384</v>
      </c>
      <c r="H155" s="2">
        <v>954</v>
      </c>
      <c r="I155" s="2">
        <v>2335</v>
      </c>
      <c r="J155" s="2">
        <v>6757</v>
      </c>
      <c r="K155" s="2">
        <v>150448</v>
      </c>
      <c r="L155" s="4">
        <v>6.3663192598107002E-2</v>
      </c>
      <c r="M155" t="s">
        <v>13</v>
      </c>
    </row>
    <row r="156" spans="1:13" x14ac:dyDescent="0.3">
      <c r="A156" t="s">
        <v>179</v>
      </c>
      <c r="B156" t="s">
        <v>10</v>
      </c>
      <c r="C156" s="1">
        <v>45647</v>
      </c>
      <c r="D156" t="s">
        <v>2</v>
      </c>
      <c r="E156" t="s">
        <v>3</v>
      </c>
      <c r="F156" s="2">
        <v>12453</v>
      </c>
      <c r="G156" s="2">
        <v>376</v>
      </c>
      <c r="H156" s="2">
        <v>320</v>
      </c>
      <c r="I156" s="2">
        <v>2546</v>
      </c>
      <c r="J156" s="2">
        <v>22617</v>
      </c>
      <c r="K156" s="2">
        <v>90138</v>
      </c>
      <c r="L156" s="4">
        <v>0.14587632297144401</v>
      </c>
      <c r="M156" t="s">
        <v>13</v>
      </c>
    </row>
    <row r="157" spans="1:13" x14ac:dyDescent="0.3">
      <c r="A157" t="s">
        <v>180</v>
      </c>
      <c r="B157" t="s">
        <v>28</v>
      </c>
      <c r="C157" s="1">
        <v>45587</v>
      </c>
      <c r="D157" t="s">
        <v>11</v>
      </c>
      <c r="E157" t="s">
        <v>23</v>
      </c>
      <c r="F157" s="2">
        <v>12478</v>
      </c>
      <c r="G157" s="2">
        <v>484</v>
      </c>
      <c r="H157" s="2">
        <v>332</v>
      </c>
      <c r="I157" s="2">
        <v>2734</v>
      </c>
      <c r="J157" s="2">
        <v>43338</v>
      </c>
      <c r="K157" s="2">
        <v>213895</v>
      </c>
      <c r="L157" s="4">
        <v>6.2151990462610197E-2</v>
      </c>
      <c r="M157" t="s">
        <v>17</v>
      </c>
    </row>
    <row r="158" spans="1:13" x14ac:dyDescent="0.3">
      <c r="A158" t="s">
        <v>181</v>
      </c>
      <c r="B158" t="s">
        <v>1</v>
      </c>
      <c r="C158" s="1">
        <v>45496</v>
      </c>
      <c r="D158" t="s">
        <v>15</v>
      </c>
      <c r="E158" t="s">
        <v>43</v>
      </c>
      <c r="F158" s="2">
        <v>24877</v>
      </c>
      <c r="G158" s="2">
        <v>262</v>
      </c>
      <c r="H158" s="2">
        <v>513</v>
      </c>
      <c r="I158" s="2">
        <v>648</v>
      </c>
      <c r="J158" s="2">
        <v>47544</v>
      </c>
      <c r="K158" s="2">
        <v>208280</v>
      </c>
      <c r="L158" s="4">
        <v>0.12316112924908799</v>
      </c>
      <c r="M158" t="s">
        <v>13</v>
      </c>
    </row>
    <row r="159" spans="1:13" x14ac:dyDescent="0.3">
      <c r="A159" t="s">
        <v>182</v>
      </c>
      <c r="B159" t="s">
        <v>28</v>
      </c>
      <c r="C159" s="1">
        <v>45515</v>
      </c>
      <c r="D159" t="s">
        <v>22</v>
      </c>
      <c r="E159" t="s">
        <v>7</v>
      </c>
      <c r="F159" s="2">
        <v>14394</v>
      </c>
      <c r="G159" s="2">
        <v>1202</v>
      </c>
      <c r="H159" s="2">
        <v>188</v>
      </c>
      <c r="I159" s="2">
        <v>1259</v>
      </c>
      <c r="J159" s="2">
        <v>21925</v>
      </c>
      <c r="K159" s="2">
        <v>94061</v>
      </c>
      <c r="L159" s="4">
        <v>0.16780599823518799</v>
      </c>
      <c r="M159" t="s">
        <v>17</v>
      </c>
    </row>
    <row r="160" spans="1:13" x14ac:dyDescent="0.3">
      <c r="A160" t="s">
        <v>183</v>
      </c>
      <c r="B160" t="s">
        <v>10</v>
      </c>
      <c r="C160" s="1">
        <v>45935</v>
      </c>
      <c r="D160" t="s">
        <v>11</v>
      </c>
      <c r="E160" t="s">
        <v>23</v>
      </c>
      <c r="F160" s="2">
        <v>21262</v>
      </c>
      <c r="G160" s="2">
        <v>861</v>
      </c>
      <c r="H160" s="2">
        <v>676</v>
      </c>
      <c r="I160" s="2">
        <v>2263</v>
      </c>
      <c r="J160" s="2">
        <v>12085</v>
      </c>
      <c r="K160" s="2">
        <v>201731</v>
      </c>
      <c r="L160" s="4">
        <v>0.113016839256237</v>
      </c>
      <c r="M160" t="s">
        <v>8</v>
      </c>
    </row>
    <row r="161" spans="1:13" x14ac:dyDescent="0.3">
      <c r="A161" t="s">
        <v>184</v>
      </c>
      <c r="B161" t="s">
        <v>6</v>
      </c>
      <c r="C161" s="1">
        <v>45528</v>
      </c>
      <c r="D161" t="s">
        <v>11</v>
      </c>
      <c r="E161" t="s">
        <v>43</v>
      </c>
      <c r="F161" s="2">
        <v>22527</v>
      </c>
      <c r="G161" s="2">
        <v>865</v>
      </c>
      <c r="H161" s="2">
        <v>646</v>
      </c>
      <c r="I161" s="2">
        <v>992</v>
      </c>
      <c r="J161" s="2">
        <v>18654</v>
      </c>
      <c r="K161" s="2">
        <v>141376</v>
      </c>
      <c r="L161" s="4">
        <v>0.170028859212313</v>
      </c>
      <c r="M161" t="s">
        <v>33</v>
      </c>
    </row>
    <row r="162" spans="1:13" x14ac:dyDescent="0.3">
      <c r="A162" t="s">
        <v>185</v>
      </c>
      <c r="B162" t="s">
        <v>1</v>
      </c>
      <c r="C162" s="1">
        <v>45936</v>
      </c>
      <c r="D162" t="s">
        <v>15</v>
      </c>
      <c r="E162" t="s">
        <v>12</v>
      </c>
      <c r="F162" s="2">
        <v>22028</v>
      </c>
      <c r="G162" s="2">
        <v>355</v>
      </c>
      <c r="H162" s="2">
        <v>665</v>
      </c>
      <c r="I162" s="2">
        <v>1859</v>
      </c>
      <c r="J162" s="2">
        <v>50565</v>
      </c>
      <c r="K162" s="2">
        <v>202962</v>
      </c>
      <c r="L162" s="4">
        <v>0.11355820301337199</v>
      </c>
      <c r="M162" t="s">
        <v>8</v>
      </c>
    </row>
    <row r="163" spans="1:13" x14ac:dyDescent="0.3">
      <c r="A163" t="s">
        <v>186</v>
      </c>
      <c r="B163" t="s">
        <v>10</v>
      </c>
      <c r="C163" s="1">
        <v>45748</v>
      </c>
      <c r="D163" t="s">
        <v>2</v>
      </c>
      <c r="E163" t="s">
        <v>23</v>
      </c>
      <c r="F163" s="2">
        <v>6432</v>
      </c>
      <c r="G163" s="2">
        <v>1272</v>
      </c>
      <c r="H163" s="2">
        <v>498</v>
      </c>
      <c r="I163" s="2">
        <v>677</v>
      </c>
      <c r="J163" s="2">
        <v>47305</v>
      </c>
      <c r="K163" s="2">
        <v>119134</v>
      </c>
      <c r="L163" s="4">
        <v>6.8846844729464299E-2</v>
      </c>
      <c r="M163" t="s">
        <v>4</v>
      </c>
    </row>
    <row r="164" spans="1:13" x14ac:dyDescent="0.3">
      <c r="A164" t="s">
        <v>187</v>
      </c>
      <c r="B164" t="s">
        <v>6</v>
      </c>
      <c r="C164" s="1">
        <v>45755</v>
      </c>
      <c r="D164" t="s">
        <v>15</v>
      </c>
      <c r="E164" t="s">
        <v>3</v>
      </c>
      <c r="F164" s="2">
        <v>15568</v>
      </c>
      <c r="G164" s="2">
        <v>1166</v>
      </c>
      <c r="H164" s="2">
        <v>546</v>
      </c>
      <c r="I164" s="2">
        <v>826</v>
      </c>
      <c r="J164" s="2">
        <v>21836</v>
      </c>
      <c r="K164" s="2">
        <v>87055</v>
      </c>
      <c r="L164" s="4">
        <v>0.19849520418126501</v>
      </c>
      <c r="M164" t="s">
        <v>4</v>
      </c>
    </row>
    <row r="165" spans="1:13" x14ac:dyDescent="0.3">
      <c r="A165" t="s">
        <v>188</v>
      </c>
      <c r="B165" t="s">
        <v>6</v>
      </c>
      <c r="C165" s="1">
        <v>45715</v>
      </c>
      <c r="D165" t="s">
        <v>2</v>
      </c>
      <c r="E165" t="s">
        <v>7</v>
      </c>
      <c r="F165" s="2">
        <v>16178</v>
      </c>
      <c r="G165" s="2">
        <v>1048</v>
      </c>
      <c r="H165" s="2">
        <v>871</v>
      </c>
      <c r="I165" s="2">
        <v>2553</v>
      </c>
      <c r="J165" s="2">
        <v>39025</v>
      </c>
      <c r="K165" s="2">
        <v>59508</v>
      </c>
      <c r="L165" s="4">
        <v>0.30411037171472699</v>
      </c>
      <c r="M165" t="s">
        <v>4</v>
      </c>
    </row>
    <row r="166" spans="1:13" x14ac:dyDescent="0.3">
      <c r="A166" t="s">
        <v>189</v>
      </c>
      <c r="B166" t="s">
        <v>28</v>
      </c>
      <c r="C166" s="1">
        <v>45937</v>
      </c>
      <c r="D166" t="s">
        <v>22</v>
      </c>
      <c r="E166" t="s">
        <v>25</v>
      </c>
      <c r="F166" s="2">
        <v>19660</v>
      </c>
      <c r="G166" s="2">
        <v>1307</v>
      </c>
      <c r="H166" s="2">
        <v>310</v>
      </c>
      <c r="I166" s="2">
        <v>2802</v>
      </c>
      <c r="J166" s="2">
        <v>22171</v>
      </c>
      <c r="K166" s="2">
        <v>213359</v>
      </c>
      <c r="L166" s="4">
        <v>9.9723939463533307E-2</v>
      </c>
      <c r="M166" t="s">
        <v>8</v>
      </c>
    </row>
    <row r="167" spans="1:13" x14ac:dyDescent="0.3">
      <c r="A167" t="s">
        <v>190</v>
      </c>
      <c r="B167" t="s">
        <v>10</v>
      </c>
      <c r="C167" s="1">
        <v>45704</v>
      </c>
      <c r="D167" t="s">
        <v>11</v>
      </c>
      <c r="E167" t="s">
        <v>38</v>
      </c>
      <c r="F167" s="2">
        <v>24195</v>
      </c>
      <c r="G167" s="2">
        <v>888</v>
      </c>
      <c r="H167" s="2">
        <v>165</v>
      </c>
      <c r="I167" s="2">
        <v>1559</v>
      </c>
      <c r="J167" s="2">
        <v>11596</v>
      </c>
      <c r="K167" s="2">
        <v>249988</v>
      </c>
      <c r="L167" s="4">
        <v>0.100996847848697</v>
      </c>
      <c r="M167" t="s">
        <v>13</v>
      </c>
    </row>
    <row r="168" spans="1:13" x14ac:dyDescent="0.3">
      <c r="A168" t="s">
        <v>191</v>
      </c>
      <c r="B168" t="s">
        <v>6</v>
      </c>
      <c r="C168" s="1">
        <v>45624</v>
      </c>
      <c r="D168" t="s">
        <v>22</v>
      </c>
      <c r="E168" t="s">
        <v>38</v>
      </c>
      <c r="F168" s="2">
        <v>2302</v>
      </c>
      <c r="G168" s="2">
        <v>347</v>
      </c>
      <c r="H168" s="2">
        <v>642</v>
      </c>
      <c r="I168" s="2">
        <v>2175</v>
      </c>
      <c r="J168" s="2">
        <v>56378</v>
      </c>
      <c r="K168" s="2">
        <v>198056</v>
      </c>
      <c r="L168" s="4">
        <v>1.6616512501514701E-2</v>
      </c>
      <c r="M168" t="s">
        <v>33</v>
      </c>
    </row>
    <row r="169" spans="1:13" x14ac:dyDescent="0.3">
      <c r="A169" t="s">
        <v>192</v>
      </c>
      <c r="B169" t="s">
        <v>1</v>
      </c>
      <c r="C169" s="1">
        <v>45608</v>
      </c>
      <c r="D169" t="s">
        <v>2</v>
      </c>
      <c r="E169" t="s">
        <v>7</v>
      </c>
      <c r="F169" s="2">
        <v>19022</v>
      </c>
      <c r="G169" s="2">
        <v>541</v>
      </c>
      <c r="H169" s="2">
        <v>575</v>
      </c>
      <c r="I169" s="2">
        <v>2063</v>
      </c>
      <c r="J169" s="2">
        <v>42743</v>
      </c>
      <c r="K169" s="2">
        <v>150169</v>
      </c>
      <c r="L169" s="4">
        <v>0.134102244804187</v>
      </c>
      <c r="M169" t="s">
        <v>4</v>
      </c>
    </row>
    <row r="170" spans="1:13" x14ac:dyDescent="0.3">
      <c r="A170" t="s">
        <v>193</v>
      </c>
      <c r="B170" t="s">
        <v>1</v>
      </c>
      <c r="C170" s="1">
        <v>45629</v>
      </c>
      <c r="D170" t="s">
        <v>2</v>
      </c>
      <c r="E170" t="s">
        <v>23</v>
      </c>
      <c r="F170" s="2">
        <v>2055</v>
      </c>
      <c r="G170" s="2">
        <v>675</v>
      </c>
      <c r="H170" s="2">
        <v>257</v>
      </c>
      <c r="I170" s="2">
        <v>820</v>
      </c>
      <c r="J170" s="2">
        <v>33534</v>
      </c>
      <c r="K170" s="2">
        <v>48125</v>
      </c>
      <c r="L170" s="4">
        <v>6.20675324675325E-2</v>
      </c>
      <c r="M170" t="s">
        <v>4</v>
      </c>
    </row>
    <row r="171" spans="1:13" x14ac:dyDescent="0.3">
      <c r="A171" t="s">
        <v>194</v>
      </c>
      <c r="B171" t="s">
        <v>28</v>
      </c>
      <c r="C171" s="1">
        <v>45775</v>
      </c>
      <c r="D171" t="s">
        <v>22</v>
      </c>
      <c r="E171" t="s">
        <v>43</v>
      </c>
      <c r="F171" s="2">
        <v>15013</v>
      </c>
      <c r="G171" s="2">
        <v>1286</v>
      </c>
      <c r="H171" s="2">
        <v>599</v>
      </c>
      <c r="I171" s="2">
        <v>2001</v>
      </c>
      <c r="J171" s="2">
        <v>67839</v>
      </c>
      <c r="K171" s="2">
        <v>76059</v>
      </c>
      <c r="L171" s="4">
        <v>0.22216963147030599</v>
      </c>
      <c r="M171" t="s">
        <v>4</v>
      </c>
    </row>
    <row r="172" spans="1:13" x14ac:dyDescent="0.3">
      <c r="A172" t="s">
        <v>195</v>
      </c>
      <c r="B172" t="s">
        <v>6</v>
      </c>
      <c r="C172" s="1">
        <v>45657</v>
      </c>
      <c r="D172" t="s">
        <v>2</v>
      </c>
      <c r="E172" t="s">
        <v>3</v>
      </c>
      <c r="F172" s="2">
        <v>10717</v>
      </c>
      <c r="G172" s="2">
        <v>760</v>
      </c>
      <c r="H172" s="2">
        <v>460</v>
      </c>
      <c r="I172" s="2">
        <v>1316</v>
      </c>
      <c r="J172" s="2">
        <v>18164</v>
      </c>
      <c r="K172" s="2">
        <v>240641</v>
      </c>
      <c r="L172" s="4">
        <v>4.96050132770392E-2</v>
      </c>
      <c r="M172" t="s">
        <v>33</v>
      </c>
    </row>
    <row r="173" spans="1:13" x14ac:dyDescent="0.3">
      <c r="A173" t="s">
        <v>196</v>
      </c>
      <c r="B173" t="s">
        <v>10</v>
      </c>
      <c r="C173" s="1">
        <v>45518</v>
      </c>
      <c r="D173" t="s">
        <v>22</v>
      </c>
      <c r="E173" t="s">
        <v>103</v>
      </c>
      <c r="F173" s="2">
        <v>10150</v>
      </c>
      <c r="G173" s="2">
        <v>526</v>
      </c>
      <c r="H173" s="2">
        <v>888</v>
      </c>
      <c r="I173" s="2">
        <v>1313</v>
      </c>
      <c r="J173" s="2">
        <v>51605</v>
      </c>
      <c r="K173" s="2">
        <v>143409</v>
      </c>
      <c r="L173" s="4">
        <v>8.0636501195880297E-2</v>
      </c>
      <c r="M173" t="s">
        <v>4</v>
      </c>
    </row>
    <row r="174" spans="1:13" x14ac:dyDescent="0.3">
      <c r="A174" t="s">
        <v>197</v>
      </c>
      <c r="B174" t="s">
        <v>1</v>
      </c>
      <c r="C174" s="1">
        <v>45631</v>
      </c>
      <c r="D174" t="s">
        <v>11</v>
      </c>
      <c r="E174" t="s">
        <v>38</v>
      </c>
      <c r="F174" s="2">
        <v>4125</v>
      </c>
      <c r="G174" s="2">
        <v>1364</v>
      </c>
      <c r="H174" s="2">
        <v>319</v>
      </c>
      <c r="I174" s="2">
        <v>2848</v>
      </c>
      <c r="J174" s="2">
        <v>15379</v>
      </c>
      <c r="K174" s="2">
        <v>188159</v>
      </c>
      <c r="L174" s="4">
        <v>3.0867510988047301E-2</v>
      </c>
      <c r="M174" t="s">
        <v>33</v>
      </c>
    </row>
    <row r="175" spans="1:13" x14ac:dyDescent="0.3">
      <c r="A175" t="s">
        <v>198</v>
      </c>
      <c r="B175" t="s">
        <v>6</v>
      </c>
      <c r="C175" s="1">
        <v>45465</v>
      </c>
      <c r="D175" t="s">
        <v>22</v>
      </c>
      <c r="E175" t="s">
        <v>3</v>
      </c>
      <c r="F175" s="2">
        <v>13479</v>
      </c>
      <c r="G175" s="2">
        <v>1189</v>
      </c>
      <c r="H175" s="2">
        <v>695</v>
      </c>
      <c r="I175" s="2">
        <v>416</v>
      </c>
      <c r="J175" s="2">
        <v>30229</v>
      </c>
      <c r="K175" s="2">
        <v>45704</v>
      </c>
      <c r="L175" s="4">
        <v>0.33614125678277601</v>
      </c>
      <c r="M175" t="s">
        <v>4</v>
      </c>
    </row>
    <row r="176" spans="1:13" x14ac:dyDescent="0.3">
      <c r="A176" t="s">
        <v>199</v>
      </c>
      <c r="B176" t="s">
        <v>6</v>
      </c>
      <c r="C176" s="1">
        <v>45938</v>
      </c>
      <c r="D176" t="s">
        <v>11</v>
      </c>
      <c r="E176" t="s">
        <v>38</v>
      </c>
      <c r="F176" s="2">
        <v>17745</v>
      </c>
      <c r="G176" s="2">
        <v>414</v>
      </c>
      <c r="H176" s="2">
        <v>563</v>
      </c>
      <c r="I176" s="2">
        <v>2733</v>
      </c>
      <c r="J176" s="2">
        <v>995</v>
      </c>
      <c r="K176" s="2">
        <v>231648</v>
      </c>
      <c r="L176" s="4">
        <v>8.0820900676889101E-2</v>
      </c>
      <c r="M176" t="s">
        <v>8</v>
      </c>
    </row>
    <row r="177" spans="1:13" x14ac:dyDescent="0.3">
      <c r="A177" t="s">
        <v>200</v>
      </c>
      <c r="B177" t="s">
        <v>28</v>
      </c>
      <c r="C177" s="1">
        <v>45939</v>
      </c>
      <c r="D177" t="s">
        <v>22</v>
      </c>
      <c r="E177" t="s">
        <v>12</v>
      </c>
      <c r="F177" s="2">
        <v>18748</v>
      </c>
      <c r="G177" s="2">
        <v>634</v>
      </c>
      <c r="H177" s="2">
        <v>400</v>
      </c>
      <c r="I177" s="2">
        <v>1667</v>
      </c>
      <c r="J177" s="2">
        <v>75813</v>
      </c>
      <c r="K177" s="2">
        <v>244456</v>
      </c>
      <c r="L177" s="4">
        <v>8.0922538207284803E-2</v>
      </c>
      <c r="M177" t="s">
        <v>8</v>
      </c>
    </row>
    <row r="178" spans="1:13" x14ac:dyDescent="0.3">
      <c r="A178" t="s">
        <v>201</v>
      </c>
      <c r="B178" t="s">
        <v>1</v>
      </c>
      <c r="C178" s="1">
        <v>45483</v>
      </c>
      <c r="D178" t="s">
        <v>2</v>
      </c>
      <c r="E178" t="s">
        <v>43</v>
      </c>
      <c r="F178" s="2">
        <v>8809</v>
      </c>
      <c r="G178" s="2">
        <v>1151</v>
      </c>
      <c r="H178" s="2">
        <v>908</v>
      </c>
      <c r="I178" s="2">
        <v>883</v>
      </c>
      <c r="J178" s="2">
        <v>42921</v>
      </c>
      <c r="K178" s="2">
        <v>151279</v>
      </c>
      <c r="L178" s="4">
        <v>7.1840771025720701E-2</v>
      </c>
      <c r="M178" t="s">
        <v>33</v>
      </c>
    </row>
    <row r="179" spans="1:13" x14ac:dyDescent="0.3">
      <c r="A179" t="s">
        <v>202</v>
      </c>
      <c r="B179" t="s">
        <v>1</v>
      </c>
      <c r="C179" s="1">
        <v>45940</v>
      </c>
      <c r="D179" t="s">
        <v>22</v>
      </c>
      <c r="E179" t="s">
        <v>12</v>
      </c>
      <c r="F179" s="2">
        <v>6621</v>
      </c>
      <c r="G179" s="2">
        <v>922</v>
      </c>
      <c r="H179" s="2">
        <v>930</v>
      </c>
      <c r="I179" s="2">
        <v>694</v>
      </c>
      <c r="J179" s="2">
        <v>839</v>
      </c>
      <c r="K179" s="2">
        <v>243532</v>
      </c>
      <c r="L179" s="4">
        <v>3.4792142305733999E-2</v>
      </c>
      <c r="M179" t="s">
        <v>8</v>
      </c>
    </row>
    <row r="180" spans="1:13" x14ac:dyDescent="0.3">
      <c r="A180" t="s">
        <v>203</v>
      </c>
      <c r="B180" t="s">
        <v>10</v>
      </c>
      <c r="C180" s="1">
        <v>45488</v>
      </c>
      <c r="D180" t="s">
        <v>2</v>
      </c>
      <c r="E180" t="s">
        <v>38</v>
      </c>
      <c r="F180" s="2">
        <v>17034</v>
      </c>
      <c r="G180" s="2">
        <v>231</v>
      </c>
      <c r="H180" s="2">
        <v>290</v>
      </c>
      <c r="I180" s="2">
        <v>1387</v>
      </c>
      <c r="J180" s="2">
        <v>63550</v>
      </c>
      <c r="K180" s="2">
        <v>198280</v>
      </c>
      <c r="L180" s="4">
        <v>8.8536413153116805E-2</v>
      </c>
      <c r="M180" t="s">
        <v>33</v>
      </c>
    </row>
    <row r="181" spans="1:13" x14ac:dyDescent="0.3">
      <c r="A181" t="s">
        <v>204</v>
      </c>
      <c r="B181" t="s">
        <v>1</v>
      </c>
      <c r="C181" s="1">
        <v>45941</v>
      </c>
      <c r="D181" t="s">
        <v>22</v>
      </c>
      <c r="E181" t="s">
        <v>25</v>
      </c>
      <c r="F181" s="2">
        <v>15623</v>
      </c>
      <c r="G181" s="2">
        <v>869</v>
      </c>
      <c r="H181" s="2">
        <v>423</v>
      </c>
      <c r="I181" s="2">
        <v>371</v>
      </c>
      <c r="J181" s="2">
        <v>47579</v>
      </c>
      <c r="K181" s="2">
        <v>158516</v>
      </c>
      <c r="L181" s="4">
        <v>0.106708471069167</v>
      </c>
      <c r="M181" t="s">
        <v>8</v>
      </c>
    </row>
    <row r="182" spans="1:13" x14ac:dyDescent="0.3">
      <c r="A182" t="s">
        <v>205</v>
      </c>
      <c r="B182" t="s">
        <v>10</v>
      </c>
      <c r="C182" s="1">
        <v>45942</v>
      </c>
      <c r="D182" t="s">
        <v>22</v>
      </c>
      <c r="E182" t="s">
        <v>25</v>
      </c>
      <c r="F182" s="2">
        <v>7126</v>
      </c>
      <c r="G182" s="2">
        <v>484</v>
      </c>
      <c r="H182" s="2">
        <v>565</v>
      </c>
      <c r="I182" s="2">
        <v>573</v>
      </c>
      <c r="J182" s="2">
        <v>7389</v>
      </c>
      <c r="K182" s="2">
        <v>237096</v>
      </c>
      <c r="L182" s="4">
        <v>3.4479704423524597E-2</v>
      </c>
      <c r="M182" t="s">
        <v>8</v>
      </c>
    </row>
    <row r="183" spans="1:13" x14ac:dyDescent="0.3">
      <c r="A183" t="s">
        <v>206</v>
      </c>
      <c r="B183" t="s">
        <v>1</v>
      </c>
      <c r="C183" s="1">
        <v>45504</v>
      </c>
      <c r="D183" t="s">
        <v>15</v>
      </c>
      <c r="E183" t="s">
        <v>12</v>
      </c>
      <c r="F183" s="2">
        <v>7122</v>
      </c>
      <c r="G183" s="2">
        <v>628</v>
      </c>
      <c r="H183" s="2">
        <v>757</v>
      </c>
      <c r="I183" s="2">
        <v>2313</v>
      </c>
      <c r="J183" s="2">
        <v>50924</v>
      </c>
      <c r="K183" s="2">
        <v>210954</v>
      </c>
      <c r="L183" s="4">
        <v>4.0326327066564298E-2</v>
      </c>
      <c r="M183" t="s">
        <v>33</v>
      </c>
    </row>
    <row r="184" spans="1:13" x14ac:dyDescent="0.3">
      <c r="A184" t="s">
        <v>207</v>
      </c>
      <c r="B184" t="s">
        <v>28</v>
      </c>
      <c r="C184" s="1">
        <v>45643</v>
      </c>
      <c r="D184" t="s">
        <v>2</v>
      </c>
      <c r="E184" t="s">
        <v>25</v>
      </c>
      <c r="F184" s="2">
        <v>20030</v>
      </c>
      <c r="G184" s="2">
        <v>485</v>
      </c>
      <c r="H184" s="2">
        <v>888</v>
      </c>
      <c r="I184" s="2">
        <v>1643</v>
      </c>
      <c r="J184" s="2">
        <v>4322</v>
      </c>
      <c r="K184" s="2">
        <v>196995</v>
      </c>
      <c r="L184" s="4">
        <v>0.108647427599685</v>
      </c>
      <c r="M184" t="s">
        <v>13</v>
      </c>
    </row>
    <row r="185" spans="1:13" x14ac:dyDescent="0.3">
      <c r="A185" t="s">
        <v>208</v>
      </c>
      <c r="B185" t="s">
        <v>1</v>
      </c>
      <c r="C185" s="1">
        <v>45943</v>
      </c>
      <c r="D185" t="s">
        <v>15</v>
      </c>
      <c r="E185" t="s">
        <v>38</v>
      </c>
      <c r="F185" s="2">
        <v>19302</v>
      </c>
      <c r="G185" s="2">
        <v>1367</v>
      </c>
      <c r="H185" s="2">
        <v>188</v>
      </c>
      <c r="I185" s="2">
        <v>637</v>
      </c>
      <c r="J185" s="2">
        <v>31404</v>
      </c>
      <c r="K185" s="2">
        <v>154044</v>
      </c>
      <c r="L185" s="4">
        <v>0.13539638025499201</v>
      </c>
      <c r="M185" t="s">
        <v>8</v>
      </c>
    </row>
    <row r="186" spans="1:13" x14ac:dyDescent="0.3">
      <c r="A186" t="s">
        <v>209</v>
      </c>
      <c r="B186" t="s">
        <v>10</v>
      </c>
      <c r="C186" s="1">
        <v>45668</v>
      </c>
      <c r="D186" t="s">
        <v>2</v>
      </c>
      <c r="E186" t="s">
        <v>7</v>
      </c>
      <c r="F186" s="2">
        <v>21181</v>
      </c>
      <c r="G186" s="2">
        <v>1242</v>
      </c>
      <c r="H186" s="2">
        <v>963</v>
      </c>
      <c r="I186" s="2">
        <v>1689</v>
      </c>
      <c r="J186" s="2">
        <v>49329</v>
      </c>
      <c r="K186" s="2">
        <v>69165</v>
      </c>
      <c r="L186" s="4">
        <v>0.338118990819056</v>
      </c>
      <c r="M186" t="s">
        <v>4</v>
      </c>
    </row>
    <row r="187" spans="1:13" x14ac:dyDescent="0.3">
      <c r="A187" t="s">
        <v>210</v>
      </c>
      <c r="B187" t="s">
        <v>10</v>
      </c>
      <c r="C187" s="1">
        <v>45528</v>
      </c>
      <c r="D187" t="s">
        <v>15</v>
      </c>
      <c r="E187" t="s">
        <v>12</v>
      </c>
      <c r="F187" s="2">
        <v>24890</v>
      </c>
      <c r="G187" s="2">
        <v>217</v>
      </c>
      <c r="H187" s="2">
        <v>178</v>
      </c>
      <c r="I187" s="2">
        <v>906</v>
      </c>
      <c r="J187" s="2">
        <v>54826</v>
      </c>
      <c r="K187" s="2">
        <v>107203</v>
      </c>
      <c r="L187" s="4">
        <v>0.23586093672751701</v>
      </c>
      <c r="M187" t="s">
        <v>13</v>
      </c>
    </row>
    <row r="188" spans="1:13" x14ac:dyDescent="0.3">
      <c r="A188" t="s">
        <v>211</v>
      </c>
      <c r="B188" t="s">
        <v>28</v>
      </c>
      <c r="C188" s="1">
        <v>45648</v>
      </c>
      <c r="D188" t="s">
        <v>11</v>
      </c>
      <c r="E188" t="s">
        <v>103</v>
      </c>
      <c r="F188" s="2">
        <v>7870</v>
      </c>
      <c r="G188" s="2">
        <v>968</v>
      </c>
      <c r="H188" s="2">
        <v>626</v>
      </c>
      <c r="I188" s="2">
        <v>465</v>
      </c>
      <c r="J188" s="2">
        <v>27184</v>
      </c>
      <c r="K188" s="2">
        <v>44114</v>
      </c>
      <c r="L188" s="4">
        <v>0.214535068232307</v>
      </c>
      <c r="M188" t="s">
        <v>33</v>
      </c>
    </row>
    <row r="189" spans="1:13" x14ac:dyDescent="0.3">
      <c r="A189" t="s">
        <v>212</v>
      </c>
      <c r="B189" t="s">
        <v>1</v>
      </c>
      <c r="C189" s="1">
        <v>45449</v>
      </c>
      <c r="D189" t="s">
        <v>22</v>
      </c>
      <c r="E189" t="s">
        <v>103</v>
      </c>
      <c r="F189" s="2">
        <v>3531</v>
      </c>
      <c r="G189" s="2">
        <v>789</v>
      </c>
      <c r="H189" s="2">
        <v>467</v>
      </c>
      <c r="I189" s="2">
        <v>1867</v>
      </c>
      <c r="J189" s="2">
        <v>40816</v>
      </c>
      <c r="K189" s="2">
        <v>236037</v>
      </c>
      <c r="L189" s="4">
        <v>2.0280718700881599E-2</v>
      </c>
      <c r="M189" t="s">
        <v>13</v>
      </c>
    </row>
    <row r="190" spans="1:13" x14ac:dyDescent="0.3">
      <c r="A190" t="s">
        <v>213</v>
      </c>
      <c r="B190" t="s">
        <v>1</v>
      </c>
      <c r="C190" s="1">
        <v>45740</v>
      </c>
      <c r="D190" t="s">
        <v>2</v>
      </c>
      <c r="E190" t="s">
        <v>20</v>
      </c>
      <c r="F190" s="2">
        <v>10172</v>
      </c>
      <c r="G190" s="2">
        <v>1398</v>
      </c>
      <c r="H190" s="2">
        <v>394</v>
      </c>
      <c r="I190" s="2">
        <v>2358</v>
      </c>
      <c r="J190" s="2">
        <v>59610</v>
      </c>
      <c r="K190" s="2">
        <v>76321</v>
      </c>
      <c r="L190" s="4">
        <v>0.15675895231980699</v>
      </c>
      <c r="M190" t="s">
        <v>17</v>
      </c>
    </row>
    <row r="191" spans="1:13" x14ac:dyDescent="0.3">
      <c r="A191" t="s">
        <v>214</v>
      </c>
      <c r="B191" t="s">
        <v>28</v>
      </c>
      <c r="C191" s="1">
        <v>45569</v>
      </c>
      <c r="D191" t="s">
        <v>2</v>
      </c>
      <c r="E191" t="s">
        <v>23</v>
      </c>
      <c r="F191" s="2">
        <v>21729</v>
      </c>
      <c r="G191" s="2">
        <v>1209</v>
      </c>
      <c r="H191" s="2">
        <v>897</v>
      </c>
      <c r="I191" s="2">
        <v>1624</v>
      </c>
      <c r="J191" s="2">
        <v>38771</v>
      </c>
      <c r="K191" s="2">
        <v>113297</v>
      </c>
      <c r="L191" s="4">
        <v>0.21037626768581699</v>
      </c>
      <c r="M191" t="s">
        <v>17</v>
      </c>
    </row>
    <row r="192" spans="1:13" x14ac:dyDescent="0.3">
      <c r="A192" t="s">
        <v>215</v>
      </c>
      <c r="B192" t="s">
        <v>1</v>
      </c>
      <c r="C192" s="1">
        <v>45944</v>
      </c>
      <c r="D192" t="s">
        <v>22</v>
      </c>
      <c r="E192" t="s">
        <v>43</v>
      </c>
      <c r="F192" s="2">
        <v>9673</v>
      </c>
      <c r="G192" s="2">
        <v>393</v>
      </c>
      <c r="H192" s="2">
        <v>846</v>
      </c>
      <c r="I192" s="2">
        <v>1028</v>
      </c>
      <c r="J192" s="2">
        <v>55556</v>
      </c>
      <c r="K192" s="2">
        <v>136652</v>
      </c>
      <c r="L192" s="4">
        <v>7.9852471972601896E-2</v>
      </c>
      <c r="M192" t="s">
        <v>8</v>
      </c>
    </row>
    <row r="193" spans="1:13" x14ac:dyDescent="0.3">
      <c r="A193" t="s">
        <v>216</v>
      </c>
      <c r="B193" t="s">
        <v>1</v>
      </c>
      <c r="C193" s="1">
        <v>45945</v>
      </c>
      <c r="D193" t="s">
        <v>2</v>
      </c>
      <c r="E193" t="s">
        <v>25</v>
      </c>
      <c r="F193" s="2">
        <v>8882</v>
      </c>
      <c r="G193" s="2">
        <v>701</v>
      </c>
      <c r="H193" s="2">
        <v>421</v>
      </c>
      <c r="I193" s="2">
        <v>2343</v>
      </c>
      <c r="J193" s="2">
        <v>13588</v>
      </c>
      <c r="K193" s="2">
        <v>139304</v>
      </c>
      <c r="L193" s="4">
        <v>7.1814161833113205E-2</v>
      </c>
      <c r="M193" t="s">
        <v>8</v>
      </c>
    </row>
    <row r="194" spans="1:13" x14ac:dyDescent="0.3">
      <c r="A194" t="s">
        <v>217</v>
      </c>
      <c r="B194" t="s">
        <v>10</v>
      </c>
      <c r="C194" s="1">
        <v>45546</v>
      </c>
      <c r="D194" t="s">
        <v>2</v>
      </c>
      <c r="E194" t="s">
        <v>25</v>
      </c>
      <c r="F194" s="2">
        <v>3906</v>
      </c>
      <c r="G194" s="2">
        <v>1187</v>
      </c>
      <c r="H194" s="2">
        <v>589</v>
      </c>
      <c r="I194" s="2">
        <v>401</v>
      </c>
      <c r="J194" s="2">
        <v>52687</v>
      </c>
      <c r="K194" s="2">
        <v>196498</v>
      </c>
      <c r="L194" s="4">
        <v>2.8916324848090098E-2</v>
      </c>
      <c r="M194" t="s">
        <v>4</v>
      </c>
    </row>
    <row r="195" spans="1:13" x14ac:dyDescent="0.3">
      <c r="A195" t="s">
        <v>218</v>
      </c>
      <c r="B195" t="s">
        <v>1</v>
      </c>
      <c r="C195" s="1">
        <v>45567</v>
      </c>
      <c r="D195" t="s">
        <v>15</v>
      </c>
      <c r="E195" t="s">
        <v>23</v>
      </c>
      <c r="F195" s="2">
        <v>5086</v>
      </c>
      <c r="G195" s="2">
        <v>1336</v>
      </c>
      <c r="H195" s="2">
        <v>897</v>
      </c>
      <c r="I195" s="2">
        <v>1715</v>
      </c>
      <c r="J195" s="2">
        <v>60592</v>
      </c>
      <c r="K195" s="2">
        <v>57772</v>
      </c>
      <c r="L195" s="4">
        <v>0.12668766876687701</v>
      </c>
      <c r="M195" t="s">
        <v>13</v>
      </c>
    </row>
    <row r="196" spans="1:13" x14ac:dyDescent="0.3">
      <c r="A196" t="s">
        <v>219</v>
      </c>
      <c r="B196" t="s">
        <v>1</v>
      </c>
      <c r="C196" s="1">
        <v>45519</v>
      </c>
      <c r="D196" t="s">
        <v>2</v>
      </c>
      <c r="E196" t="s">
        <v>29</v>
      </c>
      <c r="F196" s="2">
        <v>15503</v>
      </c>
      <c r="G196" s="2">
        <v>313</v>
      </c>
      <c r="H196" s="2">
        <v>388</v>
      </c>
      <c r="I196" s="2">
        <v>1078</v>
      </c>
      <c r="J196" s="2">
        <v>11500</v>
      </c>
      <c r="K196" s="2">
        <v>143754</v>
      </c>
      <c r="L196" s="4">
        <v>0.11272034169484001</v>
      </c>
      <c r="M196" t="s">
        <v>17</v>
      </c>
    </row>
    <row r="197" spans="1:13" x14ac:dyDescent="0.3">
      <c r="A197" t="s">
        <v>220</v>
      </c>
      <c r="B197" t="s">
        <v>28</v>
      </c>
      <c r="C197" s="1">
        <v>45918</v>
      </c>
      <c r="D197" t="s">
        <v>11</v>
      </c>
      <c r="E197" t="s">
        <v>52</v>
      </c>
      <c r="F197" s="2">
        <v>10152</v>
      </c>
      <c r="G197" s="2">
        <v>1445</v>
      </c>
      <c r="H197" s="2">
        <v>526</v>
      </c>
      <c r="I197" s="2">
        <v>513</v>
      </c>
      <c r="J197" s="2">
        <v>18959</v>
      </c>
      <c r="K197" s="2">
        <v>43712</v>
      </c>
      <c r="L197" s="4">
        <v>0.27733803074670599</v>
      </c>
      <c r="M197" t="s">
        <v>8</v>
      </c>
    </row>
    <row r="198" spans="1:13" x14ac:dyDescent="0.3">
      <c r="A198" t="s">
        <v>221</v>
      </c>
      <c r="B198" t="s">
        <v>28</v>
      </c>
      <c r="C198" s="1">
        <v>45587</v>
      </c>
      <c r="D198" t="s">
        <v>11</v>
      </c>
      <c r="E198" t="s">
        <v>12</v>
      </c>
      <c r="F198" s="2">
        <v>7750</v>
      </c>
      <c r="G198" s="2">
        <v>1146</v>
      </c>
      <c r="H198" s="2">
        <v>415</v>
      </c>
      <c r="I198" s="2">
        <v>1411</v>
      </c>
      <c r="J198" s="2">
        <v>85339</v>
      </c>
      <c r="K198" s="2">
        <v>172439</v>
      </c>
      <c r="L198" s="4">
        <v>5.3995905798572198E-2</v>
      </c>
      <c r="M198" t="s">
        <v>13</v>
      </c>
    </row>
    <row r="199" spans="1:13" x14ac:dyDescent="0.3">
      <c r="A199" t="s">
        <v>222</v>
      </c>
      <c r="B199" t="s">
        <v>6</v>
      </c>
      <c r="C199" s="1">
        <v>45919</v>
      </c>
      <c r="D199" t="s">
        <v>22</v>
      </c>
      <c r="E199" t="s">
        <v>16</v>
      </c>
      <c r="F199" s="2">
        <v>14772</v>
      </c>
      <c r="G199" s="2">
        <v>1030</v>
      </c>
      <c r="H199" s="2">
        <v>508</v>
      </c>
      <c r="I199" s="2">
        <v>1876</v>
      </c>
      <c r="J199" s="2">
        <v>8882</v>
      </c>
      <c r="K199" s="2">
        <v>155142</v>
      </c>
      <c r="L199" s="4">
        <v>0.10512949426976601</v>
      </c>
      <c r="M199" t="s">
        <v>8</v>
      </c>
    </row>
    <row r="200" spans="1:13" x14ac:dyDescent="0.3">
      <c r="A200" t="s">
        <v>223</v>
      </c>
      <c r="B200" t="s">
        <v>10</v>
      </c>
      <c r="C200" s="1">
        <v>45920</v>
      </c>
      <c r="D200" t="s">
        <v>2</v>
      </c>
      <c r="E200" t="s">
        <v>25</v>
      </c>
      <c r="F200" s="2">
        <v>12267</v>
      </c>
      <c r="G200" s="2">
        <v>1487</v>
      </c>
      <c r="H200" s="2">
        <v>489</v>
      </c>
      <c r="I200" s="2">
        <v>2748</v>
      </c>
      <c r="J200" s="2">
        <v>34685</v>
      </c>
      <c r="K200" s="2">
        <v>131736</v>
      </c>
      <c r="L200" s="4">
        <v>0.108117750652821</v>
      </c>
      <c r="M200" t="s">
        <v>8</v>
      </c>
    </row>
    <row r="201" spans="1:13" x14ac:dyDescent="0.3">
      <c r="A201" t="s">
        <v>224</v>
      </c>
      <c r="B201" t="s">
        <v>1</v>
      </c>
      <c r="C201" s="1">
        <v>45754</v>
      </c>
      <c r="D201" t="s">
        <v>22</v>
      </c>
      <c r="E201" t="s">
        <v>43</v>
      </c>
      <c r="F201" s="2">
        <v>3062</v>
      </c>
      <c r="G201" s="2">
        <v>1124</v>
      </c>
      <c r="H201" s="2">
        <v>538</v>
      </c>
      <c r="I201" s="2">
        <v>2935</v>
      </c>
      <c r="J201" s="2">
        <v>69749</v>
      </c>
      <c r="K201" s="2">
        <v>91924</v>
      </c>
      <c r="L201" s="4">
        <v>5.1390278926069399E-2</v>
      </c>
      <c r="M201" t="s">
        <v>17</v>
      </c>
    </row>
    <row r="202" spans="1:13" x14ac:dyDescent="0.3">
      <c r="A202" t="s">
        <v>225</v>
      </c>
      <c r="B202" t="s">
        <v>1</v>
      </c>
      <c r="C202" s="1">
        <v>45672</v>
      </c>
      <c r="D202" t="s">
        <v>11</v>
      </c>
      <c r="E202" t="s">
        <v>20</v>
      </c>
      <c r="F202" s="2">
        <v>20360</v>
      </c>
      <c r="G202" s="2">
        <v>254</v>
      </c>
      <c r="H202" s="2">
        <v>726</v>
      </c>
      <c r="I202" s="2">
        <v>1995</v>
      </c>
      <c r="J202" s="2">
        <v>14280</v>
      </c>
      <c r="K202" s="2">
        <v>43726</v>
      </c>
      <c r="L202" s="4">
        <v>0.48803915290673699</v>
      </c>
      <c r="M202" t="s">
        <v>17</v>
      </c>
    </row>
    <row r="203" spans="1:13" x14ac:dyDescent="0.3">
      <c r="A203" t="s">
        <v>226</v>
      </c>
      <c r="B203" t="s">
        <v>6</v>
      </c>
      <c r="C203" s="1">
        <v>45921</v>
      </c>
      <c r="D203" t="s">
        <v>2</v>
      </c>
      <c r="E203" t="s">
        <v>103</v>
      </c>
      <c r="F203" s="2">
        <v>19680</v>
      </c>
      <c r="G203" s="2">
        <v>999</v>
      </c>
      <c r="H203" s="2">
        <v>838</v>
      </c>
      <c r="I203" s="2">
        <v>891</v>
      </c>
      <c r="J203" s="2">
        <v>29576</v>
      </c>
      <c r="K203" s="2">
        <v>129152</v>
      </c>
      <c r="L203" s="4">
        <v>0.16660214321110001</v>
      </c>
      <c r="M203" t="s">
        <v>8</v>
      </c>
    </row>
    <row r="204" spans="1:13" x14ac:dyDescent="0.3">
      <c r="A204" t="s">
        <v>227</v>
      </c>
      <c r="B204" t="s">
        <v>1</v>
      </c>
      <c r="C204" s="1">
        <v>45617</v>
      </c>
      <c r="D204" t="s">
        <v>2</v>
      </c>
      <c r="E204" t="s">
        <v>25</v>
      </c>
      <c r="F204" s="2">
        <v>8229</v>
      </c>
      <c r="G204" s="2">
        <v>977</v>
      </c>
      <c r="H204" s="2">
        <v>152</v>
      </c>
      <c r="I204" s="2">
        <v>1633</v>
      </c>
      <c r="J204" s="2">
        <v>71447</v>
      </c>
      <c r="K204" s="2">
        <v>67723</v>
      </c>
      <c r="L204" s="4">
        <v>0.138180529509915</v>
      </c>
      <c r="M204" t="s">
        <v>33</v>
      </c>
    </row>
    <row r="205" spans="1:13" x14ac:dyDescent="0.3">
      <c r="A205" t="s">
        <v>228</v>
      </c>
      <c r="B205" t="s">
        <v>10</v>
      </c>
      <c r="C205" s="1">
        <v>45922</v>
      </c>
      <c r="D205" t="s">
        <v>22</v>
      </c>
      <c r="E205" t="s">
        <v>20</v>
      </c>
      <c r="F205" s="2">
        <v>18509</v>
      </c>
      <c r="G205" s="2">
        <v>361</v>
      </c>
      <c r="H205" s="2">
        <v>578</v>
      </c>
      <c r="I205" s="2">
        <v>1409</v>
      </c>
      <c r="J205" s="2">
        <v>10569</v>
      </c>
      <c r="K205" s="2">
        <v>166969</v>
      </c>
      <c r="L205" s="4">
        <v>0.1164767112458</v>
      </c>
      <c r="M205" t="s">
        <v>8</v>
      </c>
    </row>
    <row r="206" spans="1:13" x14ac:dyDescent="0.3">
      <c r="A206" t="s">
        <v>229</v>
      </c>
      <c r="B206" t="s">
        <v>6</v>
      </c>
      <c r="C206" s="1">
        <v>45923</v>
      </c>
      <c r="D206" t="s">
        <v>11</v>
      </c>
      <c r="E206" t="s">
        <v>38</v>
      </c>
      <c r="F206" s="2">
        <v>17147</v>
      </c>
      <c r="G206" s="2">
        <v>286</v>
      </c>
      <c r="H206" s="2">
        <v>291</v>
      </c>
      <c r="I206" s="2">
        <v>2439</v>
      </c>
      <c r="J206" s="2">
        <v>45631</v>
      </c>
      <c r="K206" s="2">
        <v>140494</v>
      </c>
      <c r="L206" s="4">
        <v>0.12615485358805401</v>
      </c>
      <c r="M206" t="s">
        <v>8</v>
      </c>
    </row>
    <row r="207" spans="1:13" x14ac:dyDescent="0.3">
      <c r="A207" t="s">
        <v>230</v>
      </c>
      <c r="B207" t="s">
        <v>10</v>
      </c>
      <c r="C207" s="1">
        <v>45467</v>
      </c>
      <c r="D207" t="s">
        <v>2</v>
      </c>
      <c r="E207" t="s">
        <v>38</v>
      </c>
      <c r="F207" s="2">
        <v>6632</v>
      </c>
      <c r="G207" s="2">
        <v>254</v>
      </c>
      <c r="H207" s="2">
        <v>525</v>
      </c>
      <c r="I207" s="2">
        <v>1013</v>
      </c>
      <c r="J207" s="2">
        <v>13838</v>
      </c>
      <c r="K207" s="2">
        <v>180180</v>
      </c>
      <c r="L207" s="4">
        <v>4.1131091131091098E-2</v>
      </c>
      <c r="M207" t="s">
        <v>4</v>
      </c>
    </row>
    <row r="208" spans="1:13" x14ac:dyDescent="0.3">
      <c r="A208" t="s">
        <v>231</v>
      </c>
      <c r="B208" t="s">
        <v>6</v>
      </c>
      <c r="C208" s="1">
        <v>45655</v>
      </c>
      <c r="D208" t="s">
        <v>22</v>
      </c>
      <c r="E208" t="s">
        <v>52</v>
      </c>
      <c r="F208" s="2">
        <v>8288</v>
      </c>
      <c r="G208" s="2">
        <v>1401</v>
      </c>
      <c r="H208" s="2">
        <v>819</v>
      </c>
      <c r="I208" s="2">
        <v>1235</v>
      </c>
      <c r="J208" s="2">
        <v>33446</v>
      </c>
      <c r="K208" s="2">
        <v>248786</v>
      </c>
      <c r="L208" s="4">
        <v>4.2237103373984099E-2</v>
      </c>
      <c r="M208" t="s">
        <v>4</v>
      </c>
    </row>
    <row r="209" spans="1:13" x14ac:dyDescent="0.3">
      <c r="A209" t="s">
        <v>232</v>
      </c>
      <c r="B209" t="s">
        <v>6</v>
      </c>
      <c r="C209" s="1">
        <v>45467</v>
      </c>
      <c r="D209" t="s">
        <v>11</v>
      </c>
      <c r="E209" t="s">
        <v>7</v>
      </c>
      <c r="F209" s="2">
        <v>5596</v>
      </c>
      <c r="G209" s="2">
        <v>1231</v>
      </c>
      <c r="H209" s="2">
        <v>473</v>
      </c>
      <c r="I209" s="2">
        <v>2251</v>
      </c>
      <c r="J209" s="2">
        <v>43705</v>
      </c>
      <c r="K209" s="2">
        <v>75643</v>
      </c>
      <c r="L209" s="4">
        <v>9.6505955607260399E-2</v>
      </c>
      <c r="M209" t="s">
        <v>4</v>
      </c>
    </row>
    <row r="210" spans="1:13" x14ac:dyDescent="0.3">
      <c r="A210" t="s">
        <v>233</v>
      </c>
      <c r="B210" t="s">
        <v>28</v>
      </c>
      <c r="C210" s="1">
        <v>45735</v>
      </c>
      <c r="D210" t="s">
        <v>22</v>
      </c>
      <c r="E210" t="s">
        <v>16</v>
      </c>
      <c r="F210" s="2">
        <v>13475</v>
      </c>
      <c r="G210" s="2">
        <v>1032</v>
      </c>
      <c r="H210" s="2">
        <v>295</v>
      </c>
      <c r="I210" s="2">
        <v>541</v>
      </c>
      <c r="J210" s="2">
        <v>43666</v>
      </c>
      <c r="K210" s="2">
        <v>202396</v>
      </c>
      <c r="L210" s="4">
        <v>7.3133856400324104E-2</v>
      </c>
      <c r="M210" t="s">
        <v>33</v>
      </c>
    </row>
    <row r="211" spans="1:13" x14ac:dyDescent="0.3">
      <c r="A211" t="s">
        <v>234</v>
      </c>
      <c r="B211" t="s">
        <v>10</v>
      </c>
      <c r="C211" s="1">
        <v>45707</v>
      </c>
      <c r="D211" t="s">
        <v>15</v>
      </c>
      <c r="E211" t="s">
        <v>29</v>
      </c>
      <c r="F211" s="2">
        <v>8168</v>
      </c>
      <c r="G211" s="2">
        <v>512</v>
      </c>
      <c r="H211" s="2">
        <v>442</v>
      </c>
      <c r="I211" s="2">
        <v>2343</v>
      </c>
      <c r="J211" s="2">
        <v>2753</v>
      </c>
      <c r="K211" s="2">
        <v>143896</v>
      </c>
      <c r="L211" s="4">
        <v>6.33930060599322E-2</v>
      </c>
      <c r="M211" t="s">
        <v>33</v>
      </c>
    </row>
    <row r="212" spans="1:13" x14ac:dyDescent="0.3">
      <c r="A212" t="s">
        <v>235</v>
      </c>
      <c r="B212" t="s">
        <v>1</v>
      </c>
      <c r="C212" s="1">
        <v>45924</v>
      </c>
      <c r="D212" t="s">
        <v>2</v>
      </c>
      <c r="E212" t="s">
        <v>52</v>
      </c>
      <c r="F212" s="2">
        <v>11795</v>
      </c>
      <c r="G212" s="2">
        <v>958</v>
      </c>
      <c r="H212" s="2">
        <v>814</v>
      </c>
      <c r="I212" s="2">
        <v>301</v>
      </c>
      <c r="J212" s="2">
        <v>12564</v>
      </c>
      <c r="K212" s="2">
        <v>179999</v>
      </c>
      <c r="L212" s="4">
        <v>7.5372640959116402E-2</v>
      </c>
      <c r="M212" t="s">
        <v>8</v>
      </c>
    </row>
    <row r="213" spans="1:13" x14ac:dyDescent="0.3">
      <c r="A213" t="s">
        <v>236</v>
      </c>
      <c r="B213" t="s">
        <v>1</v>
      </c>
      <c r="C213" s="1">
        <v>45719</v>
      </c>
      <c r="D213" t="s">
        <v>15</v>
      </c>
      <c r="E213" t="s">
        <v>3</v>
      </c>
      <c r="F213" s="2">
        <v>9561</v>
      </c>
      <c r="G213" s="2">
        <v>642</v>
      </c>
      <c r="H213" s="2">
        <v>581</v>
      </c>
      <c r="I213" s="2">
        <v>2572</v>
      </c>
      <c r="J213" s="2">
        <v>38552</v>
      </c>
      <c r="K213" s="2">
        <v>133680</v>
      </c>
      <c r="L213" s="4">
        <v>8.0670257330939604E-2</v>
      </c>
      <c r="M213" t="s">
        <v>4</v>
      </c>
    </row>
    <row r="214" spans="1:13" x14ac:dyDescent="0.3">
      <c r="A214" t="s">
        <v>237</v>
      </c>
      <c r="B214" t="s">
        <v>10</v>
      </c>
      <c r="C214" s="1">
        <v>45778</v>
      </c>
      <c r="D214" t="s">
        <v>11</v>
      </c>
      <c r="E214" t="s">
        <v>29</v>
      </c>
      <c r="F214" s="2">
        <v>10258</v>
      </c>
      <c r="G214" s="2">
        <v>527</v>
      </c>
      <c r="H214" s="2">
        <v>854</v>
      </c>
      <c r="I214" s="2">
        <v>2068</v>
      </c>
      <c r="J214" s="2">
        <v>45632</v>
      </c>
      <c r="K214" s="2">
        <v>136546</v>
      </c>
      <c r="L214" s="4">
        <v>8.5238674146441498E-2</v>
      </c>
      <c r="M214" t="s">
        <v>33</v>
      </c>
    </row>
    <row r="215" spans="1:13" x14ac:dyDescent="0.3">
      <c r="A215" t="s">
        <v>238</v>
      </c>
      <c r="B215" t="s">
        <v>1</v>
      </c>
      <c r="C215" s="1">
        <v>45649</v>
      </c>
      <c r="D215" t="s">
        <v>15</v>
      </c>
      <c r="E215" t="s">
        <v>12</v>
      </c>
      <c r="F215" s="2">
        <v>18616</v>
      </c>
      <c r="G215" s="2">
        <v>1277</v>
      </c>
      <c r="H215" s="2">
        <v>734</v>
      </c>
      <c r="I215" s="2">
        <v>2249</v>
      </c>
      <c r="J215" s="2">
        <v>3399</v>
      </c>
      <c r="K215" s="2">
        <v>193515</v>
      </c>
      <c r="L215" s="4">
        <v>0.106591220318838</v>
      </c>
      <c r="M215" t="s">
        <v>17</v>
      </c>
    </row>
    <row r="216" spans="1:13" x14ac:dyDescent="0.3">
      <c r="A216" t="s">
        <v>239</v>
      </c>
      <c r="B216" t="s">
        <v>1</v>
      </c>
      <c r="C216" s="1">
        <v>45925</v>
      </c>
      <c r="D216" t="s">
        <v>15</v>
      </c>
      <c r="E216" t="s">
        <v>43</v>
      </c>
      <c r="F216" s="2">
        <v>8371</v>
      </c>
      <c r="G216" s="2">
        <v>960</v>
      </c>
      <c r="H216" s="2">
        <v>548</v>
      </c>
      <c r="I216" s="2">
        <v>2936</v>
      </c>
      <c r="J216" s="2">
        <v>82543</v>
      </c>
      <c r="K216" s="2">
        <v>119973</v>
      </c>
      <c r="L216" s="4">
        <v>8.2343527293641097E-2</v>
      </c>
      <c r="M216" t="s">
        <v>8</v>
      </c>
    </row>
    <row r="217" spans="1:13" x14ac:dyDescent="0.3">
      <c r="A217" t="s">
        <v>240</v>
      </c>
      <c r="B217" t="s">
        <v>10</v>
      </c>
      <c r="C217" s="1">
        <v>45502</v>
      </c>
      <c r="D217" t="s">
        <v>11</v>
      </c>
      <c r="E217" t="s">
        <v>3</v>
      </c>
      <c r="F217" s="2">
        <v>22590</v>
      </c>
      <c r="G217" s="2">
        <v>1462</v>
      </c>
      <c r="H217" s="2">
        <v>966</v>
      </c>
      <c r="I217" s="2">
        <v>2463</v>
      </c>
      <c r="J217" s="2">
        <v>29689</v>
      </c>
      <c r="K217" s="2">
        <v>103449</v>
      </c>
      <c r="L217" s="4">
        <v>0.24183897379385</v>
      </c>
      <c r="M217" t="s">
        <v>13</v>
      </c>
    </row>
    <row r="218" spans="1:13" x14ac:dyDescent="0.3">
      <c r="A218" t="s">
        <v>241</v>
      </c>
      <c r="B218" t="s">
        <v>6</v>
      </c>
      <c r="C218" s="1">
        <v>45926</v>
      </c>
      <c r="D218" t="s">
        <v>22</v>
      </c>
      <c r="E218" t="s">
        <v>3</v>
      </c>
      <c r="F218" s="2">
        <v>16369</v>
      </c>
      <c r="G218" s="2">
        <v>1452</v>
      </c>
      <c r="H218" s="2">
        <v>493</v>
      </c>
      <c r="I218" s="2">
        <v>1217</v>
      </c>
      <c r="J218" s="2">
        <v>91440</v>
      </c>
      <c r="K218" s="2">
        <v>149834</v>
      </c>
      <c r="L218" s="4">
        <v>0.12222859965028</v>
      </c>
      <c r="M218" t="s">
        <v>8</v>
      </c>
    </row>
    <row r="219" spans="1:13" x14ac:dyDescent="0.3">
      <c r="A219" t="s">
        <v>242</v>
      </c>
      <c r="B219" t="s">
        <v>10</v>
      </c>
      <c r="C219" s="1">
        <v>45454</v>
      </c>
      <c r="D219" t="s">
        <v>15</v>
      </c>
      <c r="E219" t="s">
        <v>52</v>
      </c>
      <c r="F219" s="2">
        <v>14910</v>
      </c>
      <c r="G219" s="2">
        <v>778</v>
      </c>
      <c r="H219" s="2">
        <v>289</v>
      </c>
      <c r="I219" s="2">
        <v>2541</v>
      </c>
      <c r="J219" s="2">
        <v>14309</v>
      </c>
      <c r="K219" s="2">
        <v>247815</v>
      </c>
      <c r="L219" s="4">
        <v>6.4471480741682297E-2</v>
      </c>
      <c r="M219" t="s">
        <v>13</v>
      </c>
    </row>
    <row r="220" spans="1:13" x14ac:dyDescent="0.3">
      <c r="A220" t="s">
        <v>243</v>
      </c>
      <c r="B220" t="s">
        <v>6</v>
      </c>
      <c r="C220" s="1">
        <v>45685</v>
      </c>
      <c r="D220" t="s">
        <v>22</v>
      </c>
      <c r="E220" t="s">
        <v>23</v>
      </c>
      <c r="F220" s="2">
        <v>9943</v>
      </c>
      <c r="G220" s="2">
        <v>1274</v>
      </c>
      <c r="H220" s="2">
        <v>336</v>
      </c>
      <c r="I220" s="2">
        <v>389</v>
      </c>
      <c r="J220" s="2">
        <v>6145</v>
      </c>
      <c r="K220" s="2">
        <v>231305</v>
      </c>
      <c r="L220" s="4">
        <v>4.9947039623008602E-2</v>
      </c>
      <c r="M220" t="s">
        <v>4</v>
      </c>
    </row>
    <row r="221" spans="1:13" x14ac:dyDescent="0.3">
      <c r="A221" t="s">
        <v>244</v>
      </c>
      <c r="B221" t="s">
        <v>1</v>
      </c>
      <c r="C221" s="1">
        <v>45445</v>
      </c>
      <c r="D221" t="s">
        <v>15</v>
      </c>
      <c r="E221" t="s">
        <v>7</v>
      </c>
      <c r="F221" s="2">
        <v>14199</v>
      </c>
      <c r="G221" s="2">
        <v>1206</v>
      </c>
      <c r="H221" s="2">
        <v>954</v>
      </c>
      <c r="I221" s="2">
        <v>2009</v>
      </c>
      <c r="J221" s="2">
        <v>8</v>
      </c>
      <c r="K221" s="2">
        <v>65537</v>
      </c>
      <c r="L221" s="4">
        <v>0.249614721455056</v>
      </c>
      <c r="M221" t="s">
        <v>13</v>
      </c>
    </row>
    <row r="222" spans="1:13" x14ac:dyDescent="0.3">
      <c r="A222" t="s">
        <v>245</v>
      </c>
      <c r="B222" t="s">
        <v>1</v>
      </c>
      <c r="C222" s="1">
        <v>45739</v>
      </c>
      <c r="D222" t="s">
        <v>22</v>
      </c>
      <c r="E222" t="s">
        <v>23</v>
      </c>
      <c r="F222" s="2">
        <v>17728</v>
      </c>
      <c r="G222" s="2">
        <v>1487</v>
      </c>
      <c r="H222" s="2">
        <v>210</v>
      </c>
      <c r="I222" s="2">
        <v>2469</v>
      </c>
      <c r="J222" s="2">
        <v>30565</v>
      </c>
      <c r="K222" s="2">
        <v>117576</v>
      </c>
      <c r="L222" s="4">
        <v>0.165212288222086</v>
      </c>
      <c r="M222" t="s">
        <v>4</v>
      </c>
    </row>
    <row r="223" spans="1:13" x14ac:dyDescent="0.3">
      <c r="A223" t="s">
        <v>246</v>
      </c>
      <c r="B223" t="s">
        <v>1</v>
      </c>
      <c r="C223" s="1">
        <v>45573</v>
      </c>
      <c r="D223" t="s">
        <v>11</v>
      </c>
      <c r="E223" t="s">
        <v>52</v>
      </c>
      <c r="F223" s="2">
        <v>8738</v>
      </c>
      <c r="G223" s="2">
        <v>295</v>
      </c>
      <c r="H223" s="2">
        <v>529</v>
      </c>
      <c r="I223" s="2">
        <v>442</v>
      </c>
      <c r="J223" s="2">
        <v>25286</v>
      </c>
      <c r="K223" s="2">
        <v>147522</v>
      </c>
      <c r="L223" s="4">
        <v>6.4817450956467501E-2</v>
      </c>
      <c r="M223" t="s">
        <v>17</v>
      </c>
    </row>
    <row r="224" spans="1:13" x14ac:dyDescent="0.3">
      <c r="A224" t="s">
        <v>247</v>
      </c>
      <c r="B224" t="s">
        <v>28</v>
      </c>
      <c r="C224" s="1">
        <v>45608</v>
      </c>
      <c r="D224" t="s">
        <v>15</v>
      </c>
      <c r="E224" t="s">
        <v>12</v>
      </c>
      <c r="F224" s="2">
        <v>17913</v>
      </c>
      <c r="G224" s="2">
        <v>1311</v>
      </c>
      <c r="H224" s="2">
        <v>859</v>
      </c>
      <c r="I224" s="2">
        <v>405</v>
      </c>
      <c r="J224" s="2">
        <v>59842</v>
      </c>
      <c r="K224" s="2">
        <v>62612</v>
      </c>
      <c r="L224" s="4">
        <v>0.32075321024723702</v>
      </c>
      <c r="M224" t="s">
        <v>13</v>
      </c>
    </row>
    <row r="225" spans="1:13" x14ac:dyDescent="0.3">
      <c r="A225" t="s">
        <v>248</v>
      </c>
      <c r="B225" t="s">
        <v>6</v>
      </c>
      <c r="C225" s="1">
        <v>45907</v>
      </c>
      <c r="D225" t="s">
        <v>11</v>
      </c>
      <c r="E225" t="s">
        <v>103</v>
      </c>
      <c r="F225" s="2">
        <v>4472</v>
      </c>
      <c r="G225" s="2">
        <v>1301</v>
      </c>
      <c r="H225" s="2">
        <v>956</v>
      </c>
      <c r="I225" s="2">
        <v>1186</v>
      </c>
      <c r="J225" s="2">
        <v>3363</v>
      </c>
      <c r="K225" s="2">
        <v>46471</v>
      </c>
      <c r="L225" s="4">
        <v>0.14479998278496301</v>
      </c>
      <c r="M225" t="s">
        <v>8</v>
      </c>
    </row>
    <row r="226" spans="1:13" x14ac:dyDescent="0.3">
      <c r="A226" t="s">
        <v>249</v>
      </c>
      <c r="B226" t="s">
        <v>28</v>
      </c>
      <c r="C226" s="1">
        <v>45463</v>
      </c>
      <c r="D226" t="s">
        <v>15</v>
      </c>
      <c r="E226" t="s">
        <v>25</v>
      </c>
      <c r="F226" s="2">
        <v>21123</v>
      </c>
      <c r="G226" s="2">
        <v>1343</v>
      </c>
      <c r="H226" s="2">
        <v>589</v>
      </c>
      <c r="I226" s="2">
        <v>727</v>
      </c>
      <c r="J226" s="2">
        <v>87833</v>
      </c>
      <c r="K226" s="2">
        <v>206703</v>
      </c>
      <c r="L226" s="4">
        <v>0.111536842716361</v>
      </c>
      <c r="M226" t="s">
        <v>4</v>
      </c>
    </row>
    <row r="227" spans="1:13" x14ac:dyDescent="0.3">
      <c r="A227" t="s">
        <v>250</v>
      </c>
      <c r="B227" t="s">
        <v>28</v>
      </c>
      <c r="C227" s="1">
        <v>45908</v>
      </c>
      <c r="D227" t="s">
        <v>11</v>
      </c>
      <c r="E227" t="s">
        <v>25</v>
      </c>
      <c r="F227" s="2">
        <v>23785</v>
      </c>
      <c r="G227" s="2">
        <v>1013</v>
      </c>
      <c r="H227" s="2">
        <v>468</v>
      </c>
      <c r="I227" s="2">
        <v>1628</v>
      </c>
      <c r="J227" s="2">
        <v>8272</v>
      </c>
      <c r="K227" s="2">
        <v>71348</v>
      </c>
      <c r="L227" s="4">
        <v>0.35412345125301298</v>
      </c>
      <c r="M227" t="s">
        <v>8</v>
      </c>
    </row>
    <row r="228" spans="1:13" x14ac:dyDescent="0.3">
      <c r="A228" t="s">
        <v>251</v>
      </c>
      <c r="B228" t="s">
        <v>10</v>
      </c>
      <c r="C228" s="1">
        <v>45455</v>
      </c>
      <c r="D228" t="s">
        <v>11</v>
      </c>
      <c r="E228" t="s">
        <v>7</v>
      </c>
      <c r="F228" s="2">
        <v>17679</v>
      </c>
      <c r="G228" s="2">
        <v>690</v>
      </c>
      <c r="H228" s="2">
        <v>451</v>
      </c>
      <c r="I228" s="2">
        <v>2195</v>
      </c>
      <c r="J228" s="2">
        <v>4390</v>
      </c>
      <c r="K228" s="2">
        <v>235804</v>
      </c>
      <c r="L228" s="4">
        <v>7.9812047293515001E-2</v>
      </c>
      <c r="M228" t="s">
        <v>33</v>
      </c>
    </row>
    <row r="229" spans="1:13" x14ac:dyDescent="0.3">
      <c r="A229" t="s">
        <v>252</v>
      </c>
      <c r="B229" t="s">
        <v>28</v>
      </c>
      <c r="C229" s="1">
        <v>45474</v>
      </c>
      <c r="D229" t="s">
        <v>15</v>
      </c>
      <c r="E229" t="s">
        <v>12</v>
      </c>
      <c r="F229" s="2">
        <v>3761</v>
      </c>
      <c r="G229" s="2">
        <v>651</v>
      </c>
      <c r="H229" s="2">
        <v>493</v>
      </c>
      <c r="I229" s="2">
        <v>2294</v>
      </c>
      <c r="J229" s="2">
        <v>71696</v>
      </c>
      <c r="K229" s="2">
        <v>41177</v>
      </c>
      <c r="L229" s="4">
        <v>0.11911989702989501</v>
      </c>
      <c r="M229" t="s">
        <v>4</v>
      </c>
    </row>
    <row r="230" spans="1:13" x14ac:dyDescent="0.3">
      <c r="A230" t="s">
        <v>253</v>
      </c>
      <c r="B230" t="s">
        <v>10</v>
      </c>
      <c r="C230" s="1">
        <v>45476</v>
      </c>
      <c r="D230" t="s">
        <v>15</v>
      </c>
      <c r="E230" t="s">
        <v>7</v>
      </c>
      <c r="F230" s="2">
        <v>12167</v>
      </c>
      <c r="G230" s="2">
        <v>364</v>
      </c>
      <c r="H230" s="2">
        <v>160</v>
      </c>
      <c r="I230" s="2">
        <v>616</v>
      </c>
      <c r="J230" s="2">
        <v>42228</v>
      </c>
      <c r="K230" s="2">
        <v>175832</v>
      </c>
      <c r="L230" s="4">
        <v>7.2176850630147005E-2</v>
      </c>
      <c r="M230" t="s">
        <v>13</v>
      </c>
    </row>
    <row r="231" spans="1:13" x14ac:dyDescent="0.3">
      <c r="A231" t="s">
        <v>254</v>
      </c>
      <c r="B231" t="s">
        <v>10</v>
      </c>
      <c r="C231" s="1">
        <v>45488</v>
      </c>
      <c r="D231" t="s">
        <v>15</v>
      </c>
      <c r="E231" t="s">
        <v>20</v>
      </c>
      <c r="F231" s="2">
        <v>12554</v>
      </c>
      <c r="G231" s="2">
        <v>381</v>
      </c>
      <c r="H231" s="2">
        <v>211</v>
      </c>
      <c r="I231" s="2">
        <v>2286</v>
      </c>
      <c r="J231" s="2">
        <v>50567</v>
      </c>
      <c r="K231" s="2">
        <v>72779</v>
      </c>
      <c r="L231" s="4">
        <v>0.180629027604117</v>
      </c>
      <c r="M231" t="s">
        <v>4</v>
      </c>
    </row>
    <row r="232" spans="1:13" x14ac:dyDescent="0.3">
      <c r="A232" t="s">
        <v>255</v>
      </c>
      <c r="B232" t="s">
        <v>28</v>
      </c>
      <c r="C232" s="1">
        <v>45909</v>
      </c>
      <c r="D232" t="s">
        <v>2</v>
      </c>
      <c r="E232" t="s">
        <v>23</v>
      </c>
      <c r="F232" s="2">
        <v>19260</v>
      </c>
      <c r="G232" s="2">
        <v>668</v>
      </c>
      <c r="H232" s="2">
        <v>994</v>
      </c>
      <c r="I232" s="2">
        <v>934</v>
      </c>
      <c r="J232" s="2">
        <v>20509</v>
      </c>
      <c r="K232" s="2">
        <v>61636</v>
      </c>
      <c r="L232" s="4">
        <v>0.33944448049840997</v>
      </c>
      <c r="M232" t="s">
        <v>8</v>
      </c>
    </row>
    <row r="233" spans="1:13" x14ac:dyDescent="0.3">
      <c r="A233" t="s">
        <v>256</v>
      </c>
      <c r="B233" t="s">
        <v>6</v>
      </c>
      <c r="C233" s="1">
        <v>45776</v>
      </c>
      <c r="D233" t="s">
        <v>22</v>
      </c>
      <c r="E233" t="s">
        <v>25</v>
      </c>
      <c r="F233" s="2">
        <v>16277</v>
      </c>
      <c r="G233" s="2">
        <v>1109</v>
      </c>
      <c r="H233" s="2">
        <v>375</v>
      </c>
      <c r="I233" s="2">
        <v>2225</v>
      </c>
      <c r="J233" s="2">
        <v>1044</v>
      </c>
      <c r="K233" s="2">
        <v>121889</v>
      </c>
      <c r="L233" s="4">
        <v>0.145714543560124</v>
      </c>
      <c r="M233" t="s">
        <v>17</v>
      </c>
    </row>
    <row r="234" spans="1:13" x14ac:dyDescent="0.3">
      <c r="A234" t="s">
        <v>257</v>
      </c>
      <c r="B234" t="s">
        <v>6</v>
      </c>
      <c r="C234" s="1">
        <v>45724</v>
      </c>
      <c r="D234" t="s">
        <v>2</v>
      </c>
      <c r="E234" t="s">
        <v>3</v>
      </c>
      <c r="F234" s="2">
        <v>5812</v>
      </c>
      <c r="G234" s="2">
        <v>934</v>
      </c>
      <c r="H234" s="2">
        <v>302</v>
      </c>
      <c r="I234" s="2">
        <v>2356</v>
      </c>
      <c r="J234" s="2">
        <v>37437</v>
      </c>
      <c r="K234" s="2">
        <v>93551</v>
      </c>
      <c r="L234" s="4">
        <v>7.5338585370546607E-2</v>
      </c>
      <c r="M234" t="s">
        <v>4</v>
      </c>
    </row>
    <row r="235" spans="1:13" x14ac:dyDescent="0.3">
      <c r="A235" t="s">
        <v>258</v>
      </c>
      <c r="B235" t="s">
        <v>6</v>
      </c>
      <c r="C235" s="1">
        <v>45444</v>
      </c>
      <c r="D235" t="s">
        <v>2</v>
      </c>
      <c r="E235" t="s">
        <v>23</v>
      </c>
      <c r="F235" s="2">
        <v>19844</v>
      </c>
      <c r="G235" s="2">
        <v>1022</v>
      </c>
      <c r="H235" s="2">
        <v>860</v>
      </c>
      <c r="I235" s="2">
        <v>2570</v>
      </c>
      <c r="J235" s="2">
        <v>23719</v>
      </c>
      <c r="K235" s="2">
        <v>182628</v>
      </c>
      <c r="L235" s="4">
        <v>0.118963138182535</v>
      </c>
      <c r="M235" t="s">
        <v>13</v>
      </c>
    </row>
    <row r="236" spans="1:13" x14ac:dyDescent="0.3">
      <c r="A236" t="s">
        <v>259</v>
      </c>
      <c r="B236" t="s">
        <v>6</v>
      </c>
      <c r="C236" s="1">
        <v>45648</v>
      </c>
      <c r="D236" t="s">
        <v>11</v>
      </c>
      <c r="E236" t="s">
        <v>16</v>
      </c>
      <c r="F236" s="2">
        <v>20117</v>
      </c>
      <c r="G236" s="2">
        <v>1143</v>
      </c>
      <c r="H236" s="2">
        <v>713</v>
      </c>
      <c r="I236" s="2">
        <v>1739</v>
      </c>
      <c r="J236" s="2">
        <v>34444</v>
      </c>
      <c r="K236" s="2">
        <v>198670</v>
      </c>
      <c r="L236" s="4">
        <v>0.110600493280314</v>
      </c>
      <c r="M236" t="s">
        <v>33</v>
      </c>
    </row>
    <row r="237" spans="1:13" x14ac:dyDescent="0.3">
      <c r="A237" t="s">
        <v>260</v>
      </c>
      <c r="B237" t="s">
        <v>6</v>
      </c>
      <c r="C237" s="1">
        <v>45523</v>
      </c>
      <c r="D237" t="s">
        <v>15</v>
      </c>
      <c r="E237" t="s">
        <v>43</v>
      </c>
      <c r="F237" s="2">
        <v>3605</v>
      </c>
      <c r="G237" s="2">
        <v>206</v>
      </c>
      <c r="H237" s="2">
        <v>921</v>
      </c>
      <c r="I237" s="2">
        <v>852</v>
      </c>
      <c r="J237" s="2">
        <v>11660</v>
      </c>
      <c r="K237" s="2">
        <v>182635</v>
      </c>
      <c r="L237" s="4">
        <v>2.5909601116982001E-2</v>
      </c>
      <c r="M237" t="s">
        <v>17</v>
      </c>
    </row>
    <row r="238" spans="1:13" x14ac:dyDescent="0.3">
      <c r="A238" t="s">
        <v>261</v>
      </c>
      <c r="B238" t="s">
        <v>28</v>
      </c>
      <c r="C238" s="1">
        <v>45587</v>
      </c>
      <c r="D238" t="s">
        <v>22</v>
      </c>
      <c r="E238" t="s">
        <v>12</v>
      </c>
      <c r="F238" s="2">
        <v>7622</v>
      </c>
      <c r="G238" s="2">
        <v>529</v>
      </c>
      <c r="H238" s="2">
        <v>720</v>
      </c>
      <c r="I238" s="2">
        <v>1015</v>
      </c>
      <c r="J238" s="2">
        <v>71322</v>
      </c>
      <c r="K238" s="2">
        <v>86819</v>
      </c>
      <c r="L238" s="4">
        <v>0.1021780946567</v>
      </c>
      <c r="M238" t="s">
        <v>33</v>
      </c>
    </row>
    <row r="239" spans="1:13" x14ac:dyDescent="0.3">
      <c r="A239" t="s">
        <v>262</v>
      </c>
      <c r="B239" t="s">
        <v>28</v>
      </c>
      <c r="C239" s="1">
        <v>45489</v>
      </c>
      <c r="D239" t="s">
        <v>11</v>
      </c>
      <c r="E239" t="s">
        <v>29</v>
      </c>
      <c r="F239" s="2">
        <v>8767</v>
      </c>
      <c r="G239" s="2">
        <v>974</v>
      </c>
      <c r="H239" s="2">
        <v>733</v>
      </c>
      <c r="I239" s="2">
        <v>1587</v>
      </c>
      <c r="J239" s="2">
        <v>74927</v>
      </c>
      <c r="K239" s="2">
        <v>113770</v>
      </c>
      <c r="L239" s="4">
        <v>9.2062933989628198E-2</v>
      </c>
      <c r="M239" t="s">
        <v>4</v>
      </c>
    </row>
    <row r="240" spans="1:13" x14ac:dyDescent="0.3">
      <c r="A240" t="s">
        <v>263</v>
      </c>
      <c r="B240" t="s">
        <v>1</v>
      </c>
      <c r="C240" s="1">
        <v>45910</v>
      </c>
      <c r="D240" t="s">
        <v>2</v>
      </c>
      <c r="E240" t="s">
        <v>7</v>
      </c>
      <c r="F240" s="2">
        <v>13613</v>
      </c>
      <c r="G240" s="2">
        <v>350</v>
      </c>
      <c r="H240" s="2">
        <v>809</v>
      </c>
      <c r="I240" s="2">
        <v>2013</v>
      </c>
      <c r="J240" s="2">
        <v>20471</v>
      </c>
      <c r="K240" s="2">
        <v>198038</v>
      </c>
      <c r="L240" s="4">
        <v>7.4591745018632805E-2</v>
      </c>
      <c r="M240" t="s">
        <v>8</v>
      </c>
    </row>
    <row r="241" spans="1:13" x14ac:dyDescent="0.3">
      <c r="A241" t="s">
        <v>264</v>
      </c>
      <c r="B241" t="s">
        <v>6</v>
      </c>
      <c r="C241" s="1">
        <v>45911</v>
      </c>
      <c r="D241" t="s">
        <v>15</v>
      </c>
      <c r="E241" t="s">
        <v>23</v>
      </c>
      <c r="F241" s="2">
        <v>21901</v>
      </c>
      <c r="G241" s="2">
        <v>1308</v>
      </c>
      <c r="H241" s="2">
        <v>724</v>
      </c>
      <c r="I241" s="2">
        <v>2183</v>
      </c>
      <c r="J241" s="2">
        <v>15996</v>
      </c>
      <c r="K241" s="2">
        <v>230961</v>
      </c>
      <c r="L241" s="4">
        <v>0.103623555492053</v>
      </c>
      <c r="M241" t="s">
        <v>8</v>
      </c>
    </row>
    <row r="242" spans="1:13" x14ac:dyDescent="0.3">
      <c r="A242" t="s">
        <v>265</v>
      </c>
      <c r="B242" t="s">
        <v>28</v>
      </c>
      <c r="C242" s="1">
        <v>45675</v>
      </c>
      <c r="D242" t="s">
        <v>11</v>
      </c>
      <c r="E242" t="s">
        <v>43</v>
      </c>
      <c r="F242" s="2">
        <v>12589</v>
      </c>
      <c r="G242" s="2">
        <v>346</v>
      </c>
      <c r="H242" s="2">
        <v>459</v>
      </c>
      <c r="I242" s="2">
        <v>1407</v>
      </c>
      <c r="J242" s="2">
        <v>29254</v>
      </c>
      <c r="K242" s="2">
        <v>198059</v>
      </c>
      <c r="L242" s="4">
        <v>6.7626313371268204E-2</v>
      </c>
      <c r="M242" t="s">
        <v>13</v>
      </c>
    </row>
    <row r="243" spans="1:13" x14ac:dyDescent="0.3">
      <c r="A243" t="s">
        <v>266</v>
      </c>
      <c r="B243" t="s">
        <v>1</v>
      </c>
      <c r="C243" s="1">
        <v>45912</v>
      </c>
      <c r="D243" t="s">
        <v>15</v>
      </c>
      <c r="E243" t="s">
        <v>23</v>
      </c>
      <c r="F243" s="2">
        <v>15918</v>
      </c>
      <c r="G243" s="2">
        <v>1114</v>
      </c>
      <c r="H243" s="2">
        <v>392</v>
      </c>
      <c r="I243" s="2">
        <v>1641</v>
      </c>
      <c r="J243" s="2">
        <v>28044</v>
      </c>
      <c r="K243" s="2">
        <v>118714</v>
      </c>
      <c r="L243" s="4">
        <v>0.14677291642097801</v>
      </c>
      <c r="M243" t="s">
        <v>8</v>
      </c>
    </row>
    <row r="244" spans="1:13" x14ac:dyDescent="0.3">
      <c r="A244" t="s">
        <v>267</v>
      </c>
      <c r="B244" t="s">
        <v>6</v>
      </c>
      <c r="C244" s="1">
        <v>45722</v>
      </c>
      <c r="D244" t="s">
        <v>11</v>
      </c>
      <c r="E244" t="s">
        <v>29</v>
      </c>
      <c r="F244" s="2">
        <v>22119</v>
      </c>
      <c r="G244" s="2">
        <v>899</v>
      </c>
      <c r="H244" s="2">
        <v>642</v>
      </c>
      <c r="I244" s="2">
        <v>410</v>
      </c>
      <c r="J244" s="2">
        <v>49490</v>
      </c>
      <c r="K244" s="2">
        <v>229420</v>
      </c>
      <c r="L244" s="4">
        <v>0.10312963124400699</v>
      </c>
      <c r="M244" t="s">
        <v>17</v>
      </c>
    </row>
    <row r="245" spans="1:13" x14ac:dyDescent="0.3">
      <c r="A245" t="s">
        <v>268</v>
      </c>
      <c r="B245" t="s">
        <v>10</v>
      </c>
      <c r="C245" s="1">
        <v>45913</v>
      </c>
      <c r="D245" t="s">
        <v>15</v>
      </c>
      <c r="E245" t="s">
        <v>43</v>
      </c>
      <c r="F245" s="2">
        <v>15046</v>
      </c>
      <c r="G245" s="2">
        <v>281</v>
      </c>
      <c r="H245" s="2">
        <v>515</v>
      </c>
      <c r="I245" s="2">
        <v>550</v>
      </c>
      <c r="J245" s="2">
        <v>22583</v>
      </c>
      <c r="K245" s="2">
        <v>64596</v>
      </c>
      <c r="L245" s="4">
        <v>0.24524738373893101</v>
      </c>
      <c r="M245" t="s">
        <v>8</v>
      </c>
    </row>
    <row r="246" spans="1:13" x14ac:dyDescent="0.3">
      <c r="A246" t="s">
        <v>269</v>
      </c>
      <c r="B246" t="s">
        <v>1</v>
      </c>
      <c r="C246" s="1">
        <v>45669</v>
      </c>
      <c r="D246" t="s">
        <v>2</v>
      </c>
      <c r="E246" t="s">
        <v>16</v>
      </c>
      <c r="F246" s="2">
        <v>4590</v>
      </c>
      <c r="G246" s="2">
        <v>713</v>
      </c>
      <c r="H246" s="2">
        <v>479</v>
      </c>
      <c r="I246" s="2">
        <v>2730</v>
      </c>
      <c r="J246" s="2">
        <v>41050</v>
      </c>
      <c r="K246" s="2">
        <v>204246</v>
      </c>
      <c r="L246" s="4">
        <v>2.8308999931455199E-2</v>
      </c>
      <c r="M246" t="s">
        <v>13</v>
      </c>
    </row>
    <row r="247" spans="1:13" x14ac:dyDescent="0.3">
      <c r="A247" t="s">
        <v>270</v>
      </c>
      <c r="B247" t="s">
        <v>28</v>
      </c>
      <c r="C247" s="1">
        <v>45576</v>
      </c>
      <c r="D247" t="s">
        <v>22</v>
      </c>
      <c r="E247" t="s">
        <v>29</v>
      </c>
      <c r="F247" s="2">
        <v>19447</v>
      </c>
      <c r="G247" s="2">
        <v>1014</v>
      </c>
      <c r="H247" s="2">
        <v>256</v>
      </c>
      <c r="I247" s="2">
        <v>2354</v>
      </c>
      <c r="J247" s="2">
        <v>5472</v>
      </c>
      <c r="K247" s="2">
        <v>104106</v>
      </c>
      <c r="L247" s="4">
        <v>0.19899909707413599</v>
      </c>
      <c r="M247" t="s">
        <v>4</v>
      </c>
    </row>
    <row r="248" spans="1:13" x14ac:dyDescent="0.3">
      <c r="A248" t="s">
        <v>271</v>
      </c>
      <c r="B248" t="s">
        <v>10</v>
      </c>
      <c r="C248" s="1">
        <v>45531</v>
      </c>
      <c r="D248" t="s">
        <v>2</v>
      </c>
      <c r="E248" t="s">
        <v>52</v>
      </c>
      <c r="F248" s="2">
        <v>6324</v>
      </c>
      <c r="G248" s="2">
        <v>908</v>
      </c>
      <c r="H248" s="2">
        <v>375</v>
      </c>
      <c r="I248" s="2">
        <v>758</v>
      </c>
      <c r="J248" s="2">
        <v>34850</v>
      </c>
      <c r="K248" s="2">
        <v>241039</v>
      </c>
      <c r="L248" s="4">
        <v>3.1559208260903797E-2</v>
      </c>
      <c r="M248" t="s">
        <v>4</v>
      </c>
    </row>
    <row r="249" spans="1:13" x14ac:dyDescent="0.3">
      <c r="A249" t="s">
        <v>272</v>
      </c>
      <c r="B249" t="s">
        <v>10</v>
      </c>
      <c r="C249" s="1">
        <v>45914</v>
      </c>
      <c r="D249" t="s">
        <v>22</v>
      </c>
      <c r="E249" t="s">
        <v>38</v>
      </c>
      <c r="F249" s="2">
        <v>12787</v>
      </c>
      <c r="G249" s="2">
        <v>945</v>
      </c>
      <c r="H249" s="2">
        <v>974</v>
      </c>
      <c r="I249" s="2">
        <v>1407</v>
      </c>
      <c r="J249" s="2">
        <v>4037</v>
      </c>
      <c r="K249" s="2">
        <v>99182</v>
      </c>
      <c r="L249" s="4">
        <v>0.148272872093727</v>
      </c>
      <c r="M249" t="s">
        <v>8</v>
      </c>
    </row>
    <row r="250" spans="1:13" x14ac:dyDescent="0.3">
      <c r="A250" t="s">
        <v>273</v>
      </c>
      <c r="B250" t="s">
        <v>10</v>
      </c>
      <c r="C250" s="1">
        <v>45491</v>
      </c>
      <c r="D250" t="s">
        <v>15</v>
      </c>
      <c r="E250" t="s">
        <v>52</v>
      </c>
      <c r="F250" s="2">
        <v>11111</v>
      </c>
      <c r="G250" s="2">
        <v>1222</v>
      </c>
      <c r="H250" s="2">
        <v>367</v>
      </c>
      <c r="I250" s="2">
        <v>507</v>
      </c>
      <c r="J250" s="2">
        <v>14129</v>
      </c>
      <c r="K250" s="2">
        <v>127163</v>
      </c>
      <c r="L250" s="4">
        <v>9.9871818060284806E-2</v>
      </c>
      <c r="M250" t="s">
        <v>33</v>
      </c>
    </row>
    <row r="251" spans="1:13" x14ac:dyDescent="0.3">
      <c r="A251" t="s">
        <v>274</v>
      </c>
      <c r="B251" t="s">
        <v>1</v>
      </c>
      <c r="C251" s="1">
        <v>45465</v>
      </c>
      <c r="D251" t="s">
        <v>11</v>
      </c>
      <c r="E251" t="s">
        <v>25</v>
      </c>
      <c r="F251" s="2">
        <v>7342</v>
      </c>
      <c r="G251" s="2">
        <v>906</v>
      </c>
      <c r="H251" s="2">
        <v>902</v>
      </c>
      <c r="I251" s="2">
        <v>1199</v>
      </c>
      <c r="J251" s="2">
        <v>68488</v>
      </c>
      <c r="K251" s="2">
        <v>79310</v>
      </c>
      <c r="L251" s="4">
        <v>0.115370066826378</v>
      </c>
      <c r="M251" t="s">
        <v>4</v>
      </c>
    </row>
    <row r="252" spans="1:13" x14ac:dyDescent="0.3">
      <c r="A252" t="s">
        <v>275</v>
      </c>
      <c r="B252" t="s">
        <v>28</v>
      </c>
      <c r="C252" s="1">
        <v>45915</v>
      </c>
      <c r="D252" t="s">
        <v>2</v>
      </c>
      <c r="E252" t="s">
        <v>23</v>
      </c>
      <c r="F252" s="2">
        <v>18389</v>
      </c>
      <c r="G252" s="2">
        <v>670</v>
      </c>
      <c r="H252" s="2">
        <v>655</v>
      </c>
      <c r="I252" s="2">
        <v>321</v>
      </c>
      <c r="J252" s="2">
        <v>21869</v>
      </c>
      <c r="K252" s="2">
        <v>96088</v>
      </c>
      <c r="L252" s="4">
        <v>0.20516609774373501</v>
      </c>
      <c r="M252" t="s">
        <v>8</v>
      </c>
    </row>
    <row r="253" spans="1:13" x14ac:dyDescent="0.3">
      <c r="A253" t="s">
        <v>276</v>
      </c>
      <c r="B253" t="s">
        <v>10</v>
      </c>
      <c r="C253" s="1">
        <v>45775</v>
      </c>
      <c r="D253" t="s">
        <v>22</v>
      </c>
      <c r="E253" t="s">
        <v>38</v>
      </c>
      <c r="F253" s="2">
        <v>10659</v>
      </c>
      <c r="G253" s="2">
        <v>1342</v>
      </c>
      <c r="H253" s="2">
        <v>408</v>
      </c>
      <c r="I253" s="2">
        <v>709</v>
      </c>
      <c r="J253" s="2">
        <v>16309</v>
      </c>
      <c r="K253" s="2">
        <v>168803</v>
      </c>
      <c r="L253" s="4">
        <v>7.3511726687321893E-2</v>
      </c>
      <c r="M253" t="s">
        <v>13</v>
      </c>
    </row>
    <row r="254" spans="1:13" x14ac:dyDescent="0.3">
      <c r="A254" t="s">
        <v>277</v>
      </c>
      <c r="B254" t="s">
        <v>6</v>
      </c>
      <c r="C254" s="1">
        <v>45916</v>
      </c>
      <c r="D254" t="s">
        <v>2</v>
      </c>
      <c r="E254" t="s">
        <v>52</v>
      </c>
      <c r="F254" s="2">
        <v>16043</v>
      </c>
      <c r="G254" s="2">
        <v>595</v>
      </c>
      <c r="H254" s="2">
        <v>923</v>
      </c>
      <c r="I254" s="2">
        <v>1194</v>
      </c>
      <c r="J254" s="2">
        <v>52613</v>
      </c>
      <c r="K254" s="2">
        <v>179978</v>
      </c>
      <c r="L254" s="4">
        <v>9.7573036704486096E-2</v>
      </c>
      <c r="M254" t="s">
        <v>8</v>
      </c>
    </row>
    <row r="255" spans="1:13" x14ac:dyDescent="0.3">
      <c r="A255" t="s">
        <v>278</v>
      </c>
      <c r="B255" t="s">
        <v>10</v>
      </c>
      <c r="C255" s="1">
        <v>45671</v>
      </c>
      <c r="D255" t="s">
        <v>22</v>
      </c>
      <c r="E255" t="s">
        <v>38</v>
      </c>
      <c r="F255" s="2">
        <v>24350</v>
      </c>
      <c r="G255" s="2">
        <v>460</v>
      </c>
      <c r="H255" s="2">
        <v>666</v>
      </c>
      <c r="I255" s="2">
        <v>814</v>
      </c>
      <c r="J255" s="2">
        <v>21120</v>
      </c>
      <c r="K255" s="2">
        <v>76914</v>
      </c>
      <c r="L255" s="4">
        <v>0.33122708479600599</v>
      </c>
      <c r="M255" t="s">
        <v>4</v>
      </c>
    </row>
    <row r="256" spans="1:13" x14ac:dyDescent="0.3">
      <c r="A256" t="s">
        <v>279</v>
      </c>
      <c r="B256" t="s">
        <v>10</v>
      </c>
      <c r="C256" s="1">
        <v>45750</v>
      </c>
      <c r="D256" t="s">
        <v>2</v>
      </c>
      <c r="E256" t="s">
        <v>103</v>
      </c>
      <c r="F256" s="2">
        <v>10837</v>
      </c>
      <c r="G256" s="2">
        <v>1004</v>
      </c>
      <c r="H256" s="2">
        <v>922</v>
      </c>
      <c r="I256" s="2">
        <v>1108</v>
      </c>
      <c r="J256" s="2">
        <v>36807</v>
      </c>
      <c r="K256" s="2">
        <v>150350</v>
      </c>
      <c r="L256" s="4">
        <v>8.4888593282341204E-2</v>
      </c>
      <c r="M256" t="s">
        <v>13</v>
      </c>
    </row>
    <row r="257" spans="1:13" x14ac:dyDescent="0.3">
      <c r="A257" t="s">
        <v>280</v>
      </c>
      <c r="B257" t="s">
        <v>1</v>
      </c>
      <c r="C257" s="1">
        <v>45917</v>
      </c>
      <c r="D257" t="s">
        <v>22</v>
      </c>
      <c r="E257" t="s">
        <v>23</v>
      </c>
      <c r="F257" s="2">
        <v>2117</v>
      </c>
      <c r="G257" s="2">
        <v>1133</v>
      </c>
      <c r="H257" s="2">
        <v>203</v>
      </c>
      <c r="I257" s="2">
        <v>1173</v>
      </c>
      <c r="J257" s="2">
        <v>40125</v>
      </c>
      <c r="K257" s="2">
        <v>85379</v>
      </c>
      <c r="L257" s="4">
        <v>4.0443200318579502E-2</v>
      </c>
      <c r="M257" t="s">
        <v>8</v>
      </c>
    </row>
    <row r="258" spans="1:13" x14ac:dyDescent="0.3">
      <c r="A258" t="s">
        <v>281</v>
      </c>
      <c r="B258" t="s">
        <v>1</v>
      </c>
      <c r="C258" s="1">
        <v>45753</v>
      </c>
      <c r="D258" t="s">
        <v>22</v>
      </c>
      <c r="E258" t="s">
        <v>38</v>
      </c>
      <c r="F258" s="2">
        <v>15917</v>
      </c>
      <c r="G258" s="2">
        <v>1479</v>
      </c>
      <c r="H258" s="2">
        <v>196</v>
      </c>
      <c r="I258" s="2">
        <v>313</v>
      </c>
      <c r="J258" s="2">
        <v>48524</v>
      </c>
      <c r="K258" s="2">
        <v>249684</v>
      </c>
      <c r="L258" s="4">
        <v>7.0457057720959296E-2</v>
      </c>
      <c r="M258" t="s">
        <v>17</v>
      </c>
    </row>
    <row r="259" spans="1:13" x14ac:dyDescent="0.3">
      <c r="A259" t="s">
        <v>282</v>
      </c>
      <c r="B259" t="s">
        <v>28</v>
      </c>
      <c r="C259" s="1">
        <v>45509</v>
      </c>
      <c r="D259" t="s">
        <v>15</v>
      </c>
      <c r="E259" t="s">
        <v>3</v>
      </c>
      <c r="F259" s="2">
        <v>20935</v>
      </c>
      <c r="G259" s="2">
        <v>1104</v>
      </c>
      <c r="H259" s="2">
        <v>876</v>
      </c>
      <c r="I259" s="2">
        <v>1270</v>
      </c>
      <c r="J259" s="2">
        <v>21454</v>
      </c>
      <c r="K259" s="2">
        <v>208722</v>
      </c>
      <c r="L259" s="4">
        <v>0.10978718103506099</v>
      </c>
      <c r="M259" t="s">
        <v>13</v>
      </c>
    </row>
    <row r="260" spans="1:13" x14ac:dyDescent="0.3">
      <c r="A260" t="s">
        <v>283</v>
      </c>
      <c r="B260" t="s">
        <v>6</v>
      </c>
      <c r="C260" s="1">
        <v>45698</v>
      </c>
      <c r="D260" t="s">
        <v>22</v>
      </c>
      <c r="E260" t="s">
        <v>7</v>
      </c>
      <c r="F260" s="2">
        <v>16309</v>
      </c>
      <c r="G260" s="2">
        <v>1449</v>
      </c>
      <c r="H260" s="2">
        <v>838</v>
      </c>
      <c r="I260" s="2">
        <v>2434</v>
      </c>
      <c r="J260" s="2">
        <v>2940</v>
      </c>
      <c r="K260" s="2">
        <v>217953</v>
      </c>
      <c r="L260" s="4">
        <v>8.5321147219813404E-2</v>
      </c>
      <c r="M260" t="s">
        <v>17</v>
      </c>
    </row>
    <row r="261" spans="1:13" x14ac:dyDescent="0.3">
      <c r="A261" t="s">
        <v>284</v>
      </c>
      <c r="B261" t="s">
        <v>1</v>
      </c>
      <c r="C261" s="1">
        <v>45700</v>
      </c>
      <c r="D261" t="s">
        <v>15</v>
      </c>
      <c r="E261" t="s">
        <v>7</v>
      </c>
      <c r="F261" s="2">
        <v>15234</v>
      </c>
      <c r="G261" s="2">
        <v>1276</v>
      </c>
      <c r="H261" s="2">
        <v>670</v>
      </c>
      <c r="I261" s="2">
        <v>1860</v>
      </c>
      <c r="J261" s="2">
        <v>60397</v>
      </c>
      <c r="K261" s="2">
        <v>86413</v>
      </c>
      <c r="L261" s="4">
        <v>0.19881267864788901</v>
      </c>
      <c r="M261" t="s">
        <v>33</v>
      </c>
    </row>
    <row r="262" spans="1:13" x14ac:dyDescent="0.3">
      <c r="A262" t="s">
        <v>285</v>
      </c>
      <c r="B262" t="s">
        <v>10</v>
      </c>
      <c r="C262" s="1">
        <v>45592</v>
      </c>
      <c r="D262" t="s">
        <v>22</v>
      </c>
      <c r="E262" t="s">
        <v>3</v>
      </c>
      <c r="F262" s="2">
        <v>7560</v>
      </c>
      <c r="G262" s="2">
        <v>1139</v>
      </c>
      <c r="H262" s="2">
        <v>248</v>
      </c>
      <c r="I262" s="2">
        <v>1624</v>
      </c>
      <c r="J262" s="2">
        <v>72237</v>
      </c>
      <c r="K262" s="2">
        <v>177084</v>
      </c>
      <c r="L262" s="4">
        <v>5.0524045085947898E-2</v>
      </c>
      <c r="M262" t="s">
        <v>13</v>
      </c>
    </row>
    <row r="263" spans="1:13" x14ac:dyDescent="0.3">
      <c r="A263" t="s">
        <v>286</v>
      </c>
      <c r="B263" t="s">
        <v>28</v>
      </c>
      <c r="C263" s="1">
        <v>45675</v>
      </c>
      <c r="D263" t="s">
        <v>11</v>
      </c>
      <c r="E263" t="s">
        <v>43</v>
      </c>
      <c r="F263" s="2">
        <v>22673</v>
      </c>
      <c r="G263" s="2">
        <v>1053</v>
      </c>
      <c r="H263" s="2">
        <v>169</v>
      </c>
      <c r="I263" s="2">
        <v>1566</v>
      </c>
      <c r="J263" s="2">
        <v>9417</v>
      </c>
      <c r="K263" s="2">
        <v>221187</v>
      </c>
      <c r="L263" s="4">
        <v>0.108030761301523</v>
      </c>
      <c r="M263" t="s">
        <v>17</v>
      </c>
    </row>
    <row r="264" spans="1:13" x14ac:dyDescent="0.3">
      <c r="A264" t="s">
        <v>287</v>
      </c>
      <c r="B264" t="s">
        <v>10</v>
      </c>
      <c r="C264" s="1">
        <v>45524</v>
      </c>
      <c r="D264" t="s">
        <v>11</v>
      </c>
      <c r="E264" t="s">
        <v>20</v>
      </c>
      <c r="F264" s="2">
        <v>2846</v>
      </c>
      <c r="G264" s="2">
        <v>792</v>
      </c>
      <c r="H264" s="2">
        <v>902</v>
      </c>
      <c r="I264" s="2">
        <v>2469</v>
      </c>
      <c r="J264" s="2">
        <v>12130</v>
      </c>
      <c r="K264" s="2">
        <v>47151</v>
      </c>
      <c r="L264" s="4">
        <v>9.6286399015927601E-2</v>
      </c>
      <c r="M264" t="s">
        <v>4</v>
      </c>
    </row>
    <row r="265" spans="1:13" x14ac:dyDescent="0.3">
      <c r="A265" t="s">
        <v>288</v>
      </c>
      <c r="B265" t="s">
        <v>10</v>
      </c>
      <c r="C265" s="1">
        <v>45687</v>
      </c>
      <c r="D265" t="s">
        <v>11</v>
      </c>
      <c r="E265" t="s">
        <v>43</v>
      </c>
      <c r="F265" s="2">
        <v>12954</v>
      </c>
      <c r="G265" s="2">
        <v>913</v>
      </c>
      <c r="H265" s="2">
        <v>722</v>
      </c>
      <c r="I265" s="2">
        <v>1049</v>
      </c>
      <c r="J265" s="2">
        <v>475</v>
      </c>
      <c r="K265" s="2">
        <v>97716</v>
      </c>
      <c r="L265" s="4">
        <v>0.14930001228048601</v>
      </c>
      <c r="M265" t="s">
        <v>4</v>
      </c>
    </row>
    <row r="266" spans="1:13" x14ac:dyDescent="0.3">
      <c r="A266" t="s">
        <v>289</v>
      </c>
      <c r="B266" t="s">
        <v>1</v>
      </c>
      <c r="C266" s="1">
        <v>45708</v>
      </c>
      <c r="D266" t="s">
        <v>22</v>
      </c>
      <c r="E266" t="s">
        <v>29</v>
      </c>
      <c r="F266" s="2">
        <v>15703</v>
      </c>
      <c r="G266" s="2">
        <v>1381</v>
      </c>
      <c r="H266" s="2">
        <v>639</v>
      </c>
      <c r="I266" s="2">
        <v>984</v>
      </c>
      <c r="J266" s="2">
        <v>10967</v>
      </c>
      <c r="K266" s="2">
        <v>133747</v>
      </c>
      <c r="L266" s="4">
        <v>0.132511383432899</v>
      </c>
      <c r="M266" t="s">
        <v>33</v>
      </c>
    </row>
    <row r="267" spans="1:13" x14ac:dyDescent="0.3">
      <c r="A267" t="s">
        <v>290</v>
      </c>
      <c r="B267" t="s">
        <v>28</v>
      </c>
      <c r="C267" s="1">
        <v>45621</v>
      </c>
      <c r="D267" t="s">
        <v>15</v>
      </c>
      <c r="E267" t="s">
        <v>29</v>
      </c>
      <c r="F267" s="2">
        <v>17385</v>
      </c>
      <c r="G267" s="2">
        <v>831</v>
      </c>
      <c r="H267" s="2">
        <v>568</v>
      </c>
      <c r="I267" s="2">
        <v>2227</v>
      </c>
      <c r="J267" s="2">
        <v>49351</v>
      </c>
      <c r="K267" s="2">
        <v>207450</v>
      </c>
      <c r="L267" s="4">
        <v>9.0547119787900698E-2</v>
      </c>
      <c r="M267" t="s">
        <v>13</v>
      </c>
    </row>
    <row r="268" spans="1:13" x14ac:dyDescent="0.3">
      <c r="A268" t="s">
        <v>291</v>
      </c>
      <c r="B268" t="s">
        <v>6</v>
      </c>
      <c r="C268" s="1">
        <v>45569</v>
      </c>
      <c r="D268" t="s">
        <v>15</v>
      </c>
      <c r="E268" t="s">
        <v>38</v>
      </c>
      <c r="F268" s="2">
        <v>15746</v>
      </c>
      <c r="G268" s="2">
        <v>258</v>
      </c>
      <c r="H268" s="2">
        <v>839</v>
      </c>
      <c r="I268" s="2">
        <v>2656</v>
      </c>
      <c r="J268" s="2">
        <v>66614</v>
      </c>
      <c r="K268" s="2">
        <v>213724</v>
      </c>
      <c r="L268" s="4">
        <v>7.8807246729426697E-2</v>
      </c>
      <c r="M268" t="s">
        <v>13</v>
      </c>
    </row>
    <row r="269" spans="1:13" x14ac:dyDescent="0.3">
      <c r="A269" t="s">
        <v>292</v>
      </c>
      <c r="B269" t="s">
        <v>6</v>
      </c>
      <c r="C269" s="1">
        <v>45760</v>
      </c>
      <c r="D269" t="s">
        <v>22</v>
      </c>
      <c r="E269" t="s">
        <v>52</v>
      </c>
      <c r="F269" s="2">
        <v>24700</v>
      </c>
      <c r="G269" s="2">
        <v>327</v>
      </c>
      <c r="H269" s="2">
        <v>999</v>
      </c>
      <c r="I269" s="2">
        <v>994</v>
      </c>
      <c r="J269" s="2">
        <v>59400</v>
      </c>
      <c r="K269" s="2">
        <v>243502</v>
      </c>
      <c r="L269" s="4">
        <v>0.106882078997298</v>
      </c>
      <c r="M269" t="s">
        <v>13</v>
      </c>
    </row>
    <row r="270" spans="1:13" x14ac:dyDescent="0.3">
      <c r="A270" t="s">
        <v>293</v>
      </c>
      <c r="B270" t="s">
        <v>1</v>
      </c>
      <c r="C270" s="1">
        <v>45601</v>
      </c>
      <c r="D270" t="s">
        <v>11</v>
      </c>
      <c r="E270" t="s">
        <v>52</v>
      </c>
      <c r="F270" s="2">
        <v>8469</v>
      </c>
      <c r="G270" s="2">
        <v>935</v>
      </c>
      <c r="H270" s="2">
        <v>211</v>
      </c>
      <c r="I270" s="2">
        <v>2635</v>
      </c>
      <c r="J270" s="2">
        <v>21890</v>
      </c>
      <c r="K270" s="2">
        <v>184539</v>
      </c>
      <c r="L270" s="4">
        <v>5.2102807536618299E-2</v>
      </c>
      <c r="M270" t="s">
        <v>33</v>
      </c>
    </row>
    <row r="271" spans="1:13" x14ac:dyDescent="0.3">
      <c r="A271" t="s">
        <v>294</v>
      </c>
      <c r="B271" t="s">
        <v>1</v>
      </c>
      <c r="C271" s="1">
        <v>45672</v>
      </c>
      <c r="D271" t="s">
        <v>11</v>
      </c>
      <c r="E271" t="s">
        <v>7</v>
      </c>
      <c r="F271" s="2">
        <v>11333</v>
      </c>
      <c r="G271" s="2">
        <v>920</v>
      </c>
      <c r="H271" s="2">
        <v>294</v>
      </c>
      <c r="I271" s="2">
        <v>606</v>
      </c>
      <c r="J271" s="2">
        <v>59490</v>
      </c>
      <c r="K271" s="2">
        <v>202082</v>
      </c>
      <c r="L271" s="4">
        <v>6.2088657079799298E-2</v>
      </c>
      <c r="M271" t="s">
        <v>13</v>
      </c>
    </row>
    <row r="272" spans="1:13" x14ac:dyDescent="0.3">
      <c r="A272" t="s">
        <v>295</v>
      </c>
      <c r="B272" t="s">
        <v>28</v>
      </c>
      <c r="C272" s="1">
        <v>45582</v>
      </c>
      <c r="D272" t="s">
        <v>15</v>
      </c>
      <c r="E272" t="s">
        <v>12</v>
      </c>
      <c r="F272" s="2">
        <v>18608</v>
      </c>
      <c r="G272" s="2">
        <v>1338</v>
      </c>
      <c r="H272" s="2">
        <v>365</v>
      </c>
      <c r="I272" s="2">
        <v>2289</v>
      </c>
      <c r="J272" s="2">
        <v>20785</v>
      </c>
      <c r="K272" s="2">
        <v>161999</v>
      </c>
      <c r="L272" s="4">
        <v>0.12537731714393299</v>
      </c>
      <c r="M272" t="s">
        <v>4</v>
      </c>
    </row>
    <row r="273" spans="1:13" x14ac:dyDescent="0.3">
      <c r="A273" t="s">
        <v>296</v>
      </c>
      <c r="B273" t="s">
        <v>6</v>
      </c>
      <c r="C273" s="1">
        <v>45743</v>
      </c>
      <c r="D273" t="s">
        <v>11</v>
      </c>
      <c r="E273" t="s">
        <v>43</v>
      </c>
      <c r="F273" s="2">
        <v>14819</v>
      </c>
      <c r="G273" s="2">
        <v>1432</v>
      </c>
      <c r="H273" s="2">
        <v>152</v>
      </c>
      <c r="I273" s="2">
        <v>961</v>
      </c>
      <c r="J273" s="2">
        <v>39154</v>
      </c>
      <c r="K273" s="2">
        <v>154793</v>
      </c>
      <c r="L273" s="4">
        <v>0.105967324103803</v>
      </c>
      <c r="M273" t="s">
        <v>17</v>
      </c>
    </row>
    <row r="274" spans="1:13" x14ac:dyDescent="0.3">
      <c r="A274" t="s">
        <v>297</v>
      </c>
      <c r="B274" t="s">
        <v>6</v>
      </c>
      <c r="C274" s="1">
        <v>45577</v>
      </c>
      <c r="D274" t="s">
        <v>2</v>
      </c>
      <c r="E274" t="s">
        <v>103</v>
      </c>
      <c r="F274" s="2">
        <v>6208</v>
      </c>
      <c r="G274" s="2">
        <v>725</v>
      </c>
      <c r="H274" s="2">
        <v>309</v>
      </c>
      <c r="I274" s="2">
        <v>848</v>
      </c>
      <c r="J274" s="2">
        <v>39319</v>
      </c>
      <c r="K274" s="2">
        <v>225763</v>
      </c>
      <c r="L274" s="4">
        <v>3.2077886987681797E-2</v>
      </c>
      <c r="M274" t="s">
        <v>4</v>
      </c>
    </row>
    <row r="275" spans="1:13" x14ac:dyDescent="0.3">
      <c r="A275" t="s">
        <v>298</v>
      </c>
      <c r="B275" t="s">
        <v>6</v>
      </c>
      <c r="C275" s="1">
        <v>45658</v>
      </c>
      <c r="D275" t="s">
        <v>15</v>
      </c>
      <c r="E275" t="s">
        <v>23</v>
      </c>
      <c r="F275" s="2">
        <v>8283</v>
      </c>
      <c r="G275" s="2">
        <v>720</v>
      </c>
      <c r="H275" s="2">
        <v>888</v>
      </c>
      <c r="I275" s="2">
        <v>611</v>
      </c>
      <c r="J275" s="2">
        <v>52791</v>
      </c>
      <c r="K275" s="2">
        <v>235229</v>
      </c>
      <c r="L275" s="4">
        <v>4.2048386891072098E-2</v>
      </c>
      <c r="M275" t="s">
        <v>4</v>
      </c>
    </row>
    <row r="276" spans="1:13" x14ac:dyDescent="0.3">
      <c r="A276" t="s">
        <v>299</v>
      </c>
      <c r="B276" t="s">
        <v>10</v>
      </c>
      <c r="C276" s="1">
        <v>45509</v>
      </c>
      <c r="D276" t="s">
        <v>11</v>
      </c>
      <c r="E276" t="s">
        <v>25</v>
      </c>
      <c r="F276" s="2">
        <v>4048</v>
      </c>
      <c r="G276" s="2">
        <v>751</v>
      </c>
      <c r="H276" s="2">
        <v>930</v>
      </c>
      <c r="I276" s="2">
        <v>1382</v>
      </c>
      <c r="J276" s="2">
        <v>16844</v>
      </c>
      <c r="K276" s="2">
        <v>148177</v>
      </c>
      <c r="L276" s="4">
        <v>3.8663220337839199E-2</v>
      </c>
      <c r="M276" t="s">
        <v>17</v>
      </c>
    </row>
    <row r="277" spans="1:13" x14ac:dyDescent="0.3">
      <c r="A277" t="s">
        <v>300</v>
      </c>
      <c r="B277" t="s">
        <v>6</v>
      </c>
      <c r="C277" s="1">
        <v>45450</v>
      </c>
      <c r="D277" t="s">
        <v>15</v>
      </c>
      <c r="E277" t="s">
        <v>16</v>
      </c>
      <c r="F277" s="2">
        <v>8233</v>
      </c>
      <c r="G277" s="2">
        <v>436</v>
      </c>
      <c r="H277" s="2">
        <v>269</v>
      </c>
      <c r="I277" s="2">
        <v>2037</v>
      </c>
      <c r="J277" s="2">
        <v>8875</v>
      </c>
      <c r="K277" s="2">
        <v>52289</v>
      </c>
      <c r="L277" s="4">
        <v>0.17093461339861199</v>
      </c>
      <c r="M277" t="s">
        <v>4</v>
      </c>
    </row>
    <row r="278" spans="1:13" x14ac:dyDescent="0.3">
      <c r="A278" t="s">
        <v>301</v>
      </c>
      <c r="B278" t="s">
        <v>10</v>
      </c>
      <c r="C278" s="1">
        <v>45753</v>
      </c>
      <c r="D278" t="s">
        <v>2</v>
      </c>
      <c r="E278" t="s">
        <v>52</v>
      </c>
      <c r="F278" s="2">
        <v>14941</v>
      </c>
      <c r="G278" s="2">
        <v>1424</v>
      </c>
      <c r="H278" s="2">
        <v>238</v>
      </c>
      <c r="I278" s="2">
        <v>1054</v>
      </c>
      <c r="J278" s="2">
        <v>20516</v>
      </c>
      <c r="K278" s="2">
        <v>216048</v>
      </c>
      <c r="L278" s="4">
        <v>7.6848663260016298E-2</v>
      </c>
      <c r="M278" t="s">
        <v>33</v>
      </c>
    </row>
    <row r="279" spans="1:13" x14ac:dyDescent="0.3">
      <c r="A279" t="s">
        <v>302</v>
      </c>
      <c r="B279" t="s">
        <v>28</v>
      </c>
      <c r="C279" s="1">
        <v>45622</v>
      </c>
      <c r="D279" t="s">
        <v>15</v>
      </c>
      <c r="E279" t="s">
        <v>23</v>
      </c>
      <c r="F279" s="2">
        <v>14607</v>
      </c>
      <c r="G279" s="2">
        <v>1458</v>
      </c>
      <c r="H279" s="2">
        <v>478</v>
      </c>
      <c r="I279" s="2">
        <v>334</v>
      </c>
      <c r="J279" s="2">
        <v>49257</v>
      </c>
      <c r="K279" s="2">
        <v>214668</v>
      </c>
      <c r="L279" s="4">
        <v>7.7063185942944396E-2</v>
      </c>
      <c r="M279" t="s">
        <v>17</v>
      </c>
    </row>
    <row r="280" spans="1:13" x14ac:dyDescent="0.3">
      <c r="A280" t="s">
        <v>303</v>
      </c>
      <c r="B280" t="s">
        <v>10</v>
      </c>
      <c r="C280" s="1">
        <v>45537</v>
      </c>
      <c r="D280" t="s">
        <v>15</v>
      </c>
      <c r="E280" t="s">
        <v>16</v>
      </c>
      <c r="F280" s="2">
        <v>11765</v>
      </c>
      <c r="G280" s="2">
        <v>693</v>
      </c>
      <c r="H280" s="2">
        <v>729</v>
      </c>
      <c r="I280" s="2">
        <v>744</v>
      </c>
      <c r="J280" s="2">
        <v>97772</v>
      </c>
      <c r="K280" s="2">
        <v>194243</v>
      </c>
      <c r="L280" s="4">
        <v>6.7889190344053593E-2</v>
      </c>
      <c r="M280" t="s">
        <v>4</v>
      </c>
    </row>
    <row r="281" spans="1:13" x14ac:dyDescent="0.3">
      <c r="A281" t="s">
        <v>304</v>
      </c>
      <c r="B281" t="s">
        <v>28</v>
      </c>
      <c r="C281" s="1">
        <v>45918</v>
      </c>
      <c r="D281" t="s">
        <v>15</v>
      </c>
      <c r="E281" t="s">
        <v>23</v>
      </c>
      <c r="F281" s="2">
        <v>3828</v>
      </c>
      <c r="G281" s="2">
        <v>203</v>
      </c>
      <c r="H281" s="2">
        <v>506</v>
      </c>
      <c r="I281" s="2">
        <v>2440</v>
      </c>
      <c r="J281" s="2">
        <v>63650</v>
      </c>
      <c r="K281" s="2">
        <v>126365</v>
      </c>
      <c r="L281" s="4">
        <v>3.5903929094290403E-2</v>
      </c>
      <c r="M281" t="s">
        <v>8</v>
      </c>
    </row>
    <row r="282" spans="1:13" x14ac:dyDescent="0.3">
      <c r="A282" t="s">
        <v>305</v>
      </c>
      <c r="B282" t="s">
        <v>6</v>
      </c>
      <c r="C282" s="1">
        <v>45738</v>
      </c>
      <c r="D282" t="s">
        <v>15</v>
      </c>
      <c r="E282" t="s">
        <v>38</v>
      </c>
      <c r="F282" s="2">
        <v>3917</v>
      </c>
      <c r="G282" s="2">
        <v>865</v>
      </c>
      <c r="H282" s="2">
        <v>759</v>
      </c>
      <c r="I282" s="2">
        <v>2282</v>
      </c>
      <c r="J282" s="2">
        <v>56125</v>
      </c>
      <c r="K282" s="2">
        <v>154014</v>
      </c>
      <c r="L282" s="4">
        <v>3.5977248821535697E-2</v>
      </c>
      <c r="M282" t="s">
        <v>4</v>
      </c>
    </row>
    <row r="283" spans="1:13" x14ac:dyDescent="0.3">
      <c r="A283" t="s">
        <v>306</v>
      </c>
      <c r="B283" t="s">
        <v>6</v>
      </c>
      <c r="C283" s="1">
        <v>45568</v>
      </c>
      <c r="D283" t="s">
        <v>2</v>
      </c>
      <c r="E283" t="s">
        <v>16</v>
      </c>
      <c r="F283" s="2">
        <v>22618</v>
      </c>
      <c r="G283" s="2">
        <v>641</v>
      </c>
      <c r="H283" s="2">
        <v>416</v>
      </c>
      <c r="I283" s="2">
        <v>1530</v>
      </c>
      <c r="J283" s="2">
        <v>18395</v>
      </c>
      <c r="K283" s="2">
        <v>215211</v>
      </c>
      <c r="L283" s="4">
        <v>0.110008317418719</v>
      </c>
      <c r="M283" t="s">
        <v>33</v>
      </c>
    </row>
    <row r="284" spans="1:13" x14ac:dyDescent="0.3">
      <c r="A284" t="s">
        <v>307</v>
      </c>
      <c r="B284" t="s">
        <v>28</v>
      </c>
      <c r="C284" s="1">
        <v>45786</v>
      </c>
      <c r="D284" t="s">
        <v>22</v>
      </c>
      <c r="E284" t="s">
        <v>25</v>
      </c>
      <c r="F284" s="2">
        <v>8988</v>
      </c>
      <c r="G284" s="2">
        <v>228</v>
      </c>
      <c r="H284" s="2">
        <v>766</v>
      </c>
      <c r="I284" s="2">
        <v>652</v>
      </c>
      <c r="J284" s="2">
        <v>63789</v>
      </c>
      <c r="K284" s="2">
        <v>219785</v>
      </c>
      <c r="L284" s="4">
        <v>4.5417112177810103E-2</v>
      </c>
      <c r="M284" t="s">
        <v>13</v>
      </c>
    </row>
    <row r="285" spans="1:13" x14ac:dyDescent="0.3">
      <c r="A285" t="s">
        <v>308</v>
      </c>
      <c r="B285" t="s">
        <v>1</v>
      </c>
      <c r="C285" s="1">
        <v>45552</v>
      </c>
      <c r="D285" t="s">
        <v>15</v>
      </c>
      <c r="E285" t="s">
        <v>23</v>
      </c>
      <c r="F285" s="2">
        <v>20410</v>
      </c>
      <c r="G285" s="2">
        <v>1332</v>
      </c>
      <c r="H285" s="2">
        <v>472</v>
      </c>
      <c r="I285" s="2">
        <v>1202</v>
      </c>
      <c r="J285" s="2">
        <v>9418</v>
      </c>
      <c r="K285" s="2">
        <v>200806</v>
      </c>
      <c r="L285" s="4">
        <v>0.110624184536319</v>
      </c>
      <c r="M285" t="s">
        <v>4</v>
      </c>
    </row>
    <row r="286" spans="1:13" x14ac:dyDescent="0.3">
      <c r="A286" t="s">
        <v>309</v>
      </c>
      <c r="B286" t="s">
        <v>28</v>
      </c>
      <c r="C286" s="1">
        <v>45491</v>
      </c>
      <c r="D286" t="s">
        <v>15</v>
      </c>
      <c r="E286" t="s">
        <v>3</v>
      </c>
      <c r="F286" s="2">
        <v>16594</v>
      </c>
      <c r="G286" s="2">
        <v>809</v>
      </c>
      <c r="H286" s="2">
        <v>784</v>
      </c>
      <c r="I286" s="2">
        <v>1655</v>
      </c>
      <c r="J286" s="2">
        <v>35505</v>
      </c>
      <c r="K286" s="2">
        <v>112588</v>
      </c>
      <c r="L286" s="4">
        <v>0.161535865278715</v>
      </c>
      <c r="M286" t="s">
        <v>13</v>
      </c>
    </row>
    <row r="287" spans="1:13" x14ac:dyDescent="0.3">
      <c r="A287" t="s">
        <v>310</v>
      </c>
      <c r="B287" t="s">
        <v>1</v>
      </c>
      <c r="C287" s="1">
        <v>45919</v>
      </c>
      <c r="D287" t="s">
        <v>11</v>
      </c>
      <c r="E287" t="s">
        <v>25</v>
      </c>
      <c r="F287" s="2">
        <v>22128</v>
      </c>
      <c r="G287" s="2">
        <v>1004</v>
      </c>
      <c r="H287" s="2">
        <v>690</v>
      </c>
      <c r="I287" s="2">
        <v>2048</v>
      </c>
      <c r="J287" s="2">
        <v>19443</v>
      </c>
      <c r="K287" s="2">
        <v>103646</v>
      </c>
      <c r="L287" s="4">
        <v>0.22984003241803799</v>
      </c>
      <c r="M287" t="s">
        <v>8</v>
      </c>
    </row>
    <row r="288" spans="1:13" x14ac:dyDescent="0.3">
      <c r="A288" t="s">
        <v>311</v>
      </c>
      <c r="B288" t="s">
        <v>10</v>
      </c>
      <c r="C288" s="1">
        <v>45519</v>
      </c>
      <c r="D288" t="s">
        <v>15</v>
      </c>
      <c r="E288" t="s">
        <v>16</v>
      </c>
      <c r="F288" s="2">
        <v>14977</v>
      </c>
      <c r="G288" s="2">
        <v>274</v>
      </c>
      <c r="H288" s="2">
        <v>798</v>
      </c>
      <c r="I288" s="2">
        <v>458</v>
      </c>
      <c r="J288" s="2">
        <v>6636</v>
      </c>
      <c r="K288" s="2">
        <v>43654</v>
      </c>
      <c r="L288" s="4">
        <v>0.367640995097815</v>
      </c>
      <c r="M288" t="s">
        <v>4</v>
      </c>
    </row>
    <row r="289" spans="1:13" x14ac:dyDescent="0.3">
      <c r="A289" t="s">
        <v>312</v>
      </c>
      <c r="B289" t="s">
        <v>10</v>
      </c>
      <c r="C289" s="1">
        <v>45764</v>
      </c>
      <c r="D289" t="s">
        <v>11</v>
      </c>
      <c r="E289" t="s">
        <v>25</v>
      </c>
      <c r="F289" s="2">
        <v>2009</v>
      </c>
      <c r="G289" s="2">
        <v>1037</v>
      </c>
      <c r="H289" s="2">
        <v>344</v>
      </c>
      <c r="I289" s="2">
        <v>2277</v>
      </c>
      <c r="J289" s="2">
        <v>85743</v>
      </c>
      <c r="K289" s="2">
        <v>58743</v>
      </c>
      <c r="L289" s="4">
        <v>5.7709003625963901E-2</v>
      </c>
      <c r="M289" t="s">
        <v>17</v>
      </c>
    </row>
    <row r="290" spans="1:13" x14ac:dyDescent="0.3">
      <c r="A290" t="s">
        <v>313</v>
      </c>
      <c r="B290" t="s">
        <v>10</v>
      </c>
      <c r="C290" s="1">
        <v>45624</v>
      </c>
      <c r="D290" t="s">
        <v>22</v>
      </c>
      <c r="E290" t="s">
        <v>23</v>
      </c>
      <c r="F290" s="2">
        <v>18644</v>
      </c>
      <c r="G290" s="2">
        <v>1369</v>
      </c>
      <c r="H290" s="2">
        <v>887</v>
      </c>
      <c r="I290" s="2">
        <v>1256</v>
      </c>
      <c r="J290" s="2">
        <v>43415</v>
      </c>
      <c r="K290" s="2">
        <v>88368</v>
      </c>
      <c r="L290" s="4">
        <v>0.23651095419156301</v>
      </c>
      <c r="M290" t="s">
        <v>13</v>
      </c>
    </row>
    <row r="291" spans="1:13" x14ac:dyDescent="0.3">
      <c r="A291" t="s">
        <v>314</v>
      </c>
      <c r="B291" t="s">
        <v>6</v>
      </c>
      <c r="C291" s="1">
        <v>45920</v>
      </c>
      <c r="D291" t="s">
        <v>2</v>
      </c>
      <c r="E291" t="s">
        <v>20</v>
      </c>
      <c r="F291" s="2">
        <v>24422</v>
      </c>
      <c r="G291" s="2">
        <v>327</v>
      </c>
      <c r="H291" s="2">
        <v>481</v>
      </c>
      <c r="I291" s="2">
        <v>2371</v>
      </c>
      <c r="J291" s="2">
        <v>35340</v>
      </c>
      <c r="K291" s="2">
        <v>245244</v>
      </c>
      <c r="L291" s="4">
        <v>0.10287713460879799</v>
      </c>
      <c r="M291" t="s">
        <v>8</v>
      </c>
    </row>
    <row r="292" spans="1:13" x14ac:dyDescent="0.3">
      <c r="A292" t="s">
        <v>315</v>
      </c>
      <c r="B292" t="s">
        <v>10</v>
      </c>
      <c r="C292" s="1">
        <v>45602</v>
      </c>
      <c r="D292" t="s">
        <v>2</v>
      </c>
      <c r="E292" t="s">
        <v>23</v>
      </c>
      <c r="F292" s="2">
        <v>11865</v>
      </c>
      <c r="G292" s="2">
        <v>241</v>
      </c>
      <c r="H292" s="2">
        <v>319</v>
      </c>
      <c r="I292" s="2">
        <v>703</v>
      </c>
      <c r="J292" s="2">
        <v>69596</v>
      </c>
      <c r="K292" s="2">
        <v>177513</v>
      </c>
      <c r="L292" s="4">
        <v>6.9994873614890193E-2</v>
      </c>
      <c r="M292" t="s">
        <v>17</v>
      </c>
    </row>
    <row r="293" spans="1:13" x14ac:dyDescent="0.3">
      <c r="A293" t="s">
        <v>316</v>
      </c>
      <c r="B293" t="s">
        <v>1</v>
      </c>
      <c r="C293" s="1">
        <v>45613</v>
      </c>
      <c r="D293" t="s">
        <v>22</v>
      </c>
      <c r="E293" t="s">
        <v>23</v>
      </c>
      <c r="F293" s="2">
        <v>4219</v>
      </c>
      <c r="G293" s="2">
        <v>240</v>
      </c>
      <c r="H293" s="2">
        <v>670</v>
      </c>
      <c r="I293" s="2">
        <v>815</v>
      </c>
      <c r="J293" s="2">
        <v>11978</v>
      </c>
      <c r="K293" s="2">
        <v>159735</v>
      </c>
      <c r="L293" s="4">
        <v>3.2109431245500399E-2</v>
      </c>
      <c r="M293" t="s">
        <v>17</v>
      </c>
    </row>
    <row r="294" spans="1:13" x14ac:dyDescent="0.3">
      <c r="A294" t="s">
        <v>317</v>
      </c>
      <c r="B294" t="s">
        <v>10</v>
      </c>
      <c r="C294" s="1">
        <v>45791</v>
      </c>
      <c r="D294" t="s">
        <v>2</v>
      </c>
      <c r="E294" t="s">
        <v>38</v>
      </c>
      <c r="F294" s="2">
        <v>9041</v>
      </c>
      <c r="G294" s="2">
        <v>1133</v>
      </c>
      <c r="H294" s="2">
        <v>612</v>
      </c>
      <c r="I294" s="2">
        <v>1687</v>
      </c>
      <c r="J294" s="2">
        <v>28102</v>
      </c>
      <c r="K294" s="2">
        <v>195683</v>
      </c>
      <c r="L294" s="4">
        <v>5.5119760020032403E-2</v>
      </c>
      <c r="M294" t="s">
        <v>17</v>
      </c>
    </row>
    <row r="295" spans="1:13" x14ac:dyDescent="0.3">
      <c r="A295" t="s">
        <v>318</v>
      </c>
      <c r="B295" t="s">
        <v>28</v>
      </c>
      <c r="C295" s="1">
        <v>45462</v>
      </c>
      <c r="D295" t="s">
        <v>22</v>
      </c>
      <c r="E295" t="s">
        <v>43</v>
      </c>
      <c r="F295" s="2">
        <v>20444</v>
      </c>
      <c r="G295" s="2">
        <v>233</v>
      </c>
      <c r="H295" s="2">
        <v>189</v>
      </c>
      <c r="I295" s="2">
        <v>2879</v>
      </c>
      <c r="J295" s="2">
        <v>28185</v>
      </c>
      <c r="K295" s="2">
        <v>159891</v>
      </c>
      <c r="L295" s="4">
        <v>0.13050140408153099</v>
      </c>
      <c r="M295" t="s">
        <v>17</v>
      </c>
    </row>
    <row r="296" spans="1:13" x14ac:dyDescent="0.3">
      <c r="A296" t="s">
        <v>319</v>
      </c>
      <c r="B296" t="s">
        <v>28</v>
      </c>
      <c r="C296" s="1">
        <v>45783</v>
      </c>
      <c r="D296" t="s">
        <v>22</v>
      </c>
      <c r="E296" t="s">
        <v>3</v>
      </c>
      <c r="F296" s="2">
        <v>7287</v>
      </c>
      <c r="G296" s="2">
        <v>1240</v>
      </c>
      <c r="H296" s="2">
        <v>686</v>
      </c>
      <c r="I296" s="2">
        <v>1255</v>
      </c>
      <c r="J296" s="2">
        <v>15403</v>
      </c>
      <c r="K296" s="2">
        <v>147971</v>
      </c>
      <c r="L296" s="4">
        <v>6.2262200025680697E-2</v>
      </c>
      <c r="M296" t="s">
        <v>4</v>
      </c>
    </row>
    <row r="297" spans="1:13" x14ac:dyDescent="0.3">
      <c r="A297" t="s">
        <v>320</v>
      </c>
      <c r="B297" t="s">
        <v>6</v>
      </c>
      <c r="C297" s="1">
        <v>45699</v>
      </c>
      <c r="D297" t="s">
        <v>22</v>
      </c>
      <c r="E297" t="s">
        <v>103</v>
      </c>
      <c r="F297" s="2">
        <v>3619</v>
      </c>
      <c r="G297" s="2">
        <v>1376</v>
      </c>
      <c r="H297" s="2">
        <v>410</v>
      </c>
      <c r="I297" s="2">
        <v>2499</v>
      </c>
      <c r="J297" s="2">
        <v>58146</v>
      </c>
      <c r="K297" s="2">
        <v>52149</v>
      </c>
      <c r="L297" s="4">
        <v>0.103645323975532</v>
      </c>
      <c r="M297" t="s">
        <v>4</v>
      </c>
    </row>
    <row r="298" spans="1:13" x14ac:dyDescent="0.3">
      <c r="A298" t="s">
        <v>321</v>
      </c>
      <c r="B298" t="s">
        <v>28</v>
      </c>
      <c r="C298" s="1">
        <v>45650</v>
      </c>
      <c r="D298" t="s">
        <v>2</v>
      </c>
      <c r="E298" t="s">
        <v>52</v>
      </c>
      <c r="F298" s="2">
        <v>10512</v>
      </c>
      <c r="G298" s="2">
        <v>1197</v>
      </c>
      <c r="H298" s="2">
        <v>544</v>
      </c>
      <c r="I298" s="2">
        <v>2012</v>
      </c>
      <c r="J298" s="2">
        <v>10245</v>
      </c>
      <c r="K298" s="2">
        <v>140102</v>
      </c>
      <c r="L298" s="4">
        <v>8.7457709383163704E-2</v>
      </c>
      <c r="M298" t="s">
        <v>4</v>
      </c>
    </row>
    <row r="299" spans="1:13" x14ac:dyDescent="0.3">
      <c r="A299" t="s">
        <v>322</v>
      </c>
      <c r="B299" t="s">
        <v>1</v>
      </c>
      <c r="C299" s="1">
        <v>45924</v>
      </c>
      <c r="D299" t="s">
        <v>11</v>
      </c>
      <c r="E299" t="s">
        <v>29</v>
      </c>
      <c r="F299" s="2">
        <v>3342</v>
      </c>
      <c r="G299" s="2">
        <v>787</v>
      </c>
      <c r="H299" s="2">
        <v>375</v>
      </c>
      <c r="I299" s="2">
        <v>907</v>
      </c>
      <c r="J299" s="2">
        <v>85823</v>
      </c>
      <c r="K299" s="2">
        <v>99189</v>
      </c>
      <c r="L299" s="4">
        <v>4.5408260996683103E-2</v>
      </c>
      <c r="M299" t="s">
        <v>8</v>
      </c>
    </row>
    <row r="300" spans="1:13" x14ac:dyDescent="0.3">
      <c r="A300" t="s">
        <v>323</v>
      </c>
      <c r="B300" t="s">
        <v>10</v>
      </c>
      <c r="C300" s="1">
        <v>45925</v>
      </c>
      <c r="D300" t="s">
        <v>22</v>
      </c>
      <c r="E300" t="s">
        <v>43</v>
      </c>
      <c r="F300" s="2">
        <v>12568</v>
      </c>
      <c r="G300" s="2">
        <v>541</v>
      </c>
      <c r="H300" s="2">
        <v>273</v>
      </c>
      <c r="I300" s="2">
        <v>2767</v>
      </c>
      <c r="J300" s="2">
        <v>22331</v>
      </c>
      <c r="K300" s="2">
        <v>192747</v>
      </c>
      <c r="L300" s="4">
        <v>6.94277991356545E-2</v>
      </c>
      <c r="M300" t="s">
        <v>8</v>
      </c>
    </row>
    <row r="301" spans="1:13" x14ac:dyDescent="0.3">
      <c r="A301" t="s">
        <v>324</v>
      </c>
      <c r="B301" t="s">
        <v>6</v>
      </c>
      <c r="C301" s="1">
        <v>45926</v>
      </c>
      <c r="D301" t="s">
        <v>15</v>
      </c>
      <c r="E301" t="s">
        <v>29</v>
      </c>
      <c r="F301" s="2">
        <v>21216</v>
      </c>
      <c r="G301" s="2">
        <v>226</v>
      </c>
      <c r="H301" s="2">
        <v>187</v>
      </c>
      <c r="I301" s="2">
        <v>1573</v>
      </c>
      <c r="J301" s="2">
        <v>62688</v>
      </c>
      <c r="K301" s="2">
        <v>111031</v>
      </c>
      <c r="L301" s="4">
        <v>0.19480145184678199</v>
      </c>
      <c r="M30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9600-1B94-4D11-84C2-5C049DAC4175}">
  <dimension ref="A1:G6"/>
  <sheetViews>
    <sheetView workbookViewId="0">
      <selection activeCell="D5" sqref="A1:G6"/>
    </sheetView>
  </sheetViews>
  <sheetFormatPr defaultRowHeight="14.4" x14ac:dyDescent="0.3"/>
  <cols>
    <col min="1" max="1" width="25.6640625" bestFit="1" customWidth="1"/>
    <col min="2" max="3" width="10.33203125" bestFit="1" customWidth="1"/>
    <col min="4" max="4" width="23.5546875" bestFit="1" customWidth="1"/>
    <col min="5" max="5" width="9.6640625" bestFit="1" customWidth="1"/>
    <col min="6" max="6" width="11" bestFit="1" customWidth="1"/>
    <col min="7" max="7" width="17.44140625" bestFit="1" customWidth="1"/>
  </cols>
  <sheetData>
    <row r="1" spans="1:7" x14ac:dyDescent="0.3">
      <c r="A1" s="15" t="s">
        <v>351</v>
      </c>
      <c r="B1" s="15" t="s">
        <v>352</v>
      </c>
      <c r="C1" s="15" t="s">
        <v>353</v>
      </c>
      <c r="D1" s="15" t="s">
        <v>354</v>
      </c>
      <c r="E1" s="15" t="s">
        <v>349</v>
      </c>
      <c r="F1" s="15" t="s">
        <v>335</v>
      </c>
      <c r="G1" s="15" t="s">
        <v>355</v>
      </c>
    </row>
    <row r="2" spans="1:7" x14ac:dyDescent="0.3">
      <c r="A2" s="14" t="s">
        <v>17</v>
      </c>
      <c r="B2" s="9">
        <v>45458</v>
      </c>
      <c r="C2" s="9">
        <v>45488</v>
      </c>
      <c r="D2" s="14" t="s">
        <v>356</v>
      </c>
      <c r="E2" s="13">
        <v>85000</v>
      </c>
      <c r="F2" s="11">
        <v>950000</v>
      </c>
      <c r="G2" s="16">
        <v>0.45</v>
      </c>
    </row>
    <row r="3" spans="1:7" x14ac:dyDescent="0.3">
      <c r="A3" s="14" t="s">
        <v>33</v>
      </c>
      <c r="B3" s="9">
        <v>45566</v>
      </c>
      <c r="C3" s="9">
        <v>45596</v>
      </c>
      <c r="D3" s="14" t="s">
        <v>357</v>
      </c>
      <c r="E3" s="13">
        <v>60000</v>
      </c>
      <c r="F3" s="11">
        <v>780000</v>
      </c>
      <c r="G3" s="16">
        <v>0.38</v>
      </c>
    </row>
    <row r="4" spans="1:7" x14ac:dyDescent="0.3">
      <c r="A4" s="14" t="s">
        <v>4</v>
      </c>
      <c r="B4" s="9">
        <v>45651</v>
      </c>
      <c r="C4" s="9">
        <v>45667</v>
      </c>
      <c r="D4" s="14" t="s">
        <v>358</v>
      </c>
      <c r="E4" s="13">
        <v>55000</v>
      </c>
      <c r="F4" s="11">
        <v>700000</v>
      </c>
      <c r="G4" s="16">
        <v>0.41</v>
      </c>
    </row>
    <row r="5" spans="1:7" x14ac:dyDescent="0.3">
      <c r="A5" s="14" t="s">
        <v>13</v>
      </c>
      <c r="B5" s="9">
        <v>45717</v>
      </c>
      <c r="C5" s="9">
        <v>45747</v>
      </c>
      <c r="D5" s="14" t="s">
        <v>350</v>
      </c>
      <c r="E5" s="13">
        <v>40000</v>
      </c>
      <c r="F5" s="11">
        <v>550000</v>
      </c>
      <c r="G5" s="16">
        <v>0.32</v>
      </c>
    </row>
    <row r="6" spans="1:7" x14ac:dyDescent="0.3">
      <c r="A6" s="14" t="s">
        <v>8</v>
      </c>
      <c r="B6" s="9">
        <v>45901</v>
      </c>
      <c r="C6" s="9">
        <v>45930</v>
      </c>
      <c r="D6" s="14" t="s">
        <v>359</v>
      </c>
      <c r="E6" s="13">
        <v>75000</v>
      </c>
      <c r="F6" s="11">
        <v>880000</v>
      </c>
      <c r="G6" s="16">
        <v>0.47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6335-68DF-4A71-9F84-01C276C2F697}">
  <dimension ref="A1:AB301"/>
  <sheetViews>
    <sheetView topLeftCell="M1" workbookViewId="0">
      <selection activeCell="T17" sqref="T17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44140625" bestFit="1" customWidth="1"/>
    <col min="5" max="5" width="31.109375" bestFit="1" customWidth="1"/>
    <col min="6" max="6" width="6.5546875" bestFit="1" customWidth="1"/>
    <col min="7" max="7" width="6.6640625" bestFit="1" customWidth="1"/>
    <col min="8" max="8" width="10.109375" bestFit="1" customWidth="1"/>
    <col min="9" max="9" width="6.21875" bestFit="1" customWidth="1"/>
    <col min="10" max="10" width="6.5546875" bestFit="1" customWidth="1"/>
    <col min="11" max="11" width="11.21875" bestFit="1" customWidth="1"/>
    <col min="12" max="12" width="15.33203125" bestFit="1" customWidth="1"/>
    <col min="13" max="13" width="25.6640625" bestFit="1" customWidth="1"/>
    <col min="14" max="14" width="23.5546875" bestFit="1" customWidth="1"/>
    <col min="17" max="17" width="24.33203125" bestFit="1" customWidth="1"/>
    <col min="18" max="18" width="25.109375" bestFit="1" customWidth="1"/>
    <col min="19" max="19" width="21" bestFit="1" customWidth="1"/>
    <col min="20" max="20" width="25.6640625" bestFit="1" customWidth="1"/>
    <col min="21" max="21" width="54" bestFit="1" customWidth="1"/>
    <col min="22" max="22" width="15.5546875" bestFit="1" customWidth="1"/>
    <col min="23" max="23" width="18.44140625" bestFit="1" customWidth="1"/>
    <col min="24" max="24" width="23.109375" bestFit="1" customWidth="1"/>
    <col min="25" max="25" width="21.33203125" bestFit="1" customWidth="1"/>
    <col min="26" max="26" width="26.88671875" bestFit="1" customWidth="1"/>
    <col min="27" max="27" width="25" bestFit="1" customWidth="1"/>
    <col min="28" max="28" width="10.5546875" bestFit="1" customWidth="1"/>
  </cols>
  <sheetData>
    <row r="1" spans="1:28" x14ac:dyDescent="0.3">
      <c r="A1" s="3" t="s">
        <v>325</v>
      </c>
      <c r="B1" s="3" t="s">
        <v>326</v>
      </c>
      <c r="C1" s="3" t="s">
        <v>327</v>
      </c>
      <c r="D1" s="3" t="s">
        <v>328</v>
      </c>
      <c r="E1" s="3" t="s">
        <v>329</v>
      </c>
      <c r="F1" s="3" t="s">
        <v>330</v>
      </c>
      <c r="G1" s="3" t="s">
        <v>331</v>
      </c>
      <c r="H1" s="3" t="s">
        <v>332</v>
      </c>
      <c r="I1" s="3" t="s">
        <v>333</v>
      </c>
      <c r="J1" s="3" t="s">
        <v>334</v>
      </c>
      <c r="K1" s="3" t="s">
        <v>335</v>
      </c>
      <c r="L1" s="3" t="s">
        <v>336</v>
      </c>
      <c r="M1" s="3" t="s">
        <v>337</v>
      </c>
      <c r="N1" s="3" t="s">
        <v>354</v>
      </c>
      <c r="R1" s="15" t="s">
        <v>351</v>
      </c>
      <c r="S1" s="15" t="s">
        <v>352</v>
      </c>
      <c r="T1" s="15" t="s">
        <v>353</v>
      </c>
      <c r="U1" s="15" t="s">
        <v>354</v>
      </c>
      <c r="V1" s="15" t="s">
        <v>349</v>
      </c>
      <c r="W1" s="15" t="s">
        <v>335</v>
      </c>
      <c r="X1" s="15" t="s">
        <v>355</v>
      </c>
    </row>
    <row r="2" spans="1:28" x14ac:dyDescent="0.3">
      <c r="A2" t="s">
        <v>0</v>
      </c>
      <c r="B2" t="s">
        <v>1</v>
      </c>
      <c r="C2" s="1">
        <v>45649</v>
      </c>
      <c r="D2" t="s">
        <v>2</v>
      </c>
      <c r="E2" t="s">
        <v>3</v>
      </c>
      <c r="F2" s="2">
        <v>24516</v>
      </c>
      <c r="G2" s="2">
        <v>976</v>
      </c>
      <c r="H2" s="2">
        <v>974</v>
      </c>
      <c r="I2" s="2">
        <v>2675</v>
      </c>
      <c r="J2" s="2">
        <v>23275</v>
      </c>
      <c r="K2" s="2">
        <v>202932</v>
      </c>
      <c r="L2" s="4">
        <v>0.13041807107799699</v>
      </c>
      <c r="M2" t="s">
        <v>4</v>
      </c>
      <c r="N2" s="25" t="str">
        <f>_xlfn.XLOOKUP(Table4__2_1_1_138[[#This Row],[Campaign]],$R$2:$R$6,$U$2:$U$6)</f>
        <v>Health &amp; Fitness Awareness</v>
      </c>
      <c r="R2" s="14" t="s">
        <v>17</v>
      </c>
      <c r="S2" s="9">
        <v>45458</v>
      </c>
      <c r="T2" s="9">
        <v>45488</v>
      </c>
      <c r="U2" s="14" t="s">
        <v>356</v>
      </c>
      <c r="V2" s="13">
        <v>85000</v>
      </c>
      <c r="W2" s="11">
        <v>950000</v>
      </c>
      <c r="X2" s="16">
        <v>0.45</v>
      </c>
    </row>
    <row r="3" spans="1:28" x14ac:dyDescent="0.3">
      <c r="A3" t="s">
        <v>5</v>
      </c>
      <c r="B3" t="s">
        <v>6</v>
      </c>
      <c r="C3" s="1">
        <v>45903</v>
      </c>
      <c r="D3" t="s">
        <v>2</v>
      </c>
      <c r="E3" t="s">
        <v>7</v>
      </c>
      <c r="F3" s="2">
        <v>4779</v>
      </c>
      <c r="G3" s="2">
        <v>1110</v>
      </c>
      <c r="H3" s="2">
        <v>436</v>
      </c>
      <c r="I3" s="2">
        <v>1574</v>
      </c>
      <c r="J3" s="2">
        <v>77167</v>
      </c>
      <c r="K3" s="2">
        <v>71585</v>
      </c>
      <c r="L3" s="4">
        <v>8.8356499266606103E-2</v>
      </c>
      <c r="M3" t="s">
        <v>8</v>
      </c>
      <c r="N3" s="25" t="str">
        <f>_xlfn.XLOOKUP(Table4__2_1_1_138[[#This Row],[Campaign]],$R$2:$R$6,$U$2:$U$6)</f>
        <v>Brand Engagement</v>
      </c>
      <c r="R3" s="14" t="s">
        <v>33</v>
      </c>
      <c r="S3" s="9">
        <v>45566</v>
      </c>
      <c r="T3" s="9">
        <v>45596</v>
      </c>
      <c r="U3" s="14" t="s">
        <v>357</v>
      </c>
      <c r="V3" s="13">
        <v>60000</v>
      </c>
      <c r="W3" s="11">
        <v>780000</v>
      </c>
      <c r="X3" s="16">
        <v>0.38</v>
      </c>
    </row>
    <row r="4" spans="1:28" x14ac:dyDescent="0.3">
      <c r="A4" t="s">
        <v>9</v>
      </c>
      <c r="B4" t="s">
        <v>10</v>
      </c>
      <c r="C4" s="1">
        <v>45789</v>
      </c>
      <c r="D4" t="s">
        <v>11</v>
      </c>
      <c r="E4" t="s">
        <v>12</v>
      </c>
      <c r="F4" s="2">
        <v>19308</v>
      </c>
      <c r="G4" s="2">
        <v>1318</v>
      </c>
      <c r="H4" s="2">
        <v>795</v>
      </c>
      <c r="I4" s="2">
        <v>1499</v>
      </c>
      <c r="J4" s="2">
        <v>52307</v>
      </c>
      <c r="K4" s="2">
        <v>193087</v>
      </c>
      <c r="L4" s="4">
        <v>0.110939628250478</v>
      </c>
      <c r="M4" t="s">
        <v>13</v>
      </c>
      <c r="N4" s="25" t="str">
        <f>_xlfn.XLOOKUP(Table4__2_1_1_138[[#This Row],[Campaign]],$R$2:$R$6,$U$2:$U$6)</f>
        <v>Sustainability Branding</v>
      </c>
      <c r="R4" s="14" t="s">
        <v>4</v>
      </c>
      <c r="S4" s="9">
        <v>45651</v>
      </c>
      <c r="T4" s="9">
        <v>45667</v>
      </c>
      <c r="U4" s="14" t="s">
        <v>358</v>
      </c>
      <c r="V4" s="13">
        <v>55000</v>
      </c>
      <c r="W4" s="11">
        <v>700000</v>
      </c>
      <c r="X4" s="16">
        <v>0.41</v>
      </c>
    </row>
    <row r="5" spans="1:28" x14ac:dyDescent="0.3">
      <c r="A5" t="s">
        <v>14</v>
      </c>
      <c r="B5" t="s">
        <v>1</v>
      </c>
      <c r="C5" s="1">
        <v>45516</v>
      </c>
      <c r="D5" t="s">
        <v>15</v>
      </c>
      <c r="E5" t="s">
        <v>16</v>
      </c>
      <c r="F5" s="2">
        <v>3581</v>
      </c>
      <c r="G5" s="2">
        <v>517</v>
      </c>
      <c r="H5" s="2">
        <v>880</v>
      </c>
      <c r="I5" s="2">
        <v>1925</v>
      </c>
      <c r="J5" s="2">
        <v>18636</v>
      </c>
      <c r="K5" s="2">
        <v>248611</v>
      </c>
      <c r="L5" s="4">
        <v>2.0023249172401902E-2</v>
      </c>
      <c r="M5" t="s">
        <v>17</v>
      </c>
      <c r="N5" s="25" t="str">
        <f>_xlfn.XLOOKUP(Table4__2_1_1_138[[#This Row],[Campaign]],$R$2:$R$6,$U$2:$U$6)</f>
        <v>Product Launch</v>
      </c>
      <c r="R5" s="14" t="s">
        <v>13</v>
      </c>
      <c r="S5" s="9">
        <v>45717</v>
      </c>
      <c r="T5" s="9">
        <v>45747</v>
      </c>
      <c r="U5" s="14" t="s">
        <v>350</v>
      </c>
      <c r="V5" s="13">
        <v>40000</v>
      </c>
      <c r="W5" s="11">
        <v>550000</v>
      </c>
      <c r="X5" s="16">
        <v>0.32</v>
      </c>
    </row>
    <row r="6" spans="1:28" x14ac:dyDescent="0.3">
      <c r="A6" t="s">
        <v>18</v>
      </c>
      <c r="B6" t="s">
        <v>1</v>
      </c>
      <c r="C6" s="1">
        <v>45904</v>
      </c>
      <c r="D6" t="s">
        <v>15</v>
      </c>
      <c r="E6" t="s">
        <v>3</v>
      </c>
      <c r="F6" s="2">
        <v>21708</v>
      </c>
      <c r="G6" s="2">
        <v>435</v>
      </c>
      <c r="H6" s="2">
        <v>317</v>
      </c>
      <c r="I6" s="2">
        <v>1213</v>
      </c>
      <c r="J6" s="2">
        <v>70701</v>
      </c>
      <c r="K6" s="2">
        <v>83585</v>
      </c>
      <c r="L6" s="4">
        <v>0.26870850032900601</v>
      </c>
      <c r="M6" t="s">
        <v>8</v>
      </c>
      <c r="N6" s="25" t="str">
        <f>_xlfn.XLOOKUP(Table4__2_1_1_138[[#This Row],[Campaign]],$R$2:$R$6,$U$2:$U$6)</f>
        <v>Brand Engagement</v>
      </c>
      <c r="R6" s="14" t="s">
        <v>8</v>
      </c>
      <c r="S6" s="9">
        <v>45901</v>
      </c>
      <c r="T6" s="9">
        <v>45930</v>
      </c>
      <c r="U6" s="14" t="s">
        <v>359</v>
      </c>
      <c r="V6" s="13">
        <v>75000</v>
      </c>
      <c r="W6" s="11">
        <v>880000</v>
      </c>
      <c r="X6" s="16">
        <v>0.47</v>
      </c>
    </row>
    <row r="7" spans="1:28" x14ac:dyDescent="0.3">
      <c r="A7" t="s">
        <v>19</v>
      </c>
      <c r="B7" t="s">
        <v>6</v>
      </c>
      <c r="C7" s="1">
        <v>45905</v>
      </c>
      <c r="D7" t="s">
        <v>2</v>
      </c>
      <c r="E7" t="s">
        <v>20</v>
      </c>
      <c r="F7" s="2">
        <v>14677</v>
      </c>
      <c r="G7" s="2">
        <v>533</v>
      </c>
      <c r="H7" s="2">
        <v>759</v>
      </c>
      <c r="I7" s="2">
        <v>753</v>
      </c>
      <c r="J7" s="2">
        <v>23275</v>
      </c>
      <c r="K7" s="2">
        <v>66958</v>
      </c>
      <c r="L7" s="4">
        <v>0.23849278652289499</v>
      </c>
      <c r="M7" t="s">
        <v>8</v>
      </c>
      <c r="N7" s="25" t="str">
        <f>_xlfn.XLOOKUP(Table4__2_1_1_138[[#This Row],[Campaign]],$R$2:$R$6,$U$2:$U$6)</f>
        <v>Brand Engagement</v>
      </c>
    </row>
    <row r="8" spans="1:28" x14ac:dyDescent="0.3">
      <c r="A8" t="s">
        <v>21</v>
      </c>
      <c r="B8" t="s">
        <v>10</v>
      </c>
      <c r="C8" s="1">
        <v>45467</v>
      </c>
      <c r="D8" t="s">
        <v>22</v>
      </c>
      <c r="E8" t="s">
        <v>23</v>
      </c>
      <c r="F8" s="2">
        <v>7713</v>
      </c>
      <c r="G8" s="2">
        <v>575</v>
      </c>
      <c r="H8" s="2">
        <v>417</v>
      </c>
      <c r="I8" s="2">
        <v>336</v>
      </c>
      <c r="J8" s="2">
        <v>61660</v>
      </c>
      <c r="K8" s="2">
        <v>66017</v>
      </c>
      <c r="L8" s="4">
        <v>0.131859975460866</v>
      </c>
      <c r="M8" t="s">
        <v>17</v>
      </c>
      <c r="N8" s="25" t="str">
        <f>_xlfn.XLOOKUP(Table4__2_1_1_138[[#This Row],[Campaign]],$R$2:$R$6,$U$2:$U$6)</f>
        <v>Product Launch</v>
      </c>
    </row>
    <row r="9" spans="1:28" x14ac:dyDescent="0.3">
      <c r="A9" t="s">
        <v>24</v>
      </c>
      <c r="B9" t="s">
        <v>10</v>
      </c>
      <c r="C9" s="1">
        <v>45486</v>
      </c>
      <c r="D9" t="s">
        <v>15</v>
      </c>
      <c r="E9" t="s">
        <v>25</v>
      </c>
      <c r="F9" s="2">
        <v>18639</v>
      </c>
      <c r="G9" s="2">
        <v>1360</v>
      </c>
      <c r="H9" s="2">
        <v>898</v>
      </c>
      <c r="I9" s="2">
        <v>2011</v>
      </c>
      <c r="J9" s="2">
        <v>42841</v>
      </c>
      <c r="K9" s="2">
        <v>247779</v>
      </c>
      <c r="L9" s="4">
        <v>8.4337252148083602E-2</v>
      </c>
      <c r="M9" t="s">
        <v>17</v>
      </c>
      <c r="N9" s="25" t="str">
        <f>_xlfn.XLOOKUP(Table4__2_1_1_138[[#This Row],[Campaign]],$R$2:$R$6,$U$2:$U$6)</f>
        <v>Product Launch</v>
      </c>
    </row>
    <row r="10" spans="1:28" x14ac:dyDescent="0.3">
      <c r="A10" t="s">
        <v>26</v>
      </c>
      <c r="B10" t="s">
        <v>1</v>
      </c>
      <c r="C10" s="1">
        <v>45534</v>
      </c>
      <c r="D10" t="s">
        <v>22</v>
      </c>
      <c r="E10" t="s">
        <v>7</v>
      </c>
      <c r="F10" s="2">
        <v>6804</v>
      </c>
      <c r="G10" s="2">
        <v>787</v>
      </c>
      <c r="H10" s="2">
        <v>970</v>
      </c>
      <c r="I10" s="2">
        <v>1095</v>
      </c>
      <c r="J10" s="2">
        <v>56343</v>
      </c>
      <c r="K10" s="2">
        <v>164677</v>
      </c>
      <c r="L10" s="4">
        <v>5.19866162244879E-2</v>
      </c>
      <c r="M10" t="s">
        <v>4</v>
      </c>
      <c r="N10" s="25" t="str">
        <f>_xlfn.XLOOKUP(Table4__2_1_1_138[[#This Row],[Campaign]],$R$2:$R$6,$U$2:$U$6)</f>
        <v>Health &amp; Fitness Awareness</v>
      </c>
      <c r="Q10" s="17" t="s">
        <v>362</v>
      </c>
      <c r="R10" s="17" t="s">
        <v>364</v>
      </c>
    </row>
    <row r="11" spans="1:28" x14ac:dyDescent="0.3">
      <c r="A11" t="s">
        <v>27</v>
      </c>
      <c r="B11" t="s">
        <v>28</v>
      </c>
      <c r="C11" s="1">
        <v>45727</v>
      </c>
      <c r="D11" t="s">
        <v>15</v>
      </c>
      <c r="E11" t="s">
        <v>29</v>
      </c>
      <c r="F11" s="2">
        <v>20222</v>
      </c>
      <c r="G11" s="2">
        <v>712</v>
      </c>
      <c r="H11" s="2">
        <v>604</v>
      </c>
      <c r="I11" s="2">
        <v>1272</v>
      </c>
      <c r="J11" s="2">
        <v>71598</v>
      </c>
      <c r="K11" s="2">
        <v>216422</v>
      </c>
      <c r="L11" s="4">
        <v>9.9518533235992607E-2</v>
      </c>
      <c r="M11" t="s">
        <v>13</v>
      </c>
      <c r="N11" s="25" t="str">
        <f>_xlfn.XLOOKUP(Table4__2_1_1_138[[#This Row],[Campaign]],$R$2:$R$6,$U$2:$U$6)</f>
        <v>Sustainability Branding</v>
      </c>
      <c r="R11" t="s">
        <v>359</v>
      </c>
      <c r="S11" t="s">
        <v>395</v>
      </c>
      <c r="T11" t="s">
        <v>358</v>
      </c>
      <c r="U11" t="s">
        <v>396</v>
      </c>
      <c r="V11" t="s">
        <v>356</v>
      </c>
      <c r="W11" t="s">
        <v>397</v>
      </c>
      <c r="X11" t="s">
        <v>357</v>
      </c>
      <c r="Y11" t="s">
        <v>398</v>
      </c>
      <c r="Z11" t="s">
        <v>350</v>
      </c>
      <c r="AA11" t="s">
        <v>399</v>
      </c>
      <c r="AB11" t="s">
        <v>361</v>
      </c>
    </row>
    <row r="12" spans="1:28" x14ac:dyDescent="0.3">
      <c r="A12" t="s">
        <v>30</v>
      </c>
      <c r="B12" t="s">
        <v>1</v>
      </c>
      <c r="C12" s="1">
        <v>45690</v>
      </c>
      <c r="D12" t="s">
        <v>22</v>
      </c>
      <c r="E12" t="s">
        <v>16</v>
      </c>
      <c r="F12" s="2">
        <v>12136</v>
      </c>
      <c r="G12" s="2">
        <v>1117</v>
      </c>
      <c r="H12" s="2">
        <v>834</v>
      </c>
      <c r="I12" s="2">
        <v>892</v>
      </c>
      <c r="J12" s="2">
        <v>24675</v>
      </c>
      <c r="K12" s="2">
        <v>183273</v>
      </c>
      <c r="L12" s="4">
        <v>7.6863476889667298E-2</v>
      </c>
      <c r="M12" t="s">
        <v>13</v>
      </c>
      <c r="N12" s="25" t="str">
        <f>_xlfn.XLOOKUP(Table4__2_1_1_138[[#This Row],[Campaign]],$R$2:$R$6,$U$2:$U$6)</f>
        <v>Sustainability Branding</v>
      </c>
      <c r="Q12" s="17" t="s">
        <v>360</v>
      </c>
      <c r="R12" t="s">
        <v>8</v>
      </c>
      <c r="T12" t="s">
        <v>4</v>
      </c>
      <c r="V12" t="s">
        <v>17</v>
      </c>
      <c r="X12" t="s">
        <v>33</v>
      </c>
      <c r="Z12" t="s">
        <v>13</v>
      </c>
    </row>
    <row r="13" spans="1:28" x14ac:dyDescent="0.3">
      <c r="A13" t="s">
        <v>31</v>
      </c>
      <c r="B13" t="s">
        <v>1</v>
      </c>
      <c r="C13" s="1">
        <v>45494</v>
      </c>
      <c r="D13" t="s">
        <v>11</v>
      </c>
      <c r="E13" t="s">
        <v>7</v>
      </c>
      <c r="F13" s="2">
        <v>2009</v>
      </c>
      <c r="G13" s="2">
        <v>1072</v>
      </c>
      <c r="H13" s="2">
        <v>550</v>
      </c>
      <c r="I13" s="2">
        <v>1437</v>
      </c>
      <c r="J13" s="2">
        <v>22982</v>
      </c>
      <c r="K13" s="2">
        <v>69426</v>
      </c>
      <c r="L13" s="4">
        <v>5.2300290957278298E-2</v>
      </c>
      <c r="M13" t="s">
        <v>17</v>
      </c>
      <c r="N13" s="25" t="str">
        <f>_xlfn.XLOOKUP(Table4__2_1_1_138[[#This Row],[Campaign]],$R$2:$R$6,$U$2:$U$6)</f>
        <v>Product Launch</v>
      </c>
      <c r="Q13" s="18" t="s">
        <v>10</v>
      </c>
      <c r="R13" s="20">
        <v>0.13193785434850411</v>
      </c>
      <c r="S13" s="20">
        <v>0.13193785434850411</v>
      </c>
      <c r="T13" s="20">
        <v>0.13679934102902538</v>
      </c>
      <c r="U13" s="20">
        <v>0.13679934102902538</v>
      </c>
      <c r="V13" s="20">
        <v>9.6402731063359948E-2</v>
      </c>
      <c r="W13" s="20">
        <v>9.6402731063359948E-2</v>
      </c>
      <c r="X13" s="20">
        <v>9.5602169814834631E-2</v>
      </c>
      <c r="Y13" s="20">
        <v>9.5602169814834631E-2</v>
      </c>
      <c r="Z13" s="20">
        <v>0.11414924007707976</v>
      </c>
      <c r="AA13" s="20">
        <v>0.11414924007707976</v>
      </c>
      <c r="AB13" s="20">
        <v>0.11777135601638944</v>
      </c>
    </row>
    <row r="14" spans="1:28" x14ac:dyDescent="0.3">
      <c r="A14" t="s">
        <v>32</v>
      </c>
      <c r="B14" t="s">
        <v>1</v>
      </c>
      <c r="C14" s="1">
        <v>45614</v>
      </c>
      <c r="D14" t="s">
        <v>22</v>
      </c>
      <c r="E14" t="s">
        <v>23</v>
      </c>
      <c r="F14" s="2">
        <v>21255</v>
      </c>
      <c r="G14" s="2">
        <v>1452</v>
      </c>
      <c r="H14" s="2">
        <v>625</v>
      </c>
      <c r="I14" s="2">
        <v>1624</v>
      </c>
      <c r="J14" s="2">
        <v>21282</v>
      </c>
      <c r="K14" s="2">
        <v>57778</v>
      </c>
      <c r="L14" s="4">
        <v>0.40382152376336999</v>
      </c>
      <c r="M14" t="s">
        <v>33</v>
      </c>
      <c r="N14" s="25" t="str">
        <f>_xlfn.XLOOKUP(Table4__2_1_1_138[[#This Row],[Campaign]],$R$2:$R$6,$U$2:$U$6)</f>
        <v>Product Promotion</v>
      </c>
      <c r="Q14" s="18" t="s">
        <v>6</v>
      </c>
      <c r="R14" s="20">
        <v>0.11210848008990094</v>
      </c>
      <c r="S14" s="20">
        <v>0.11210848008990094</v>
      </c>
      <c r="T14" s="20">
        <v>0.14411910434722347</v>
      </c>
      <c r="U14" s="20">
        <v>0.14411910434722347</v>
      </c>
      <c r="V14" s="20">
        <v>0.12843164970490334</v>
      </c>
      <c r="W14" s="20">
        <v>0.12843164970490334</v>
      </c>
      <c r="X14" s="20">
        <v>0.12478605127228276</v>
      </c>
      <c r="Y14" s="20">
        <v>0.12478605127228276</v>
      </c>
      <c r="Z14" s="20">
        <v>0.10208449749241441</v>
      </c>
      <c r="AA14" s="20">
        <v>0.10208449749241441</v>
      </c>
      <c r="AB14" s="20">
        <v>0.12413746843755118</v>
      </c>
    </row>
    <row r="15" spans="1:28" x14ac:dyDescent="0.3">
      <c r="A15" t="s">
        <v>34</v>
      </c>
      <c r="B15" t="s">
        <v>1</v>
      </c>
      <c r="C15" s="1">
        <v>45906</v>
      </c>
      <c r="D15" t="s">
        <v>11</v>
      </c>
      <c r="E15" t="s">
        <v>25</v>
      </c>
      <c r="F15" s="2">
        <v>7124</v>
      </c>
      <c r="G15" s="2">
        <v>469</v>
      </c>
      <c r="H15" s="2">
        <v>851</v>
      </c>
      <c r="I15" s="2">
        <v>2571</v>
      </c>
      <c r="J15" s="2">
        <v>33802</v>
      </c>
      <c r="K15" s="2">
        <v>216313</v>
      </c>
      <c r="L15" s="4">
        <v>3.9036026498638597E-2</v>
      </c>
      <c r="M15" t="s">
        <v>8</v>
      </c>
      <c r="N15" s="25" t="str">
        <f>_xlfn.XLOOKUP(Table4__2_1_1_138[[#This Row],[Campaign]],$R$2:$R$6,$U$2:$U$6)</f>
        <v>Brand Engagement</v>
      </c>
      <c r="Q15" s="18" t="s">
        <v>28</v>
      </c>
      <c r="R15" s="20">
        <v>0.14856462389631164</v>
      </c>
      <c r="S15" s="20">
        <v>0.14856462389631164</v>
      </c>
      <c r="T15" s="20">
        <v>0.14307309794424525</v>
      </c>
      <c r="U15" s="20">
        <v>0.14307309794424525</v>
      </c>
      <c r="V15" s="20">
        <v>0.13526760440979543</v>
      </c>
      <c r="W15" s="20">
        <v>0.13526760440979543</v>
      </c>
      <c r="X15" s="20">
        <v>0.14429364934468705</v>
      </c>
      <c r="Y15" s="20">
        <v>0.14429364934468705</v>
      </c>
      <c r="Z15" s="20">
        <v>0.1271869444053508</v>
      </c>
      <c r="AA15" s="20">
        <v>0.1271869444053508</v>
      </c>
      <c r="AB15" s="20">
        <v>0.13887772583296512</v>
      </c>
    </row>
    <row r="16" spans="1:28" x14ac:dyDescent="0.3">
      <c r="A16" t="s">
        <v>35</v>
      </c>
      <c r="B16" t="s">
        <v>6</v>
      </c>
      <c r="C16" s="1">
        <v>45907</v>
      </c>
      <c r="D16" t="s">
        <v>11</v>
      </c>
      <c r="E16" t="s">
        <v>12</v>
      </c>
      <c r="F16" s="2">
        <v>3015</v>
      </c>
      <c r="G16" s="2">
        <v>997</v>
      </c>
      <c r="H16" s="2">
        <v>783</v>
      </c>
      <c r="I16" s="2">
        <v>617</v>
      </c>
      <c r="J16" s="2">
        <v>77167</v>
      </c>
      <c r="K16" s="2">
        <v>82229</v>
      </c>
      <c r="L16" s="4">
        <v>5.83127607048608E-2</v>
      </c>
      <c r="M16" t="s">
        <v>8</v>
      </c>
      <c r="N16" s="25" t="str">
        <f>_xlfn.XLOOKUP(Table4__2_1_1_138[[#This Row],[Campaign]],$R$2:$R$6,$U$2:$U$6)</f>
        <v>Brand Engagement</v>
      </c>
      <c r="Q16" s="18" t="s">
        <v>1</v>
      </c>
      <c r="R16" s="20">
        <v>0.10380076283527792</v>
      </c>
      <c r="S16" s="20">
        <v>0.10380076283527792</v>
      </c>
      <c r="T16" s="20">
        <v>0.11973747697801151</v>
      </c>
      <c r="U16" s="20">
        <v>0.11973747697801151</v>
      </c>
      <c r="V16" s="20">
        <v>0.11995588178006254</v>
      </c>
      <c r="W16" s="20">
        <v>0.11995588178006254</v>
      </c>
      <c r="X16" s="20">
        <v>0.1155935295499342</v>
      </c>
      <c r="Y16" s="20">
        <v>0.1155935295499342</v>
      </c>
      <c r="Z16" s="20">
        <v>0.10497763485843795</v>
      </c>
      <c r="AA16" s="20">
        <v>0.10497763485843795</v>
      </c>
      <c r="AB16" s="20">
        <v>0.1121882803999053</v>
      </c>
    </row>
    <row r="17" spans="1:28" x14ac:dyDescent="0.3">
      <c r="A17" t="s">
        <v>36</v>
      </c>
      <c r="B17" t="s">
        <v>10</v>
      </c>
      <c r="C17" s="1">
        <v>45530</v>
      </c>
      <c r="D17" t="s">
        <v>22</v>
      </c>
      <c r="E17" t="s">
        <v>25</v>
      </c>
      <c r="F17" s="2">
        <v>4193</v>
      </c>
      <c r="G17" s="2">
        <v>924</v>
      </c>
      <c r="H17" s="2">
        <v>707</v>
      </c>
      <c r="I17" s="2">
        <v>2696</v>
      </c>
      <c r="J17" s="2">
        <v>55075</v>
      </c>
      <c r="K17" s="2">
        <v>126652</v>
      </c>
      <c r="L17" s="4">
        <v>4.5984271863057799E-2</v>
      </c>
      <c r="M17" t="s">
        <v>17</v>
      </c>
      <c r="N17" s="25" t="str">
        <f>_xlfn.XLOOKUP(Table4__2_1_1_138[[#This Row],[Campaign]],$R$2:$R$6,$U$2:$U$6)</f>
        <v>Product Launch</v>
      </c>
      <c r="Q17" s="18" t="s">
        <v>361</v>
      </c>
      <c r="R17" s="20">
        <v>0.12042552997462423</v>
      </c>
      <c r="S17" s="20">
        <v>0.1204255299746242</v>
      </c>
      <c r="T17" s="20">
        <v>0.13683820377947528</v>
      </c>
      <c r="U17" s="20">
        <v>0.13683820377947531</v>
      </c>
      <c r="V17" s="20">
        <v>0.12196384626120528</v>
      </c>
      <c r="W17" s="20">
        <v>0.12196384626120532</v>
      </c>
      <c r="X17" s="20">
        <v>0.11861255274661904</v>
      </c>
      <c r="Y17" s="20">
        <v>0.11861255274661904</v>
      </c>
      <c r="Z17" s="20">
        <v>0.1131430921280762</v>
      </c>
      <c r="AA17" s="20">
        <v>0.11314309212807622</v>
      </c>
      <c r="AB17" s="20">
        <v>0.12284132745362934</v>
      </c>
    </row>
    <row r="18" spans="1:28" x14ac:dyDescent="0.3">
      <c r="A18" t="s">
        <v>37</v>
      </c>
      <c r="B18" t="s">
        <v>6</v>
      </c>
      <c r="C18" s="1">
        <v>45782</v>
      </c>
      <c r="D18" t="s">
        <v>11</v>
      </c>
      <c r="E18" t="s">
        <v>38</v>
      </c>
      <c r="F18" s="2">
        <v>10415</v>
      </c>
      <c r="G18" s="2">
        <v>1388</v>
      </c>
      <c r="H18" s="2">
        <v>725</v>
      </c>
      <c r="I18" s="2">
        <v>2462</v>
      </c>
      <c r="J18" s="2">
        <v>53082</v>
      </c>
      <c r="K18" s="2">
        <v>168267</v>
      </c>
      <c r="L18" s="4">
        <v>7.4453101321114601E-2</v>
      </c>
      <c r="M18" t="s">
        <v>33</v>
      </c>
      <c r="N18" s="25" t="str">
        <f>_xlfn.XLOOKUP(Table4__2_1_1_138[[#This Row],[Campaign]],$R$2:$R$6,$U$2:$U$6)</f>
        <v>Product Promotion</v>
      </c>
    </row>
    <row r="19" spans="1:28" x14ac:dyDescent="0.3">
      <c r="A19" t="s">
        <v>39</v>
      </c>
      <c r="B19" t="s">
        <v>6</v>
      </c>
      <c r="C19" s="1">
        <v>45523</v>
      </c>
      <c r="D19" t="s">
        <v>2</v>
      </c>
      <c r="E19" t="s">
        <v>25</v>
      </c>
      <c r="F19" s="2">
        <v>15550</v>
      </c>
      <c r="G19" s="2">
        <v>204</v>
      </c>
      <c r="H19" s="2">
        <v>279</v>
      </c>
      <c r="I19" s="2">
        <v>1646</v>
      </c>
      <c r="J19" s="2">
        <v>35819</v>
      </c>
      <c r="K19" s="2">
        <v>219436</v>
      </c>
      <c r="L19" s="4">
        <v>7.3064583751070902E-2</v>
      </c>
      <c r="M19" t="s">
        <v>4</v>
      </c>
      <c r="N19" s="25" t="str">
        <f>_xlfn.XLOOKUP(Table4__2_1_1_138[[#This Row],[Campaign]],$R$2:$R$6,$U$2:$U$6)</f>
        <v>Health &amp; Fitness Awareness</v>
      </c>
    </row>
    <row r="20" spans="1:28" ht="15.6" x14ac:dyDescent="0.3">
      <c r="A20" t="s">
        <v>40</v>
      </c>
      <c r="B20" t="s">
        <v>6</v>
      </c>
      <c r="C20" s="1">
        <v>45466</v>
      </c>
      <c r="D20" t="s">
        <v>11</v>
      </c>
      <c r="E20" t="s">
        <v>38</v>
      </c>
      <c r="F20" s="2">
        <v>16512</v>
      </c>
      <c r="G20" s="2">
        <v>1050</v>
      </c>
      <c r="H20" s="2">
        <v>971</v>
      </c>
      <c r="I20" s="2">
        <v>1891</v>
      </c>
      <c r="J20" s="2">
        <v>15865</v>
      </c>
      <c r="K20" s="2">
        <v>166503</v>
      </c>
      <c r="L20" s="4">
        <v>0.11130730377230399</v>
      </c>
      <c r="M20" t="s">
        <v>17</v>
      </c>
      <c r="N20" s="25" t="str">
        <f>_xlfn.XLOOKUP(Table4__2_1_1_138[[#This Row],[Campaign]],$R$2:$R$6,$U$2:$U$6)</f>
        <v>Product Launch</v>
      </c>
      <c r="U20" s="5" t="s">
        <v>341</v>
      </c>
    </row>
    <row r="21" spans="1:28" x14ac:dyDescent="0.3">
      <c r="A21" t="s">
        <v>41</v>
      </c>
      <c r="B21" t="s">
        <v>1</v>
      </c>
      <c r="C21" s="1">
        <v>45544</v>
      </c>
      <c r="D21" t="s">
        <v>15</v>
      </c>
      <c r="E21" t="s">
        <v>12</v>
      </c>
      <c r="F21" s="2">
        <v>6158</v>
      </c>
      <c r="G21" s="2">
        <v>277</v>
      </c>
      <c r="H21" s="2">
        <v>512</v>
      </c>
      <c r="I21" s="2">
        <v>2189</v>
      </c>
      <c r="J21" s="2">
        <v>76881</v>
      </c>
      <c r="K21" s="2">
        <v>124878</v>
      </c>
      <c r="L21" s="4">
        <v>5.5630295168084001E-2</v>
      </c>
      <c r="M21" t="s">
        <v>17</v>
      </c>
      <c r="N21" s="25" t="str">
        <f>_xlfn.XLOOKUP(Table4__2_1_1_138[[#This Row],[Campaign]],$R$2:$R$6,$U$2:$U$6)</f>
        <v>Product Launch</v>
      </c>
    </row>
    <row r="22" spans="1:28" x14ac:dyDescent="0.3">
      <c r="A22" t="s">
        <v>42</v>
      </c>
      <c r="B22" t="s">
        <v>28</v>
      </c>
      <c r="C22" s="1">
        <v>45908</v>
      </c>
      <c r="D22" t="s">
        <v>22</v>
      </c>
      <c r="E22" t="s">
        <v>43</v>
      </c>
      <c r="F22" s="2">
        <v>22309</v>
      </c>
      <c r="G22" s="2">
        <v>773</v>
      </c>
      <c r="H22" s="2">
        <v>854</v>
      </c>
      <c r="I22" s="2">
        <v>2387</v>
      </c>
      <c r="J22" s="2">
        <v>72396</v>
      </c>
      <c r="K22" s="2">
        <v>97056</v>
      </c>
      <c r="L22" s="4">
        <v>0.24662050774810401</v>
      </c>
      <c r="M22" t="s">
        <v>8</v>
      </c>
      <c r="N22" s="25" t="str">
        <f>_xlfn.XLOOKUP(Table4__2_1_1_138[[#This Row],[Campaign]],$R$2:$R$6,$U$2:$U$6)</f>
        <v>Brand Engagement</v>
      </c>
      <c r="U22" s="6" t="s">
        <v>342</v>
      </c>
    </row>
    <row r="23" spans="1:28" x14ac:dyDescent="0.3">
      <c r="A23" t="s">
        <v>44</v>
      </c>
      <c r="B23" t="s">
        <v>10</v>
      </c>
      <c r="C23" s="1">
        <v>45715</v>
      </c>
      <c r="D23" t="s">
        <v>2</v>
      </c>
      <c r="E23" t="s">
        <v>23</v>
      </c>
      <c r="F23" s="2">
        <v>8970</v>
      </c>
      <c r="G23" s="2">
        <v>331</v>
      </c>
      <c r="H23" s="2">
        <v>968</v>
      </c>
      <c r="I23" s="2">
        <v>2296</v>
      </c>
      <c r="J23" s="2">
        <v>24613</v>
      </c>
      <c r="K23" s="2">
        <v>198562</v>
      </c>
      <c r="L23" s="4">
        <v>5.1716844109144802E-2</v>
      </c>
      <c r="M23" t="s">
        <v>17</v>
      </c>
      <c r="N23" s="25" t="str">
        <f>_xlfn.XLOOKUP(Table4__2_1_1_138[[#This Row],[Campaign]],$R$2:$R$6,$U$2:$U$6)</f>
        <v>Product Launch</v>
      </c>
      <c r="U23" s="6" t="s">
        <v>343</v>
      </c>
    </row>
    <row r="24" spans="1:28" x14ac:dyDescent="0.3">
      <c r="A24" t="s">
        <v>45</v>
      </c>
      <c r="B24" t="s">
        <v>28</v>
      </c>
      <c r="C24" s="1">
        <v>45602</v>
      </c>
      <c r="D24" t="s">
        <v>22</v>
      </c>
      <c r="E24" t="s">
        <v>38</v>
      </c>
      <c r="F24" s="2">
        <v>8938</v>
      </c>
      <c r="G24" s="2">
        <v>800</v>
      </c>
      <c r="H24" s="2">
        <v>842</v>
      </c>
      <c r="I24" s="2">
        <v>2072</v>
      </c>
      <c r="J24" s="2">
        <v>31736</v>
      </c>
      <c r="K24" s="2">
        <v>59975</v>
      </c>
      <c r="L24" s="4">
        <v>0.17640683618174199</v>
      </c>
      <c r="M24" t="s">
        <v>17</v>
      </c>
      <c r="N24" s="25" t="str">
        <f>_xlfn.XLOOKUP(Table4__2_1_1_138[[#This Row],[Campaign]],$R$2:$R$6,$U$2:$U$6)</f>
        <v>Product Launch</v>
      </c>
    </row>
    <row r="25" spans="1:28" x14ac:dyDescent="0.3">
      <c r="A25" t="s">
        <v>46</v>
      </c>
      <c r="B25" t="s">
        <v>6</v>
      </c>
      <c r="C25" s="1">
        <v>45680</v>
      </c>
      <c r="D25" t="s">
        <v>15</v>
      </c>
      <c r="E25" t="s">
        <v>29</v>
      </c>
      <c r="F25" s="2">
        <v>23168</v>
      </c>
      <c r="G25" s="2">
        <v>1265</v>
      </c>
      <c r="H25" s="2">
        <v>441</v>
      </c>
      <c r="I25" s="2">
        <v>1612</v>
      </c>
      <c r="J25" s="2">
        <v>66615</v>
      </c>
      <c r="K25" s="2">
        <v>197795</v>
      </c>
      <c r="L25" s="4">
        <v>0.125756465026922</v>
      </c>
      <c r="M25" t="s">
        <v>17</v>
      </c>
      <c r="N25" s="25" t="str">
        <f>_xlfn.XLOOKUP(Table4__2_1_1_138[[#This Row],[Campaign]],$R$2:$R$6,$U$2:$U$6)</f>
        <v>Product Launch</v>
      </c>
      <c r="U25" s="7" t="s">
        <v>408</v>
      </c>
    </row>
    <row r="26" spans="1:28" x14ac:dyDescent="0.3">
      <c r="A26" t="s">
        <v>47</v>
      </c>
      <c r="B26" t="s">
        <v>6</v>
      </c>
      <c r="C26" s="1">
        <v>45909</v>
      </c>
      <c r="D26" t="s">
        <v>15</v>
      </c>
      <c r="E26" t="s">
        <v>25</v>
      </c>
      <c r="F26" s="2">
        <v>15772</v>
      </c>
      <c r="G26" s="2">
        <v>288</v>
      </c>
      <c r="H26" s="2">
        <v>520</v>
      </c>
      <c r="I26" s="2">
        <v>1585</v>
      </c>
      <c r="J26" s="2">
        <v>59182</v>
      </c>
      <c r="K26" s="2">
        <v>194351</v>
      </c>
      <c r="L26" s="4">
        <v>8.5309568769906002E-2</v>
      </c>
      <c r="M26" t="s">
        <v>8</v>
      </c>
      <c r="N26" s="25" t="str">
        <f>_xlfn.XLOOKUP(Table4__2_1_1_138[[#This Row],[Campaign]],$R$2:$R$6,$U$2:$U$6)</f>
        <v>Brand Engagement</v>
      </c>
      <c r="U26" s="7" t="s">
        <v>400</v>
      </c>
    </row>
    <row r="27" spans="1:28" x14ac:dyDescent="0.3">
      <c r="A27" t="s">
        <v>48</v>
      </c>
      <c r="B27" t="s">
        <v>28</v>
      </c>
      <c r="C27" s="1">
        <v>45752</v>
      </c>
      <c r="D27" t="s">
        <v>15</v>
      </c>
      <c r="E27" t="s">
        <v>25</v>
      </c>
      <c r="F27" s="2">
        <v>22384</v>
      </c>
      <c r="G27" s="2">
        <v>601</v>
      </c>
      <c r="H27" s="2">
        <v>943</v>
      </c>
      <c r="I27" s="2">
        <v>515</v>
      </c>
      <c r="J27" s="2">
        <v>41309</v>
      </c>
      <c r="K27" s="2">
        <v>249373</v>
      </c>
      <c r="L27" s="4">
        <v>9.5952649244304702E-2</v>
      </c>
      <c r="M27" t="s">
        <v>4</v>
      </c>
      <c r="N27" s="25" t="str">
        <f>_xlfn.XLOOKUP(Table4__2_1_1_138[[#This Row],[Campaign]],$R$2:$R$6,$U$2:$U$6)</f>
        <v>Health &amp; Fitness Awareness</v>
      </c>
      <c r="U27" s="7" t="s">
        <v>401</v>
      </c>
    </row>
    <row r="28" spans="1:28" x14ac:dyDescent="0.3">
      <c r="A28" t="s">
        <v>49</v>
      </c>
      <c r="B28" t="s">
        <v>28</v>
      </c>
      <c r="C28" s="1">
        <v>45552</v>
      </c>
      <c r="D28" t="s">
        <v>11</v>
      </c>
      <c r="E28" t="s">
        <v>29</v>
      </c>
      <c r="F28" s="2">
        <v>20017</v>
      </c>
      <c r="G28" s="2">
        <v>495</v>
      </c>
      <c r="H28" s="2">
        <v>178</v>
      </c>
      <c r="I28" s="2">
        <v>2683</v>
      </c>
      <c r="J28" s="2">
        <v>32244</v>
      </c>
      <c r="K28" s="2">
        <v>182633</v>
      </c>
      <c r="L28" s="4">
        <v>0.113287302951821</v>
      </c>
      <c r="M28" t="s">
        <v>4</v>
      </c>
      <c r="N28" s="25" t="str">
        <f>_xlfn.XLOOKUP(Table4__2_1_1_138[[#This Row],[Campaign]],$R$2:$R$6,$U$2:$U$6)</f>
        <v>Health &amp; Fitness Awareness</v>
      </c>
      <c r="U28" s="7" t="s">
        <v>402</v>
      </c>
    </row>
    <row r="29" spans="1:28" x14ac:dyDescent="0.3">
      <c r="A29" t="s">
        <v>50</v>
      </c>
      <c r="B29" t="s">
        <v>28</v>
      </c>
      <c r="C29" s="1">
        <v>45720</v>
      </c>
      <c r="D29" t="s">
        <v>11</v>
      </c>
      <c r="E29" t="s">
        <v>20</v>
      </c>
      <c r="F29" s="2">
        <v>12344</v>
      </c>
      <c r="G29" s="2">
        <v>815</v>
      </c>
      <c r="H29" s="2">
        <v>298</v>
      </c>
      <c r="I29" s="2">
        <v>2439</v>
      </c>
      <c r="J29" s="2">
        <v>6259</v>
      </c>
      <c r="K29" s="2">
        <v>237133</v>
      </c>
      <c r="L29" s="4">
        <v>5.6748744375519203E-2</v>
      </c>
      <c r="M29" t="s">
        <v>17</v>
      </c>
      <c r="N29" s="25" t="str">
        <f>_xlfn.XLOOKUP(Table4__2_1_1_138[[#This Row],[Campaign]],$R$2:$R$6,$U$2:$U$6)</f>
        <v>Product Launch</v>
      </c>
      <c r="U29" s="7" t="s">
        <v>403</v>
      </c>
    </row>
    <row r="30" spans="1:28" x14ac:dyDescent="0.3">
      <c r="A30" t="s">
        <v>51</v>
      </c>
      <c r="B30" t="s">
        <v>6</v>
      </c>
      <c r="C30" s="1">
        <v>45910</v>
      </c>
      <c r="D30" t="s">
        <v>22</v>
      </c>
      <c r="E30" t="s">
        <v>52</v>
      </c>
      <c r="F30" s="2">
        <v>9266</v>
      </c>
      <c r="G30" s="2">
        <v>999</v>
      </c>
      <c r="H30" s="2">
        <v>928</v>
      </c>
      <c r="I30" s="2">
        <v>2700</v>
      </c>
      <c r="J30" s="2">
        <v>12264</v>
      </c>
      <c r="K30" s="2">
        <v>128397</v>
      </c>
      <c r="L30" s="4">
        <v>8.7174933993784898E-2</v>
      </c>
      <c r="M30" t="s">
        <v>8</v>
      </c>
      <c r="N30" s="25" t="str">
        <f>_xlfn.XLOOKUP(Table4__2_1_1_138[[#This Row],[Campaign]],$R$2:$R$6,$U$2:$U$6)</f>
        <v>Brand Engagement</v>
      </c>
    </row>
    <row r="31" spans="1:28" x14ac:dyDescent="0.3">
      <c r="A31" t="s">
        <v>53</v>
      </c>
      <c r="B31" t="s">
        <v>6</v>
      </c>
      <c r="C31" s="1">
        <v>45713</v>
      </c>
      <c r="D31" t="s">
        <v>22</v>
      </c>
      <c r="E31" t="s">
        <v>43</v>
      </c>
      <c r="F31" s="2">
        <v>10702</v>
      </c>
      <c r="G31" s="2">
        <v>621</v>
      </c>
      <c r="H31" s="2">
        <v>445</v>
      </c>
      <c r="I31" s="2">
        <v>2918</v>
      </c>
      <c r="J31" s="2">
        <v>54808</v>
      </c>
      <c r="K31" s="2">
        <v>220225</v>
      </c>
      <c r="L31" s="4">
        <v>5.3436258372119398E-2</v>
      </c>
      <c r="M31" t="s">
        <v>4</v>
      </c>
      <c r="N31" s="25" t="str">
        <f>_xlfn.XLOOKUP(Table4__2_1_1_138[[#This Row],[Campaign]],$R$2:$R$6,$U$2:$U$6)</f>
        <v>Health &amp; Fitness Awareness</v>
      </c>
      <c r="U31" s="7" t="s">
        <v>404</v>
      </c>
    </row>
    <row r="32" spans="1:28" x14ac:dyDescent="0.3">
      <c r="A32" t="s">
        <v>54</v>
      </c>
      <c r="B32" t="s">
        <v>10</v>
      </c>
      <c r="C32" s="1">
        <v>45642</v>
      </c>
      <c r="D32" t="s">
        <v>2</v>
      </c>
      <c r="E32" t="s">
        <v>16</v>
      </c>
      <c r="F32" s="2">
        <v>2384</v>
      </c>
      <c r="G32" s="2">
        <v>1246</v>
      </c>
      <c r="H32" s="2">
        <v>160</v>
      </c>
      <c r="I32" s="2">
        <v>2004</v>
      </c>
      <c r="J32" s="2">
        <v>2701</v>
      </c>
      <c r="K32" s="2">
        <v>73142</v>
      </c>
      <c r="L32" s="4">
        <v>5.18170134806267E-2</v>
      </c>
      <c r="M32" t="s">
        <v>4</v>
      </c>
      <c r="N32" s="25" t="str">
        <f>_xlfn.XLOOKUP(Table4__2_1_1_138[[#This Row],[Campaign]],$R$2:$R$6,$U$2:$U$6)</f>
        <v>Health &amp; Fitness Awareness</v>
      </c>
      <c r="U32" s="7" t="s">
        <v>405</v>
      </c>
    </row>
    <row r="33" spans="1:21" x14ac:dyDescent="0.3">
      <c r="A33" t="s">
        <v>55</v>
      </c>
      <c r="B33" t="s">
        <v>10</v>
      </c>
      <c r="C33" s="1">
        <v>45504</v>
      </c>
      <c r="D33" t="s">
        <v>2</v>
      </c>
      <c r="E33" t="s">
        <v>38</v>
      </c>
      <c r="F33" s="2">
        <v>2404</v>
      </c>
      <c r="G33" s="2">
        <v>774</v>
      </c>
      <c r="H33" s="2">
        <v>661</v>
      </c>
      <c r="I33" s="2">
        <v>662</v>
      </c>
      <c r="J33" s="2">
        <v>12676</v>
      </c>
      <c r="K33" s="2">
        <v>66916</v>
      </c>
      <c r="L33" s="4">
        <v>5.7370434574690599E-2</v>
      </c>
      <c r="M33" t="s">
        <v>4</v>
      </c>
      <c r="N33" s="25" t="str">
        <f>_xlfn.XLOOKUP(Table4__2_1_1_138[[#This Row],[Campaign]],$R$2:$R$6,$U$2:$U$6)</f>
        <v>Health &amp; Fitness Awareness</v>
      </c>
      <c r="U33" s="7" t="s">
        <v>406</v>
      </c>
    </row>
    <row r="34" spans="1:21" x14ac:dyDescent="0.3">
      <c r="A34" t="s">
        <v>56</v>
      </c>
      <c r="B34" t="s">
        <v>6</v>
      </c>
      <c r="C34" s="1">
        <v>45911</v>
      </c>
      <c r="D34" t="s">
        <v>22</v>
      </c>
      <c r="E34" t="s">
        <v>29</v>
      </c>
      <c r="F34" s="2">
        <v>10175</v>
      </c>
      <c r="G34" s="2">
        <v>342</v>
      </c>
      <c r="H34" s="2">
        <v>825</v>
      </c>
      <c r="I34" s="2">
        <v>2904</v>
      </c>
      <c r="J34" s="2">
        <v>15954</v>
      </c>
      <c r="K34" s="2">
        <v>104324</v>
      </c>
      <c r="L34" s="4">
        <v>0.10871899083624099</v>
      </c>
      <c r="M34" t="s">
        <v>8</v>
      </c>
      <c r="N34" s="25" t="str">
        <f>_xlfn.XLOOKUP(Table4__2_1_1_138[[#This Row],[Campaign]],$R$2:$R$6,$U$2:$U$6)</f>
        <v>Brand Engagement</v>
      </c>
      <c r="U34" s="7" t="s">
        <v>407</v>
      </c>
    </row>
    <row r="35" spans="1:21" x14ac:dyDescent="0.3">
      <c r="A35" t="s">
        <v>57</v>
      </c>
      <c r="B35" t="s">
        <v>28</v>
      </c>
      <c r="C35" s="1">
        <v>45912</v>
      </c>
      <c r="D35" t="s">
        <v>11</v>
      </c>
      <c r="E35" t="s">
        <v>12</v>
      </c>
      <c r="F35" s="2">
        <v>17158</v>
      </c>
      <c r="G35" s="2">
        <v>1192</v>
      </c>
      <c r="H35" s="2">
        <v>262</v>
      </c>
      <c r="I35" s="2">
        <v>2016</v>
      </c>
      <c r="J35" s="2">
        <v>28771</v>
      </c>
      <c r="K35" s="2">
        <v>216037</v>
      </c>
      <c r="L35" s="4">
        <v>8.6151909163708101E-2</v>
      </c>
      <c r="M35" t="s">
        <v>8</v>
      </c>
      <c r="N35" s="25" t="str">
        <f>_xlfn.XLOOKUP(Table4__2_1_1_138[[#This Row],[Campaign]],$R$2:$R$6,$U$2:$U$6)</f>
        <v>Brand Engagement</v>
      </c>
    </row>
    <row r="36" spans="1:21" x14ac:dyDescent="0.3">
      <c r="A36" t="s">
        <v>58</v>
      </c>
      <c r="B36" t="s">
        <v>28</v>
      </c>
      <c r="C36" s="1">
        <v>45626</v>
      </c>
      <c r="D36" t="s">
        <v>15</v>
      </c>
      <c r="E36" t="s">
        <v>38</v>
      </c>
      <c r="F36" s="2">
        <v>14763</v>
      </c>
      <c r="G36" s="2">
        <v>864</v>
      </c>
      <c r="H36" s="2">
        <v>336</v>
      </c>
      <c r="I36" s="2">
        <v>1493</v>
      </c>
      <c r="J36" s="2">
        <v>33310</v>
      </c>
      <c r="K36" s="2">
        <v>165932</v>
      </c>
      <c r="L36" s="4">
        <v>9.6202058674637797E-2</v>
      </c>
      <c r="M36" t="s">
        <v>17</v>
      </c>
      <c r="N36" s="25" t="str">
        <f>_xlfn.XLOOKUP(Table4__2_1_1_138[[#This Row],[Campaign]],$R$2:$R$6,$U$2:$U$6)</f>
        <v>Product Launch</v>
      </c>
    </row>
    <row r="37" spans="1:21" x14ac:dyDescent="0.3">
      <c r="A37" t="s">
        <v>59</v>
      </c>
      <c r="B37" t="s">
        <v>10</v>
      </c>
      <c r="C37" s="1">
        <v>45766</v>
      </c>
      <c r="D37" t="s">
        <v>22</v>
      </c>
      <c r="E37" t="s">
        <v>52</v>
      </c>
      <c r="F37" s="2">
        <v>20384</v>
      </c>
      <c r="G37" s="2">
        <v>344</v>
      </c>
      <c r="H37" s="2">
        <v>956</v>
      </c>
      <c r="I37" s="2">
        <v>655</v>
      </c>
      <c r="J37" s="2">
        <v>67621</v>
      </c>
      <c r="K37" s="2">
        <v>175720</v>
      </c>
      <c r="L37" s="4">
        <v>0.12340086501252</v>
      </c>
      <c r="M37" t="s">
        <v>13</v>
      </c>
      <c r="N37" s="25" t="str">
        <f>_xlfn.XLOOKUP(Table4__2_1_1_138[[#This Row],[Campaign]],$R$2:$R$6,$U$2:$U$6)</f>
        <v>Sustainability Branding</v>
      </c>
    </row>
    <row r="38" spans="1:21" x14ac:dyDescent="0.3">
      <c r="A38" t="s">
        <v>60</v>
      </c>
      <c r="B38" t="s">
        <v>6</v>
      </c>
      <c r="C38" s="1">
        <v>45663</v>
      </c>
      <c r="D38" t="s">
        <v>2</v>
      </c>
      <c r="E38" t="s">
        <v>12</v>
      </c>
      <c r="F38" s="2">
        <v>11860</v>
      </c>
      <c r="G38" s="2">
        <v>1448</v>
      </c>
      <c r="H38" s="2">
        <v>893</v>
      </c>
      <c r="I38" s="2">
        <v>490</v>
      </c>
      <c r="J38" s="2">
        <v>23518</v>
      </c>
      <c r="K38" s="2">
        <v>206205</v>
      </c>
      <c r="L38" s="4">
        <v>6.8868359157149395E-2</v>
      </c>
      <c r="M38" t="s">
        <v>4</v>
      </c>
      <c r="N38" s="25" t="str">
        <f>_xlfn.XLOOKUP(Table4__2_1_1_138[[#This Row],[Campaign]],$R$2:$R$6,$U$2:$U$6)</f>
        <v>Health &amp; Fitness Awareness</v>
      </c>
    </row>
    <row r="39" spans="1:21" x14ac:dyDescent="0.3">
      <c r="A39" t="s">
        <v>61</v>
      </c>
      <c r="B39" t="s">
        <v>10</v>
      </c>
      <c r="C39" s="1">
        <v>45705</v>
      </c>
      <c r="D39" t="s">
        <v>11</v>
      </c>
      <c r="E39" t="s">
        <v>7</v>
      </c>
      <c r="F39" s="2">
        <v>7989</v>
      </c>
      <c r="G39" s="2">
        <v>1206</v>
      </c>
      <c r="H39" s="2">
        <v>376</v>
      </c>
      <c r="I39" s="2">
        <v>2769</v>
      </c>
      <c r="J39" s="2">
        <v>27550</v>
      </c>
      <c r="K39" s="2">
        <v>221749</v>
      </c>
      <c r="L39" s="4">
        <v>4.3161412227338103E-2</v>
      </c>
      <c r="M39" t="s">
        <v>13</v>
      </c>
      <c r="N39" s="25" t="str">
        <f>_xlfn.XLOOKUP(Table4__2_1_1_138[[#This Row],[Campaign]],$R$2:$R$6,$U$2:$U$6)</f>
        <v>Sustainability Branding</v>
      </c>
    </row>
    <row r="40" spans="1:21" x14ac:dyDescent="0.3">
      <c r="A40" t="s">
        <v>62</v>
      </c>
      <c r="B40" t="s">
        <v>10</v>
      </c>
      <c r="C40" s="1">
        <v>45913</v>
      </c>
      <c r="D40" t="s">
        <v>22</v>
      </c>
      <c r="E40" t="s">
        <v>23</v>
      </c>
      <c r="F40" s="2">
        <v>17106</v>
      </c>
      <c r="G40" s="2">
        <v>702</v>
      </c>
      <c r="H40" s="2">
        <v>459</v>
      </c>
      <c r="I40" s="2">
        <v>999</v>
      </c>
      <c r="J40" s="2">
        <v>59627</v>
      </c>
      <c r="K40" s="2">
        <v>136059</v>
      </c>
      <c r="L40" s="4">
        <v>0.13425793222058099</v>
      </c>
      <c r="M40" t="s">
        <v>8</v>
      </c>
      <c r="N40" s="25" t="str">
        <f>_xlfn.XLOOKUP(Table4__2_1_1_138[[#This Row],[Campaign]],$R$2:$R$6,$U$2:$U$6)</f>
        <v>Brand Engagement</v>
      </c>
    </row>
    <row r="41" spans="1:21" x14ac:dyDescent="0.3">
      <c r="A41" t="s">
        <v>63</v>
      </c>
      <c r="B41" t="s">
        <v>1</v>
      </c>
      <c r="C41" s="1">
        <v>45914</v>
      </c>
      <c r="D41" t="s">
        <v>22</v>
      </c>
      <c r="E41" t="s">
        <v>25</v>
      </c>
      <c r="F41" s="2">
        <v>19844</v>
      </c>
      <c r="G41" s="2">
        <v>1020</v>
      </c>
      <c r="H41" s="2">
        <v>247</v>
      </c>
      <c r="I41" s="2">
        <v>2354</v>
      </c>
      <c r="J41" s="2">
        <v>37792</v>
      </c>
      <c r="K41" s="2">
        <v>138317</v>
      </c>
      <c r="L41" s="4">
        <v>0.152627659651381</v>
      </c>
      <c r="M41" t="s">
        <v>8</v>
      </c>
      <c r="N41" s="25" t="str">
        <f>_xlfn.XLOOKUP(Table4__2_1_1_138[[#This Row],[Campaign]],$R$2:$R$6,$U$2:$U$6)</f>
        <v>Brand Engagement</v>
      </c>
    </row>
    <row r="42" spans="1:21" x14ac:dyDescent="0.3">
      <c r="A42" t="s">
        <v>64</v>
      </c>
      <c r="B42" t="s">
        <v>1</v>
      </c>
      <c r="C42" s="1">
        <v>45915</v>
      </c>
      <c r="D42" t="s">
        <v>11</v>
      </c>
      <c r="E42" t="s">
        <v>7</v>
      </c>
      <c r="F42" s="2">
        <v>5636</v>
      </c>
      <c r="G42" s="2">
        <v>303</v>
      </c>
      <c r="H42" s="2">
        <v>204</v>
      </c>
      <c r="I42" s="2">
        <v>2480</v>
      </c>
      <c r="J42" s="2">
        <v>7377</v>
      </c>
      <c r="K42" s="2">
        <v>241207</v>
      </c>
      <c r="L42" s="4">
        <v>2.5467751765081401E-2</v>
      </c>
      <c r="M42" t="s">
        <v>8</v>
      </c>
      <c r="N42" s="25" t="str">
        <f>_xlfn.XLOOKUP(Table4__2_1_1_138[[#This Row],[Campaign]],$R$2:$R$6,$U$2:$U$6)</f>
        <v>Brand Engagement</v>
      </c>
    </row>
    <row r="43" spans="1:21" x14ac:dyDescent="0.3">
      <c r="A43" t="s">
        <v>65</v>
      </c>
      <c r="B43" t="s">
        <v>1</v>
      </c>
      <c r="C43" s="1">
        <v>45721</v>
      </c>
      <c r="D43" t="s">
        <v>22</v>
      </c>
      <c r="E43" t="s">
        <v>38</v>
      </c>
      <c r="F43" s="2">
        <v>12916</v>
      </c>
      <c r="G43" s="2">
        <v>1262</v>
      </c>
      <c r="H43" s="2">
        <v>772</v>
      </c>
      <c r="I43" s="2">
        <v>856</v>
      </c>
      <c r="J43" s="2">
        <v>11496</v>
      </c>
      <c r="K43" s="2">
        <v>75046</v>
      </c>
      <c r="L43" s="4">
        <v>0.199211150494363</v>
      </c>
      <c r="M43" t="s">
        <v>13</v>
      </c>
      <c r="N43" s="25" t="str">
        <f>_xlfn.XLOOKUP(Table4__2_1_1_138[[#This Row],[Campaign]],$R$2:$R$6,$U$2:$U$6)</f>
        <v>Sustainability Branding</v>
      </c>
    </row>
    <row r="44" spans="1:21" x14ac:dyDescent="0.3">
      <c r="A44" t="s">
        <v>66</v>
      </c>
      <c r="B44" t="s">
        <v>28</v>
      </c>
      <c r="C44" s="1">
        <v>45916</v>
      </c>
      <c r="D44" t="s">
        <v>11</v>
      </c>
      <c r="E44" t="s">
        <v>52</v>
      </c>
      <c r="F44" s="2">
        <v>6809</v>
      </c>
      <c r="G44" s="2">
        <v>397</v>
      </c>
      <c r="H44" s="2">
        <v>813</v>
      </c>
      <c r="I44" s="2">
        <v>1125</v>
      </c>
      <c r="J44" s="2">
        <v>12206</v>
      </c>
      <c r="K44" s="2">
        <v>218136</v>
      </c>
      <c r="L44" s="4">
        <v>3.6761469908680802E-2</v>
      </c>
      <c r="M44" t="s">
        <v>8</v>
      </c>
      <c r="N44" s="25" t="str">
        <f>_xlfn.XLOOKUP(Table4__2_1_1_138[[#This Row],[Campaign]],$R$2:$R$6,$U$2:$U$6)</f>
        <v>Brand Engagement</v>
      </c>
    </row>
    <row r="45" spans="1:21" x14ac:dyDescent="0.3">
      <c r="A45" t="s">
        <v>67</v>
      </c>
      <c r="B45" t="s">
        <v>6</v>
      </c>
      <c r="C45" s="1">
        <v>45718</v>
      </c>
      <c r="D45" t="s">
        <v>15</v>
      </c>
      <c r="E45" t="s">
        <v>43</v>
      </c>
      <c r="F45" s="2">
        <v>22562</v>
      </c>
      <c r="G45" s="2">
        <v>778</v>
      </c>
      <c r="H45" s="2">
        <v>907</v>
      </c>
      <c r="I45" s="2">
        <v>1354</v>
      </c>
      <c r="J45" s="2">
        <v>34475</v>
      </c>
      <c r="K45" s="2">
        <v>141459</v>
      </c>
      <c r="L45" s="4">
        <v>0.171406555963212</v>
      </c>
      <c r="M45" t="s">
        <v>17</v>
      </c>
      <c r="N45" s="25" t="str">
        <f>_xlfn.XLOOKUP(Table4__2_1_1_138[[#This Row],[Campaign]],$R$2:$R$6,$U$2:$U$6)</f>
        <v>Product Launch</v>
      </c>
    </row>
    <row r="46" spans="1:21" x14ac:dyDescent="0.3">
      <c r="A46" t="s">
        <v>68</v>
      </c>
      <c r="B46" t="s">
        <v>6</v>
      </c>
      <c r="C46" s="1">
        <v>45917</v>
      </c>
      <c r="D46" t="s">
        <v>11</v>
      </c>
      <c r="E46" t="s">
        <v>23</v>
      </c>
      <c r="F46" s="2">
        <v>15456</v>
      </c>
      <c r="G46" s="2">
        <v>590</v>
      </c>
      <c r="H46" s="2">
        <v>555</v>
      </c>
      <c r="I46" s="2">
        <v>2882</v>
      </c>
      <c r="J46" s="2">
        <v>49816</v>
      </c>
      <c r="K46" s="2">
        <v>240422</v>
      </c>
      <c r="L46" s="4">
        <v>6.9049421433978603E-2</v>
      </c>
      <c r="M46" t="s">
        <v>8</v>
      </c>
      <c r="N46" s="25" t="str">
        <f>_xlfn.XLOOKUP(Table4__2_1_1_138[[#This Row],[Campaign]],$R$2:$R$6,$U$2:$U$6)</f>
        <v>Brand Engagement</v>
      </c>
    </row>
    <row r="47" spans="1:21" x14ac:dyDescent="0.3">
      <c r="A47" t="s">
        <v>69</v>
      </c>
      <c r="B47" t="s">
        <v>6</v>
      </c>
      <c r="C47" s="1">
        <v>45779</v>
      </c>
      <c r="D47" t="s">
        <v>11</v>
      </c>
      <c r="E47" t="s">
        <v>38</v>
      </c>
      <c r="F47" s="2">
        <v>17444</v>
      </c>
      <c r="G47" s="2">
        <v>1402</v>
      </c>
      <c r="H47" s="2">
        <v>218</v>
      </c>
      <c r="I47" s="2">
        <v>725</v>
      </c>
      <c r="J47" s="2">
        <v>8710</v>
      </c>
      <c r="K47" s="2">
        <v>85893</v>
      </c>
      <c r="L47" s="4">
        <v>0.221950566402384</v>
      </c>
      <c r="M47" t="s">
        <v>33</v>
      </c>
      <c r="N47" s="25" t="str">
        <f>_xlfn.XLOOKUP(Table4__2_1_1_138[[#This Row],[Campaign]],$R$2:$R$6,$U$2:$U$6)</f>
        <v>Product Promotion</v>
      </c>
    </row>
    <row r="48" spans="1:21" x14ac:dyDescent="0.3">
      <c r="A48" t="s">
        <v>70</v>
      </c>
      <c r="B48" t="s">
        <v>6</v>
      </c>
      <c r="C48" s="1">
        <v>45712</v>
      </c>
      <c r="D48" t="s">
        <v>11</v>
      </c>
      <c r="E48" t="s">
        <v>29</v>
      </c>
      <c r="F48" s="2">
        <v>24984</v>
      </c>
      <c r="G48" s="2">
        <v>753</v>
      </c>
      <c r="H48" s="2">
        <v>461</v>
      </c>
      <c r="I48" s="2">
        <v>2710</v>
      </c>
      <c r="J48" s="2">
        <v>20792</v>
      </c>
      <c r="K48" s="2">
        <v>141520</v>
      </c>
      <c r="L48" s="4">
        <v>0.18511871113623499</v>
      </c>
      <c r="M48" t="s">
        <v>13</v>
      </c>
      <c r="N48" s="25" t="str">
        <f>_xlfn.XLOOKUP(Table4__2_1_1_138[[#This Row],[Campaign]],$R$2:$R$6,$U$2:$U$6)</f>
        <v>Sustainability Branding</v>
      </c>
    </row>
    <row r="49" spans="1:14" x14ac:dyDescent="0.3">
      <c r="A49" t="s">
        <v>71</v>
      </c>
      <c r="B49" t="s">
        <v>1</v>
      </c>
      <c r="C49" s="1">
        <v>45727</v>
      </c>
      <c r="D49" t="s">
        <v>22</v>
      </c>
      <c r="E49" t="s">
        <v>3</v>
      </c>
      <c r="F49" s="2">
        <v>7997</v>
      </c>
      <c r="G49" s="2">
        <v>1238</v>
      </c>
      <c r="H49" s="2">
        <v>438</v>
      </c>
      <c r="I49" s="2">
        <v>1874</v>
      </c>
      <c r="J49" s="2">
        <v>36272</v>
      </c>
      <c r="K49" s="2">
        <v>165818</v>
      </c>
      <c r="L49" s="4">
        <v>5.8335042034037297E-2</v>
      </c>
      <c r="M49" t="s">
        <v>33</v>
      </c>
      <c r="N49" s="25" t="str">
        <f>_xlfn.XLOOKUP(Table4__2_1_1_138[[#This Row],[Campaign]],$R$2:$R$6,$U$2:$U$6)</f>
        <v>Product Promotion</v>
      </c>
    </row>
    <row r="50" spans="1:14" x14ac:dyDescent="0.3">
      <c r="A50" t="s">
        <v>72</v>
      </c>
      <c r="B50" t="s">
        <v>28</v>
      </c>
      <c r="C50" s="1">
        <v>45918</v>
      </c>
      <c r="D50" t="s">
        <v>22</v>
      </c>
      <c r="E50" t="s">
        <v>38</v>
      </c>
      <c r="F50" s="2">
        <v>4048</v>
      </c>
      <c r="G50" s="2">
        <v>677</v>
      </c>
      <c r="H50" s="2">
        <v>911</v>
      </c>
      <c r="I50" s="2">
        <v>2429</v>
      </c>
      <c r="J50" s="2">
        <v>27361</v>
      </c>
      <c r="K50" s="2">
        <v>101272</v>
      </c>
      <c r="L50" s="4">
        <v>5.5652105221581503E-2</v>
      </c>
      <c r="M50" t="s">
        <v>8</v>
      </c>
      <c r="N50" s="25" t="str">
        <f>_xlfn.XLOOKUP(Table4__2_1_1_138[[#This Row],[Campaign]],$R$2:$R$6,$U$2:$U$6)</f>
        <v>Brand Engagement</v>
      </c>
    </row>
    <row r="51" spans="1:14" x14ac:dyDescent="0.3">
      <c r="A51" t="s">
        <v>73</v>
      </c>
      <c r="B51" t="s">
        <v>28</v>
      </c>
      <c r="C51" s="1">
        <v>45476</v>
      </c>
      <c r="D51" t="s">
        <v>11</v>
      </c>
      <c r="E51" t="s">
        <v>23</v>
      </c>
      <c r="F51" s="2">
        <v>14338</v>
      </c>
      <c r="G51" s="2">
        <v>1454</v>
      </c>
      <c r="H51" s="2">
        <v>697</v>
      </c>
      <c r="I51" s="2">
        <v>2703</v>
      </c>
      <c r="J51" s="2">
        <v>21288</v>
      </c>
      <c r="K51" s="2">
        <v>107649</v>
      </c>
      <c r="L51" s="4">
        <v>0.15317374058281999</v>
      </c>
      <c r="M51" t="s">
        <v>17</v>
      </c>
      <c r="N51" s="25" t="str">
        <f>_xlfn.XLOOKUP(Table4__2_1_1_138[[#This Row],[Campaign]],$R$2:$R$6,$U$2:$U$6)</f>
        <v>Product Launch</v>
      </c>
    </row>
    <row r="52" spans="1:14" x14ac:dyDescent="0.3">
      <c r="A52" t="s">
        <v>74</v>
      </c>
      <c r="B52" t="s">
        <v>1</v>
      </c>
      <c r="C52" s="1">
        <v>45456</v>
      </c>
      <c r="D52" t="s">
        <v>22</v>
      </c>
      <c r="E52" t="s">
        <v>25</v>
      </c>
      <c r="F52" s="2">
        <v>23164</v>
      </c>
      <c r="G52" s="2">
        <v>1122</v>
      </c>
      <c r="H52" s="2">
        <v>900</v>
      </c>
      <c r="I52" s="2">
        <v>888</v>
      </c>
      <c r="J52" s="2">
        <v>36938</v>
      </c>
      <c r="K52" s="2">
        <v>104674</v>
      </c>
      <c r="L52" s="4">
        <v>0.240613714962646</v>
      </c>
      <c r="M52" t="s">
        <v>4</v>
      </c>
      <c r="N52" s="25" t="str">
        <f>_xlfn.XLOOKUP(Table4__2_1_1_138[[#This Row],[Campaign]],$R$2:$R$6,$U$2:$U$6)</f>
        <v>Health &amp; Fitness Awareness</v>
      </c>
    </row>
    <row r="53" spans="1:14" x14ac:dyDescent="0.3">
      <c r="A53" t="s">
        <v>75</v>
      </c>
      <c r="B53" t="s">
        <v>28</v>
      </c>
      <c r="C53" s="1">
        <v>45919</v>
      </c>
      <c r="D53" t="s">
        <v>2</v>
      </c>
      <c r="E53" t="s">
        <v>25</v>
      </c>
      <c r="F53" s="2">
        <v>19100</v>
      </c>
      <c r="G53" s="2">
        <v>619</v>
      </c>
      <c r="H53" s="2">
        <v>297</v>
      </c>
      <c r="I53" s="2">
        <v>2312</v>
      </c>
      <c r="J53" s="2">
        <v>9730</v>
      </c>
      <c r="K53" s="2">
        <v>184832</v>
      </c>
      <c r="L53" s="4">
        <v>0.108292936288089</v>
      </c>
      <c r="M53" t="s">
        <v>8</v>
      </c>
      <c r="N53" s="25" t="str">
        <f>_xlfn.XLOOKUP(Table4__2_1_1_138[[#This Row],[Campaign]],$R$2:$R$6,$U$2:$U$6)</f>
        <v>Brand Engagement</v>
      </c>
    </row>
    <row r="54" spans="1:14" x14ac:dyDescent="0.3">
      <c r="A54" t="s">
        <v>76</v>
      </c>
      <c r="B54" t="s">
        <v>1</v>
      </c>
      <c r="C54" s="1">
        <v>45712</v>
      </c>
      <c r="D54" t="s">
        <v>2</v>
      </c>
      <c r="E54" t="s">
        <v>38</v>
      </c>
      <c r="F54" s="2">
        <v>23949</v>
      </c>
      <c r="G54" s="2">
        <v>356</v>
      </c>
      <c r="H54" s="2">
        <v>616</v>
      </c>
      <c r="I54" s="2">
        <v>1847</v>
      </c>
      <c r="J54" s="2">
        <v>3144</v>
      </c>
      <c r="K54" s="2">
        <v>192999</v>
      </c>
      <c r="L54" s="4">
        <v>0.129125021373168</v>
      </c>
      <c r="M54" t="s">
        <v>17</v>
      </c>
      <c r="N54" s="25" t="str">
        <f>_xlfn.XLOOKUP(Table4__2_1_1_138[[#This Row],[Campaign]],$R$2:$R$6,$U$2:$U$6)</f>
        <v>Product Launch</v>
      </c>
    </row>
    <row r="55" spans="1:14" x14ac:dyDescent="0.3">
      <c r="A55" t="s">
        <v>77</v>
      </c>
      <c r="B55" t="s">
        <v>6</v>
      </c>
      <c r="C55" s="1">
        <v>45729</v>
      </c>
      <c r="D55" t="s">
        <v>22</v>
      </c>
      <c r="E55" t="s">
        <v>12</v>
      </c>
      <c r="F55" s="2">
        <v>6544</v>
      </c>
      <c r="G55" s="2">
        <v>749</v>
      </c>
      <c r="H55" s="2">
        <v>888</v>
      </c>
      <c r="I55" s="2">
        <v>594</v>
      </c>
      <c r="J55" s="2">
        <v>18171</v>
      </c>
      <c r="K55" s="2">
        <v>126475</v>
      </c>
      <c r="L55" s="4">
        <v>6.4684720300454607E-2</v>
      </c>
      <c r="M55" t="s">
        <v>13</v>
      </c>
      <c r="N55" s="25" t="str">
        <f>_xlfn.XLOOKUP(Table4__2_1_1_138[[#This Row],[Campaign]],$R$2:$R$6,$U$2:$U$6)</f>
        <v>Sustainability Branding</v>
      </c>
    </row>
    <row r="56" spans="1:14" x14ac:dyDescent="0.3">
      <c r="A56" t="s">
        <v>78</v>
      </c>
      <c r="B56" t="s">
        <v>1</v>
      </c>
      <c r="C56" s="1">
        <v>45460</v>
      </c>
      <c r="D56" t="s">
        <v>22</v>
      </c>
      <c r="E56" t="s">
        <v>3</v>
      </c>
      <c r="F56" s="2">
        <v>6976</v>
      </c>
      <c r="G56" s="2">
        <v>1320</v>
      </c>
      <c r="H56" s="2">
        <v>393</v>
      </c>
      <c r="I56" s="2">
        <v>2285</v>
      </c>
      <c r="J56" s="2">
        <v>14049</v>
      </c>
      <c r="K56" s="2">
        <v>101367</v>
      </c>
      <c r="L56" s="4">
        <v>8.57182317716811E-2</v>
      </c>
      <c r="M56" t="s">
        <v>33</v>
      </c>
      <c r="N56" s="25" t="str">
        <f>_xlfn.XLOOKUP(Table4__2_1_1_138[[#This Row],[Campaign]],$R$2:$R$6,$U$2:$U$6)</f>
        <v>Product Promotion</v>
      </c>
    </row>
    <row r="57" spans="1:14" x14ac:dyDescent="0.3">
      <c r="A57" t="s">
        <v>79</v>
      </c>
      <c r="B57" t="s">
        <v>6</v>
      </c>
      <c r="C57" s="1">
        <v>45644</v>
      </c>
      <c r="D57" t="s">
        <v>11</v>
      </c>
      <c r="E57" t="s">
        <v>29</v>
      </c>
      <c r="F57" s="2">
        <v>14775</v>
      </c>
      <c r="G57" s="2">
        <v>1220</v>
      </c>
      <c r="H57" s="2">
        <v>640</v>
      </c>
      <c r="I57" s="2">
        <v>1547</v>
      </c>
      <c r="J57" s="2">
        <v>28527</v>
      </c>
      <c r="K57" s="2">
        <v>183660</v>
      </c>
      <c r="L57" s="4">
        <v>9.0574975498203203E-2</v>
      </c>
      <c r="M57" t="s">
        <v>33</v>
      </c>
      <c r="N57" s="25" t="str">
        <f>_xlfn.XLOOKUP(Table4__2_1_1_138[[#This Row],[Campaign]],$R$2:$R$6,$U$2:$U$6)</f>
        <v>Product Promotion</v>
      </c>
    </row>
    <row r="58" spans="1:14" x14ac:dyDescent="0.3">
      <c r="A58" t="s">
        <v>80</v>
      </c>
      <c r="B58" t="s">
        <v>6</v>
      </c>
      <c r="C58" s="1">
        <v>45586</v>
      </c>
      <c r="D58" t="s">
        <v>15</v>
      </c>
      <c r="E58" t="s">
        <v>38</v>
      </c>
      <c r="F58" s="2">
        <v>12015</v>
      </c>
      <c r="G58" s="2">
        <v>1196</v>
      </c>
      <c r="H58" s="2">
        <v>998</v>
      </c>
      <c r="I58" s="2">
        <v>1848</v>
      </c>
      <c r="J58" s="2">
        <v>44739</v>
      </c>
      <c r="K58" s="2">
        <v>161750</v>
      </c>
      <c r="L58" s="4">
        <v>8.7845440494590393E-2</v>
      </c>
      <c r="M58" t="s">
        <v>33</v>
      </c>
      <c r="N58" s="25" t="str">
        <f>_xlfn.XLOOKUP(Table4__2_1_1_138[[#This Row],[Campaign]],$R$2:$R$6,$U$2:$U$6)</f>
        <v>Product Promotion</v>
      </c>
    </row>
    <row r="59" spans="1:14" x14ac:dyDescent="0.3">
      <c r="A59" t="s">
        <v>81</v>
      </c>
      <c r="B59" t="s">
        <v>10</v>
      </c>
      <c r="C59" s="1">
        <v>45762</v>
      </c>
      <c r="D59" t="s">
        <v>22</v>
      </c>
      <c r="E59" t="s">
        <v>12</v>
      </c>
      <c r="F59" s="2">
        <v>5419</v>
      </c>
      <c r="G59" s="2">
        <v>1150</v>
      </c>
      <c r="H59" s="2">
        <v>656</v>
      </c>
      <c r="I59" s="2">
        <v>1990</v>
      </c>
      <c r="J59" s="2">
        <v>410</v>
      </c>
      <c r="K59" s="2">
        <v>158154</v>
      </c>
      <c r="L59" s="4">
        <v>4.56833213197263E-2</v>
      </c>
      <c r="M59" t="s">
        <v>13</v>
      </c>
      <c r="N59" s="25" t="str">
        <f>_xlfn.XLOOKUP(Table4__2_1_1_138[[#This Row],[Campaign]],$R$2:$R$6,$U$2:$U$6)</f>
        <v>Sustainability Branding</v>
      </c>
    </row>
    <row r="60" spans="1:14" x14ac:dyDescent="0.3">
      <c r="A60" t="s">
        <v>82</v>
      </c>
      <c r="B60" t="s">
        <v>1</v>
      </c>
      <c r="C60" s="1">
        <v>45465</v>
      </c>
      <c r="D60" t="s">
        <v>2</v>
      </c>
      <c r="E60" t="s">
        <v>25</v>
      </c>
      <c r="F60" s="2">
        <v>16430</v>
      </c>
      <c r="G60" s="2">
        <v>488</v>
      </c>
      <c r="H60" s="2">
        <v>514</v>
      </c>
      <c r="I60" s="2">
        <v>1436</v>
      </c>
      <c r="J60" s="2">
        <v>30059</v>
      </c>
      <c r="K60" s="2">
        <v>223305</v>
      </c>
      <c r="L60" s="4">
        <v>7.8063634938760895E-2</v>
      </c>
      <c r="M60" t="s">
        <v>17</v>
      </c>
      <c r="N60" s="25" t="str">
        <f>_xlfn.XLOOKUP(Table4__2_1_1_138[[#This Row],[Campaign]],$R$2:$R$6,$U$2:$U$6)</f>
        <v>Product Launch</v>
      </c>
    </row>
    <row r="61" spans="1:14" x14ac:dyDescent="0.3">
      <c r="A61" t="s">
        <v>83</v>
      </c>
      <c r="B61" t="s">
        <v>10</v>
      </c>
      <c r="C61" s="1">
        <v>45685</v>
      </c>
      <c r="D61" t="s">
        <v>11</v>
      </c>
      <c r="E61" t="s">
        <v>25</v>
      </c>
      <c r="F61" s="2">
        <v>9239</v>
      </c>
      <c r="G61" s="2">
        <v>1477</v>
      </c>
      <c r="H61" s="2">
        <v>631</v>
      </c>
      <c r="I61" s="2">
        <v>1556</v>
      </c>
      <c r="J61" s="2">
        <v>11580</v>
      </c>
      <c r="K61" s="2">
        <v>84738</v>
      </c>
      <c r="L61" s="4">
        <v>0.13390686586891401</v>
      </c>
      <c r="M61" t="s">
        <v>13</v>
      </c>
      <c r="N61" s="25" t="str">
        <f>_xlfn.XLOOKUP(Table4__2_1_1_138[[#This Row],[Campaign]],$R$2:$R$6,$U$2:$U$6)</f>
        <v>Sustainability Branding</v>
      </c>
    </row>
    <row r="62" spans="1:14" x14ac:dyDescent="0.3">
      <c r="A62" t="s">
        <v>84</v>
      </c>
      <c r="B62" t="s">
        <v>1</v>
      </c>
      <c r="C62" s="1">
        <v>45540</v>
      </c>
      <c r="D62" t="s">
        <v>22</v>
      </c>
      <c r="E62" t="s">
        <v>52</v>
      </c>
      <c r="F62" s="2">
        <v>16489</v>
      </c>
      <c r="G62" s="2">
        <v>395</v>
      </c>
      <c r="H62" s="2">
        <v>350</v>
      </c>
      <c r="I62" s="2">
        <v>2364</v>
      </c>
      <c r="J62" s="2">
        <v>43239</v>
      </c>
      <c r="K62" s="2">
        <v>73397</v>
      </c>
      <c r="L62" s="4">
        <v>0.234805237271278</v>
      </c>
      <c r="M62" t="s">
        <v>33</v>
      </c>
      <c r="N62" s="25" t="str">
        <f>_xlfn.XLOOKUP(Table4__2_1_1_138[[#This Row],[Campaign]],$R$2:$R$6,$U$2:$U$6)</f>
        <v>Product Promotion</v>
      </c>
    </row>
    <row r="63" spans="1:14" x14ac:dyDescent="0.3">
      <c r="A63" t="s">
        <v>85</v>
      </c>
      <c r="B63" t="s">
        <v>1</v>
      </c>
      <c r="C63" s="1">
        <v>45920</v>
      </c>
      <c r="D63" t="s">
        <v>2</v>
      </c>
      <c r="E63" t="s">
        <v>38</v>
      </c>
      <c r="F63" s="2">
        <v>18633</v>
      </c>
      <c r="G63" s="2">
        <v>797</v>
      </c>
      <c r="H63" s="2">
        <v>303</v>
      </c>
      <c r="I63" s="2">
        <v>659</v>
      </c>
      <c r="J63" s="2">
        <v>7</v>
      </c>
      <c r="K63" s="2">
        <v>122189</v>
      </c>
      <c r="L63" s="4">
        <v>0.161495715653619</v>
      </c>
      <c r="M63" t="s">
        <v>8</v>
      </c>
      <c r="N63" s="25" t="str">
        <f>_xlfn.XLOOKUP(Table4__2_1_1_138[[#This Row],[Campaign]],$R$2:$R$6,$U$2:$U$6)</f>
        <v>Brand Engagement</v>
      </c>
    </row>
    <row r="64" spans="1:14" x14ac:dyDescent="0.3">
      <c r="A64" t="s">
        <v>86</v>
      </c>
      <c r="B64" t="s">
        <v>10</v>
      </c>
      <c r="C64" s="1">
        <v>45504</v>
      </c>
      <c r="D64" t="s">
        <v>2</v>
      </c>
      <c r="E64" t="s">
        <v>3</v>
      </c>
      <c r="F64" s="2">
        <v>12357</v>
      </c>
      <c r="G64" s="2">
        <v>716</v>
      </c>
      <c r="H64" s="2">
        <v>599</v>
      </c>
      <c r="I64" s="2">
        <v>999</v>
      </c>
      <c r="J64" s="2">
        <v>89591</v>
      </c>
      <c r="K64" s="2">
        <v>116367</v>
      </c>
      <c r="L64" s="4">
        <v>0.117490353794461</v>
      </c>
      <c r="M64" t="s">
        <v>4</v>
      </c>
      <c r="N64" s="25" t="str">
        <f>_xlfn.XLOOKUP(Table4__2_1_1_138[[#This Row],[Campaign]],$R$2:$R$6,$U$2:$U$6)</f>
        <v>Health &amp; Fitness Awareness</v>
      </c>
    </row>
    <row r="65" spans="1:14" x14ac:dyDescent="0.3">
      <c r="A65" t="s">
        <v>87</v>
      </c>
      <c r="B65" t="s">
        <v>10</v>
      </c>
      <c r="C65" s="1">
        <v>45521</v>
      </c>
      <c r="D65" t="s">
        <v>15</v>
      </c>
      <c r="E65" t="s">
        <v>20</v>
      </c>
      <c r="F65" s="2">
        <v>19154</v>
      </c>
      <c r="G65" s="2">
        <v>1064</v>
      </c>
      <c r="H65" s="2">
        <v>650</v>
      </c>
      <c r="I65" s="2">
        <v>747</v>
      </c>
      <c r="J65" s="2">
        <v>42667</v>
      </c>
      <c r="K65" s="2">
        <v>242332</v>
      </c>
      <c r="L65" s="4">
        <v>8.6113266097750205E-2</v>
      </c>
      <c r="M65" t="s">
        <v>13</v>
      </c>
      <c r="N65" s="25" t="str">
        <f>_xlfn.XLOOKUP(Table4__2_1_1_138[[#This Row],[Campaign]],$R$2:$R$6,$U$2:$U$6)</f>
        <v>Sustainability Branding</v>
      </c>
    </row>
    <row r="66" spans="1:14" x14ac:dyDescent="0.3">
      <c r="A66" t="s">
        <v>88</v>
      </c>
      <c r="B66" t="s">
        <v>1</v>
      </c>
      <c r="C66" s="1">
        <v>45744</v>
      </c>
      <c r="D66" t="s">
        <v>11</v>
      </c>
      <c r="E66" t="s">
        <v>3</v>
      </c>
      <c r="F66" s="2">
        <v>6363</v>
      </c>
      <c r="G66" s="2">
        <v>1341</v>
      </c>
      <c r="H66" s="2">
        <v>222</v>
      </c>
      <c r="I66" s="2">
        <v>2712</v>
      </c>
      <c r="J66" s="2">
        <v>19987</v>
      </c>
      <c r="K66" s="2">
        <v>160585</v>
      </c>
      <c r="L66" s="4">
        <v>4.9357038328610998E-2</v>
      </c>
      <c r="M66" t="s">
        <v>13</v>
      </c>
      <c r="N66" s="25" t="str">
        <f>_xlfn.XLOOKUP(Table4__2_1_1_138[[#This Row],[Campaign]],$R$2:$R$6,$U$2:$U$6)</f>
        <v>Sustainability Branding</v>
      </c>
    </row>
    <row r="67" spans="1:14" x14ac:dyDescent="0.3">
      <c r="A67" t="s">
        <v>89</v>
      </c>
      <c r="B67" t="s">
        <v>28</v>
      </c>
      <c r="C67" s="1">
        <v>45499</v>
      </c>
      <c r="D67" t="s">
        <v>11</v>
      </c>
      <c r="E67" t="s">
        <v>25</v>
      </c>
      <c r="F67" s="2">
        <v>12176</v>
      </c>
      <c r="G67" s="2">
        <v>1005</v>
      </c>
      <c r="H67" s="2">
        <v>862</v>
      </c>
      <c r="I67" s="2">
        <v>974</v>
      </c>
      <c r="J67" s="2">
        <v>2285</v>
      </c>
      <c r="K67" s="2">
        <v>116619</v>
      </c>
      <c r="L67" s="4">
        <v>0.12041777068916699</v>
      </c>
      <c r="M67" t="s">
        <v>17</v>
      </c>
      <c r="N67" s="25" t="str">
        <f>_xlfn.XLOOKUP(Table4__2_1_1_138[[#This Row],[Campaign]],$R$2:$R$6,$U$2:$U$6)</f>
        <v>Product Launch</v>
      </c>
    </row>
    <row r="68" spans="1:14" x14ac:dyDescent="0.3">
      <c r="A68" t="s">
        <v>90</v>
      </c>
      <c r="B68" t="s">
        <v>6</v>
      </c>
      <c r="C68" s="1">
        <v>45745</v>
      </c>
      <c r="D68" t="s">
        <v>15</v>
      </c>
      <c r="E68" t="s">
        <v>25</v>
      </c>
      <c r="F68" s="2">
        <v>19461</v>
      </c>
      <c r="G68" s="2">
        <v>1382</v>
      </c>
      <c r="H68" s="2">
        <v>445</v>
      </c>
      <c r="I68" s="2">
        <v>1307</v>
      </c>
      <c r="J68" s="2">
        <v>84691</v>
      </c>
      <c r="K68" s="2">
        <v>151453</v>
      </c>
      <c r="L68" s="4">
        <v>0.14055845707909401</v>
      </c>
      <c r="M68" t="s">
        <v>17</v>
      </c>
      <c r="N68" s="25" t="str">
        <f>_xlfn.XLOOKUP(Table4__2_1_1_138[[#This Row],[Campaign]],$R$2:$R$6,$U$2:$U$6)</f>
        <v>Product Launch</v>
      </c>
    </row>
    <row r="69" spans="1:14" x14ac:dyDescent="0.3">
      <c r="A69" t="s">
        <v>91</v>
      </c>
      <c r="B69" t="s">
        <v>10</v>
      </c>
      <c r="C69" s="1">
        <v>45634</v>
      </c>
      <c r="D69" t="s">
        <v>15</v>
      </c>
      <c r="E69" t="s">
        <v>7</v>
      </c>
      <c r="F69" s="2">
        <v>10427</v>
      </c>
      <c r="G69" s="2">
        <v>1014</v>
      </c>
      <c r="H69" s="2">
        <v>166</v>
      </c>
      <c r="I69" s="2">
        <v>1649</v>
      </c>
      <c r="J69" s="2">
        <v>15145</v>
      </c>
      <c r="K69" s="2">
        <v>59816</v>
      </c>
      <c r="L69" s="4">
        <v>0.19404507155276199</v>
      </c>
      <c r="M69" t="s">
        <v>13</v>
      </c>
      <c r="N69" s="25" t="str">
        <f>_xlfn.XLOOKUP(Table4__2_1_1_138[[#This Row],[Campaign]],$R$2:$R$6,$U$2:$U$6)</f>
        <v>Sustainability Branding</v>
      </c>
    </row>
    <row r="70" spans="1:14" x14ac:dyDescent="0.3">
      <c r="A70" t="s">
        <v>92</v>
      </c>
      <c r="B70" t="s">
        <v>6</v>
      </c>
      <c r="C70" s="1">
        <v>45724</v>
      </c>
      <c r="D70" t="s">
        <v>11</v>
      </c>
      <c r="E70" t="s">
        <v>25</v>
      </c>
      <c r="F70" s="2">
        <v>10580</v>
      </c>
      <c r="G70" s="2">
        <v>427</v>
      </c>
      <c r="H70" s="2">
        <v>790</v>
      </c>
      <c r="I70" s="2">
        <v>2814</v>
      </c>
      <c r="J70" s="2">
        <v>24916</v>
      </c>
      <c r="K70" s="2">
        <v>213312</v>
      </c>
      <c r="L70" s="4">
        <v>5.5303967896789701E-2</v>
      </c>
      <c r="M70" t="s">
        <v>33</v>
      </c>
      <c r="N70" s="25" t="str">
        <f>_xlfn.XLOOKUP(Table4__2_1_1_138[[#This Row],[Campaign]],$R$2:$R$6,$U$2:$U$6)</f>
        <v>Product Promotion</v>
      </c>
    </row>
    <row r="71" spans="1:14" x14ac:dyDescent="0.3">
      <c r="A71" t="s">
        <v>93</v>
      </c>
      <c r="B71" t="s">
        <v>28</v>
      </c>
      <c r="C71" s="1">
        <v>45749</v>
      </c>
      <c r="D71" t="s">
        <v>11</v>
      </c>
      <c r="E71" t="s">
        <v>29</v>
      </c>
      <c r="F71" s="2">
        <v>6858</v>
      </c>
      <c r="G71" s="2">
        <v>415</v>
      </c>
      <c r="H71" s="2">
        <v>366</v>
      </c>
      <c r="I71" s="2">
        <v>2761</v>
      </c>
      <c r="J71" s="2">
        <v>2988</v>
      </c>
      <c r="K71" s="2">
        <v>177348</v>
      </c>
      <c r="L71" s="4">
        <v>4.3073505198818099E-2</v>
      </c>
      <c r="M71" t="s">
        <v>4</v>
      </c>
      <c r="N71" s="25" t="str">
        <f>_xlfn.XLOOKUP(Table4__2_1_1_138[[#This Row],[Campaign]],$R$2:$R$6,$U$2:$U$6)</f>
        <v>Health &amp; Fitness Awareness</v>
      </c>
    </row>
    <row r="72" spans="1:14" x14ac:dyDescent="0.3">
      <c r="A72" t="s">
        <v>94</v>
      </c>
      <c r="B72" t="s">
        <v>28</v>
      </c>
      <c r="C72" s="1">
        <v>45537</v>
      </c>
      <c r="D72" t="s">
        <v>22</v>
      </c>
      <c r="E72" t="s">
        <v>16</v>
      </c>
      <c r="F72" s="2">
        <v>12040</v>
      </c>
      <c r="G72" s="2">
        <v>1147</v>
      </c>
      <c r="H72" s="2">
        <v>210</v>
      </c>
      <c r="I72" s="2">
        <v>885</v>
      </c>
      <c r="J72" s="2">
        <v>30360</v>
      </c>
      <c r="K72" s="2">
        <v>119530</v>
      </c>
      <c r="L72" s="4">
        <v>0.112080649209404</v>
      </c>
      <c r="M72" t="s">
        <v>17</v>
      </c>
      <c r="N72" s="25" t="str">
        <f>_xlfn.XLOOKUP(Table4__2_1_1_138[[#This Row],[Campaign]],$R$2:$R$6,$U$2:$U$6)</f>
        <v>Product Launch</v>
      </c>
    </row>
    <row r="73" spans="1:14" x14ac:dyDescent="0.3">
      <c r="A73" t="s">
        <v>95</v>
      </c>
      <c r="B73" t="s">
        <v>28</v>
      </c>
      <c r="C73" s="1">
        <v>45719</v>
      </c>
      <c r="D73" t="s">
        <v>22</v>
      </c>
      <c r="E73" t="s">
        <v>38</v>
      </c>
      <c r="F73" s="2">
        <v>24928</v>
      </c>
      <c r="G73" s="2">
        <v>214</v>
      </c>
      <c r="H73" s="2">
        <v>765</v>
      </c>
      <c r="I73" s="2">
        <v>1556</v>
      </c>
      <c r="J73" s="2">
        <v>5239</v>
      </c>
      <c r="K73" s="2">
        <v>194571</v>
      </c>
      <c r="L73" s="4">
        <v>0.13314933880177399</v>
      </c>
      <c r="M73" t="s">
        <v>33</v>
      </c>
      <c r="N73" s="25" t="str">
        <f>_xlfn.XLOOKUP(Table4__2_1_1_138[[#This Row],[Campaign]],$R$2:$R$6,$U$2:$U$6)</f>
        <v>Product Promotion</v>
      </c>
    </row>
    <row r="74" spans="1:14" x14ac:dyDescent="0.3">
      <c r="A74" t="s">
        <v>96</v>
      </c>
      <c r="B74" t="s">
        <v>10</v>
      </c>
      <c r="C74" s="1">
        <v>45921</v>
      </c>
      <c r="D74" t="s">
        <v>15</v>
      </c>
      <c r="E74" t="s">
        <v>3</v>
      </c>
      <c r="F74" s="2">
        <v>23103</v>
      </c>
      <c r="G74" s="2">
        <v>1380</v>
      </c>
      <c r="H74" s="2">
        <v>191</v>
      </c>
      <c r="I74" s="2">
        <v>1547</v>
      </c>
      <c r="J74" s="2">
        <v>77798</v>
      </c>
      <c r="K74" s="2">
        <v>148856</v>
      </c>
      <c r="L74" s="4">
        <v>0.16575751061428501</v>
      </c>
      <c r="M74" t="s">
        <v>8</v>
      </c>
      <c r="N74" s="25" t="str">
        <f>_xlfn.XLOOKUP(Table4__2_1_1_138[[#This Row],[Campaign]],$R$2:$R$6,$U$2:$U$6)</f>
        <v>Brand Engagement</v>
      </c>
    </row>
    <row r="75" spans="1:14" x14ac:dyDescent="0.3">
      <c r="A75" t="s">
        <v>97</v>
      </c>
      <c r="B75" t="s">
        <v>28</v>
      </c>
      <c r="C75" s="1">
        <v>45593</v>
      </c>
      <c r="D75" t="s">
        <v>22</v>
      </c>
      <c r="E75" t="s">
        <v>16</v>
      </c>
      <c r="F75" s="2">
        <v>21198</v>
      </c>
      <c r="G75" s="2">
        <v>1484</v>
      </c>
      <c r="H75" s="2">
        <v>174</v>
      </c>
      <c r="I75" s="2">
        <v>1293</v>
      </c>
      <c r="J75" s="2">
        <v>16330</v>
      </c>
      <c r="K75" s="2">
        <v>111635</v>
      </c>
      <c r="L75" s="4">
        <v>0.204738657231155</v>
      </c>
      <c r="M75" t="s">
        <v>17</v>
      </c>
      <c r="N75" s="25" t="str">
        <f>_xlfn.XLOOKUP(Table4__2_1_1_138[[#This Row],[Campaign]],$R$2:$R$6,$U$2:$U$6)</f>
        <v>Product Launch</v>
      </c>
    </row>
    <row r="76" spans="1:14" x14ac:dyDescent="0.3">
      <c r="A76" t="s">
        <v>98</v>
      </c>
      <c r="B76" t="s">
        <v>10</v>
      </c>
      <c r="C76" s="1">
        <v>45505</v>
      </c>
      <c r="D76" t="s">
        <v>2</v>
      </c>
      <c r="E76" t="s">
        <v>12</v>
      </c>
      <c r="F76" s="2">
        <v>21758</v>
      </c>
      <c r="G76" s="2">
        <v>1380</v>
      </c>
      <c r="H76" s="2">
        <v>188</v>
      </c>
      <c r="I76" s="2">
        <v>1735</v>
      </c>
      <c r="J76" s="2">
        <v>20998</v>
      </c>
      <c r="K76" s="2">
        <v>147803</v>
      </c>
      <c r="L76" s="4">
        <v>0.157818176897627</v>
      </c>
      <c r="M76" t="s">
        <v>33</v>
      </c>
      <c r="N76" s="25" t="str">
        <f>_xlfn.XLOOKUP(Table4__2_1_1_138[[#This Row],[Campaign]],$R$2:$R$6,$U$2:$U$6)</f>
        <v>Product Promotion</v>
      </c>
    </row>
    <row r="77" spans="1:14" x14ac:dyDescent="0.3">
      <c r="A77" t="s">
        <v>99</v>
      </c>
      <c r="B77" t="s">
        <v>28</v>
      </c>
      <c r="C77" s="1">
        <v>45603</v>
      </c>
      <c r="D77" t="s">
        <v>22</v>
      </c>
      <c r="E77" t="s">
        <v>20</v>
      </c>
      <c r="F77" s="2">
        <v>17254</v>
      </c>
      <c r="G77" s="2">
        <v>246</v>
      </c>
      <c r="H77" s="2">
        <v>952</v>
      </c>
      <c r="I77" s="2">
        <v>871</v>
      </c>
      <c r="J77" s="2">
        <v>14957</v>
      </c>
      <c r="K77" s="2">
        <v>75946</v>
      </c>
      <c r="L77" s="4">
        <v>0.242962104653306</v>
      </c>
      <c r="M77" t="s">
        <v>33</v>
      </c>
      <c r="N77" s="25" t="str">
        <f>_xlfn.XLOOKUP(Table4__2_1_1_138[[#This Row],[Campaign]],$R$2:$R$6,$U$2:$U$6)</f>
        <v>Product Promotion</v>
      </c>
    </row>
    <row r="78" spans="1:14" x14ac:dyDescent="0.3">
      <c r="A78" t="s">
        <v>100</v>
      </c>
      <c r="B78" t="s">
        <v>6</v>
      </c>
      <c r="C78" s="1">
        <v>45720</v>
      </c>
      <c r="D78" t="s">
        <v>22</v>
      </c>
      <c r="E78" t="s">
        <v>29</v>
      </c>
      <c r="F78" s="2">
        <v>13470</v>
      </c>
      <c r="G78" s="2">
        <v>523</v>
      </c>
      <c r="H78" s="2">
        <v>280</v>
      </c>
      <c r="I78" s="2">
        <v>2682</v>
      </c>
      <c r="J78" s="2">
        <v>8538</v>
      </c>
      <c r="K78" s="2">
        <v>95204</v>
      </c>
      <c r="L78" s="4">
        <v>0.14992017142136899</v>
      </c>
      <c r="M78" t="s">
        <v>4</v>
      </c>
      <c r="N78" s="25" t="str">
        <f>_xlfn.XLOOKUP(Table4__2_1_1_138[[#This Row],[Campaign]],$R$2:$R$6,$U$2:$U$6)</f>
        <v>Health &amp; Fitness Awareness</v>
      </c>
    </row>
    <row r="79" spans="1:14" x14ac:dyDescent="0.3">
      <c r="A79" t="s">
        <v>101</v>
      </c>
      <c r="B79" t="s">
        <v>6</v>
      </c>
      <c r="C79" s="1">
        <v>45460</v>
      </c>
      <c r="D79" t="s">
        <v>2</v>
      </c>
      <c r="E79" t="s">
        <v>23</v>
      </c>
      <c r="F79" s="2">
        <v>3252</v>
      </c>
      <c r="G79" s="2">
        <v>1043</v>
      </c>
      <c r="H79" s="2">
        <v>647</v>
      </c>
      <c r="I79" s="2">
        <v>1545</v>
      </c>
      <c r="J79" s="2">
        <v>18859</v>
      </c>
      <c r="K79" s="2">
        <v>222958</v>
      </c>
      <c r="L79" s="4">
        <v>2.2165609666394599E-2</v>
      </c>
      <c r="M79" t="s">
        <v>4</v>
      </c>
      <c r="N79" s="25" t="str">
        <f>_xlfn.XLOOKUP(Table4__2_1_1_138[[#This Row],[Campaign]],$R$2:$R$6,$U$2:$U$6)</f>
        <v>Health &amp; Fitness Awareness</v>
      </c>
    </row>
    <row r="80" spans="1:14" x14ac:dyDescent="0.3">
      <c r="A80" t="s">
        <v>102</v>
      </c>
      <c r="B80" t="s">
        <v>1</v>
      </c>
      <c r="C80" s="1">
        <v>45922</v>
      </c>
      <c r="D80" t="s">
        <v>15</v>
      </c>
      <c r="E80" t="s">
        <v>103</v>
      </c>
      <c r="F80" s="2">
        <v>8996</v>
      </c>
      <c r="G80" s="2">
        <v>329</v>
      </c>
      <c r="H80" s="2">
        <v>378</v>
      </c>
      <c r="I80" s="2">
        <v>2384</v>
      </c>
      <c r="J80" s="2">
        <v>39404</v>
      </c>
      <c r="K80" s="2">
        <v>242724</v>
      </c>
      <c r="L80" s="4">
        <v>3.9975445361810101E-2</v>
      </c>
      <c r="M80" t="s">
        <v>8</v>
      </c>
      <c r="N80" s="25" t="str">
        <f>_xlfn.XLOOKUP(Table4__2_1_1_138[[#This Row],[Campaign]],$R$2:$R$6,$U$2:$U$6)</f>
        <v>Brand Engagement</v>
      </c>
    </row>
    <row r="81" spans="1:14" x14ac:dyDescent="0.3">
      <c r="A81" t="s">
        <v>104</v>
      </c>
      <c r="B81" t="s">
        <v>6</v>
      </c>
      <c r="C81" s="1">
        <v>45456</v>
      </c>
      <c r="D81" t="s">
        <v>2</v>
      </c>
      <c r="E81" t="s">
        <v>3</v>
      </c>
      <c r="F81" s="2">
        <v>14173</v>
      </c>
      <c r="G81" s="2">
        <v>294</v>
      </c>
      <c r="H81" s="2">
        <v>257</v>
      </c>
      <c r="I81" s="2">
        <v>1288</v>
      </c>
      <c r="J81" s="2">
        <v>39466</v>
      </c>
      <c r="K81" s="2">
        <v>55563</v>
      </c>
      <c r="L81" s="4">
        <v>0.26499649047027701</v>
      </c>
      <c r="M81" t="s">
        <v>33</v>
      </c>
      <c r="N81" s="25" t="str">
        <f>_xlfn.XLOOKUP(Table4__2_1_1_138[[#This Row],[Campaign]],$R$2:$R$6,$U$2:$U$6)</f>
        <v>Product Promotion</v>
      </c>
    </row>
    <row r="82" spans="1:14" x14ac:dyDescent="0.3">
      <c r="A82" t="s">
        <v>105</v>
      </c>
      <c r="B82" t="s">
        <v>1</v>
      </c>
      <c r="C82" s="1">
        <v>45584</v>
      </c>
      <c r="D82" t="s">
        <v>22</v>
      </c>
      <c r="E82" t="s">
        <v>16</v>
      </c>
      <c r="F82" s="2">
        <v>6673</v>
      </c>
      <c r="G82" s="2">
        <v>826</v>
      </c>
      <c r="H82" s="2">
        <v>321</v>
      </c>
      <c r="I82" s="2">
        <v>577</v>
      </c>
      <c r="J82" s="2">
        <v>19262</v>
      </c>
      <c r="K82" s="2">
        <v>132324</v>
      </c>
      <c r="L82" s="4">
        <v>5.9097367068710098E-2</v>
      </c>
      <c r="M82" t="s">
        <v>33</v>
      </c>
      <c r="N82" s="25" t="str">
        <f>_xlfn.XLOOKUP(Table4__2_1_1_138[[#This Row],[Campaign]],$R$2:$R$6,$U$2:$U$6)</f>
        <v>Product Promotion</v>
      </c>
    </row>
    <row r="83" spans="1:14" x14ac:dyDescent="0.3">
      <c r="A83" t="s">
        <v>106</v>
      </c>
      <c r="B83" t="s">
        <v>6</v>
      </c>
      <c r="C83" s="1">
        <v>45497</v>
      </c>
      <c r="D83" t="s">
        <v>15</v>
      </c>
      <c r="E83" t="s">
        <v>23</v>
      </c>
      <c r="F83" s="2">
        <v>22914</v>
      </c>
      <c r="G83" s="2">
        <v>954</v>
      </c>
      <c r="H83" s="2">
        <v>584</v>
      </c>
      <c r="I83" s="2">
        <v>1519</v>
      </c>
      <c r="J83" s="2">
        <v>13637</v>
      </c>
      <c r="K83" s="2">
        <v>49847</v>
      </c>
      <c r="L83" s="4">
        <v>0.49054105563022798</v>
      </c>
      <c r="M83" t="s">
        <v>4</v>
      </c>
      <c r="N83" s="25" t="str">
        <f>_xlfn.XLOOKUP(Table4__2_1_1_138[[#This Row],[Campaign]],$R$2:$R$6,$U$2:$U$6)</f>
        <v>Health &amp; Fitness Awareness</v>
      </c>
    </row>
    <row r="84" spans="1:14" x14ac:dyDescent="0.3">
      <c r="A84" t="s">
        <v>107</v>
      </c>
      <c r="B84" t="s">
        <v>10</v>
      </c>
      <c r="C84" s="1">
        <v>45580</v>
      </c>
      <c r="D84" t="s">
        <v>22</v>
      </c>
      <c r="E84" t="s">
        <v>20</v>
      </c>
      <c r="F84" s="2">
        <v>17781</v>
      </c>
      <c r="G84" s="2">
        <v>993</v>
      </c>
      <c r="H84" s="2">
        <v>627</v>
      </c>
      <c r="I84" s="2">
        <v>2187</v>
      </c>
      <c r="J84" s="2">
        <v>9609</v>
      </c>
      <c r="K84" s="2">
        <v>66155</v>
      </c>
      <c r="L84" s="4">
        <v>0.29326581513113098</v>
      </c>
      <c r="M84" t="s">
        <v>17</v>
      </c>
      <c r="N84" s="25" t="str">
        <f>_xlfn.XLOOKUP(Table4__2_1_1_138[[#This Row],[Campaign]],$R$2:$R$6,$U$2:$U$6)</f>
        <v>Product Launch</v>
      </c>
    </row>
    <row r="85" spans="1:14" x14ac:dyDescent="0.3">
      <c r="A85" t="s">
        <v>108</v>
      </c>
      <c r="B85" t="s">
        <v>6</v>
      </c>
      <c r="C85" s="1">
        <v>45635</v>
      </c>
      <c r="D85" t="s">
        <v>2</v>
      </c>
      <c r="E85" t="s">
        <v>7</v>
      </c>
      <c r="F85" s="2">
        <v>15051</v>
      </c>
      <c r="G85" s="2">
        <v>268</v>
      </c>
      <c r="H85" s="2">
        <v>251</v>
      </c>
      <c r="I85" s="2">
        <v>783</v>
      </c>
      <c r="J85" s="2">
        <v>34154</v>
      </c>
      <c r="K85" s="2">
        <v>119671</v>
      </c>
      <c r="L85" s="4">
        <v>0.13010670922779999</v>
      </c>
      <c r="M85" t="s">
        <v>17</v>
      </c>
      <c r="N85" s="25" t="str">
        <f>_xlfn.XLOOKUP(Table4__2_1_1_138[[#This Row],[Campaign]],$R$2:$R$6,$U$2:$U$6)</f>
        <v>Product Launch</v>
      </c>
    </row>
    <row r="86" spans="1:14" x14ac:dyDescent="0.3">
      <c r="A86" t="s">
        <v>109</v>
      </c>
      <c r="B86" t="s">
        <v>1</v>
      </c>
      <c r="C86" s="1">
        <v>45766</v>
      </c>
      <c r="D86" t="s">
        <v>2</v>
      </c>
      <c r="E86" t="s">
        <v>23</v>
      </c>
      <c r="F86" s="2">
        <v>8881</v>
      </c>
      <c r="G86" s="2">
        <v>210</v>
      </c>
      <c r="H86" s="2">
        <v>673</v>
      </c>
      <c r="I86" s="2">
        <v>1565</v>
      </c>
      <c r="J86" s="2">
        <v>24847</v>
      </c>
      <c r="K86" s="2">
        <v>156891</v>
      </c>
      <c r="L86" s="4">
        <v>6.2234290048505003E-2</v>
      </c>
      <c r="M86" t="s">
        <v>13</v>
      </c>
      <c r="N86" s="25" t="str">
        <f>_xlfn.XLOOKUP(Table4__2_1_1_138[[#This Row],[Campaign]],$R$2:$R$6,$U$2:$U$6)</f>
        <v>Sustainability Branding</v>
      </c>
    </row>
    <row r="87" spans="1:14" x14ac:dyDescent="0.3">
      <c r="A87" t="s">
        <v>110</v>
      </c>
      <c r="B87" t="s">
        <v>1</v>
      </c>
      <c r="C87" s="1">
        <v>45684</v>
      </c>
      <c r="D87" t="s">
        <v>22</v>
      </c>
      <c r="E87" t="s">
        <v>29</v>
      </c>
      <c r="F87" s="2">
        <v>8949</v>
      </c>
      <c r="G87" s="2">
        <v>1477</v>
      </c>
      <c r="H87" s="2">
        <v>424</v>
      </c>
      <c r="I87" s="2">
        <v>1030</v>
      </c>
      <c r="J87" s="2">
        <v>58052</v>
      </c>
      <c r="K87" s="2">
        <v>123310</v>
      </c>
      <c r="L87" s="4">
        <v>8.7989619657773105E-2</v>
      </c>
      <c r="M87" t="s">
        <v>4</v>
      </c>
      <c r="N87" s="25" t="str">
        <f>_xlfn.XLOOKUP(Table4__2_1_1_138[[#This Row],[Campaign]],$R$2:$R$6,$U$2:$U$6)</f>
        <v>Health &amp; Fitness Awareness</v>
      </c>
    </row>
    <row r="88" spans="1:14" x14ac:dyDescent="0.3">
      <c r="A88" t="s">
        <v>111</v>
      </c>
      <c r="B88" t="s">
        <v>28</v>
      </c>
      <c r="C88" s="1">
        <v>45449</v>
      </c>
      <c r="D88" t="s">
        <v>11</v>
      </c>
      <c r="E88" t="s">
        <v>29</v>
      </c>
      <c r="F88" s="2">
        <v>11521</v>
      </c>
      <c r="G88" s="2">
        <v>1071</v>
      </c>
      <c r="H88" s="2">
        <v>762</v>
      </c>
      <c r="I88" s="2">
        <v>2539</v>
      </c>
      <c r="J88" s="2">
        <v>12701</v>
      </c>
      <c r="K88" s="2">
        <v>238350</v>
      </c>
      <c r="L88" s="4">
        <v>5.6026851269142003E-2</v>
      </c>
      <c r="M88" t="s">
        <v>13</v>
      </c>
      <c r="N88" s="25" t="str">
        <f>_xlfn.XLOOKUP(Table4__2_1_1_138[[#This Row],[Campaign]],$R$2:$R$6,$U$2:$U$6)</f>
        <v>Sustainability Branding</v>
      </c>
    </row>
    <row r="89" spans="1:14" x14ac:dyDescent="0.3">
      <c r="A89" t="s">
        <v>112</v>
      </c>
      <c r="B89" t="s">
        <v>10</v>
      </c>
      <c r="C89" s="1">
        <v>45480</v>
      </c>
      <c r="D89" t="s">
        <v>11</v>
      </c>
      <c r="E89" t="s">
        <v>7</v>
      </c>
      <c r="F89" s="2">
        <v>24625</v>
      </c>
      <c r="G89" s="2">
        <v>749</v>
      </c>
      <c r="H89" s="2">
        <v>193</v>
      </c>
      <c r="I89" s="2">
        <v>1340</v>
      </c>
      <c r="J89" s="2">
        <v>4890</v>
      </c>
      <c r="K89" s="2">
        <v>189381</v>
      </c>
      <c r="L89" s="4">
        <v>0.13500298340382599</v>
      </c>
      <c r="M89" t="s">
        <v>4</v>
      </c>
      <c r="N89" s="25" t="str">
        <f>_xlfn.XLOOKUP(Table4__2_1_1_138[[#This Row],[Campaign]],$R$2:$R$6,$U$2:$U$6)</f>
        <v>Health &amp; Fitness Awareness</v>
      </c>
    </row>
    <row r="90" spans="1:14" x14ac:dyDescent="0.3">
      <c r="A90" t="s">
        <v>113</v>
      </c>
      <c r="B90" t="s">
        <v>6</v>
      </c>
      <c r="C90" s="1">
        <v>45923</v>
      </c>
      <c r="D90" t="s">
        <v>2</v>
      </c>
      <c r="E90" t="s">
        <v>103</v>
      </c>
      <c r="F90" s="2">
        <v>10017</v>
      </c>
      <c r="G90" s="2">
        <v>1357</v>
      </c>
      <c r="H90" s="2">
        <v>966</v>
      </c>
      <c r="I90" s="2">
        <v>2871</v>
      </c>
      <c r="J90" s="2">
        <v>14800</v>
      </c>
      <c r="K90" s="2">
        <v>171691</v>
      </c>
      <c r="L90" s="4">
        <v>7.1873307278774098E-2</v>
      </c>
      <c r="M90" t="s">
        <v>8</v>
      </c>
      <c r="N90" s="25" t="str">
        <f>_xlfn.XLOOKUP(Table4__2_1_1_138[[#This Row],[Campaign]],$R$2:$R$6,$U$2:$U$6)</f>
        <v>Brand Engagement</v>
      </c>
    </row>
    <row r="91" spans="1:14" x14ac:dyDescent="0.3">
      <c r="A91" t="s">
        <v>114</v>
      </c>
      <c r="B91" t="s">
        <v>28</v>
      </c>
      <c r="C91" s="1">
        <v>45446</v>
      </c>
      <c r="D91" t="s">
        <v>2</v>
      </c>
      <c r="E91" t="s">
        <v>38</v>
      </c>
      <c r="F91" s="2">
        <v>8941</v>
      </c>
      <c r="G91" s="2">
        <v>911</v>
      </c>
      <c r="H91" s="2">
        <v>166</v>
      </c>
      <c r="I91" s="2">
        <v>1217</v>
      </c>
      <c r="J91" s="2">
        <v>68817</v>
      </c>
      <c r="K91" s="2">
        <v>221180</v>
      </c>
      <c r="L91" s="4">
        <v>4.5293426168731402E-2</v>
      </c>
      <c r="M91" t="s">
        <v>33</v>
      </c>
      <c r="N91" s="25" t="str">
        <f>_xlfn.XLOOKUP(Table4__2_1_1_138[[#This Row],[Campaign]],$R$2:$R$6,$U$2:$U$6)</f>
        <v>Product Promotion</v>
      </c>
    </row>
    <row r="92" spans="1:14" x14ac:dyDescent="0.3">
      <c r="A92" t="s">
        <v>115</v>
      </c>
      <c r="B92" t="s">
        <v>6</v>
      </c>
      <c r="C92" s="1">
        <v>45924</v>
      </c>
      <c r="D92" t="s">
        <v>11</v>
      </c>
      <c r="E92" t="s">
        <v>23</v>
      </c>
      <c r="F92" s="2">
        <v>12209</v>
      </c>
      <c r="G92" s="2">
        <v>222</v>
      </c>
      <c r="H92" s="2">
        <v>479</v>
      </c>
      <c r="I92" s="2">
        <v>2748</v>
      </c>
      <c r="J92" s="2">
        <v>24615</v>
      </c>
      <c r="K92" s="2">
        <v>74707</v>
      </c>
      <c r="L92" s="4">
        <v>0.17280843829895501</v>
      </c>
      <c r="M92" t="s">
        <v>8</v>
      </c>
      <c r="N92" s="25" t="str">
        <f>_xlfn.XLOOKUP(Table4__2_1_1_138[[#This Row],[Campaign]],$R$2:$R$6,$U$2:$U$6)</f>
        <v>Brand Engagement</v>
      </c>
    </row>
    <row r="93" spans="1:14" x14ac:dyDescent="0.3">
      <c r="A93" t="s">
        <v>116</v>
      </c>
      <c r="B93" t="s">
        <v>6</v>
      </c>
      <c r="C93" s="1">
        <v>45586</v>
      </c>
      <c r="D93" t="s">
        <v>11</v>
      </c>
      <c r="E93" t="s">
        <v>7</v>
      </c>
      <c r="F93" s="2">
        <v>19715</v>
      </c>
      <c r="G93" s="2">
        <v>1014</v>
      </c>
      <c r="H93" s="2">
        <v>718</v>
      </c>
      <c r="I93" s="2">
        <v>1185</v>
      </c>
      <c r="J93" s="2">
        <v>37625</v>
      </c>
      <c r="K93" s="2">
        <v>191409</v>
      </c>
      <c r="L93" s="4">
        <v>0.11204802282024399</v>
      </c>
      <c r="M93" t="s">
        <v>4</v>
      </c>
      <c r="N93" s="25" t="str">
        <f>_xlfn.XLOOKUP(Table4__2_1_1_138[[#This Row],[Campaign]],$R$2:$R$6,$U$2:$U$6)</f>
        <v>Health &amp; Fitness Awareness</v>
      </c>
    </row>
    <row r="94" spans="1:14" x14ac:dyDescent="0.3">
      <c r="A94" t="s">
        <v>117</v>
      </c>
      <c r="B94" t="s">
        <v>28</v>
      </c>
      <c r="C94" s="1">
        <v>45637</v>
      </c>
      <c r="D94" t="s">
        <v>22</v>
      </c>
      <c r="E94" t="s">
        <v>29</v>
      </c>
      <c r="F94" s="2">
        <v>22645</v>
      </c>
      <c r="G94" s="2">
        <v>545</v>
      </c>
      <c r="H94" s="2">
        <v>972</v>
      </c>
      <c r="I94" s="2">
        <v>321</v>
      </c>
      <c r="J94" s="2">
        <v>8396</v>
      </c>
      <c r="K94" s="2">
        <v>121537</v>
      </c>
      <c r="L94" s="4">
        <v>0.198803656499667</v>
      </c>
      <c r="M94" t="s">
        <v>33</v>
      </c>
      <c r="N94" s="25" t="str">
        <f>_xlfn.XLOOKUP(Table4__2_1_1_138[[#This Row],[Campaign]],$R$2:$R$6,$U$2:$U$6)</f>
        <v>Product Promotion</v>
      </c>
    </row>
    <row r="95" spans="1:14" x14ac:dyDescent="0.3">
      <c r="A95" t="s">
        <v>118</v>
      </c>
      <c r="B95" t="s">
        <v>28</v>
      </c>
      <c r="C95" s="1">
        <v>45603</v>
      </c>
      <c r="D95" t="s">
        <v>22</v>
      </c>
      <c r="E95" t="s">
        <v>29</v>
      </c>
      <c r="F95" s="2">
        <v>11550</v>
      </c>
      <c r="G95" s="2">
        <v>501</v>
      </c>
      <c r="H95" s="2">
        <v>646</v>
      </c>
      <c r="I95" s="2">
        <v>773</v>
      </c>
      <c r="J95" s="2">
        <v>17841</v>
      </c>
      <c r="K95" s="2">
        <v>237576</v>
      </c>
      <c r="L95" s="4">
        <v>5.3443950567397397E-2</v>
      </c>
      <c r="M95" t="s">
        <v>17</v>
      </c>
      <c r="N95" s="25" t="str">
        <f>_xlfn.XLOOKUP(Table4__2_1_1_138[[#This Row],[Campaign]],$R$2:$R$6,$U$2:$U$6)</f>
        <v>Product Launch</v>
      </c>
    </row>
    <row r="96" spans="1:14" x14ac:dyDescent="0.3">
      <c r="A96" t="s">
        <v>119</v>
      </c>
      <c r="B96" t="s">
        <v>28</v>
      </c>
      <c r="C96" s="1">
        <v>45604</v>
      </c>
      <c r="D96" t="s">
        <v>11</v>
      </c>
      <c r="E96" t="s">
        <v>16</v>
      </c>
      <c r="F96" s="2">
        <v>23499</v>
      </c>
      <c r="G96" s="2">
        <v>562</v>
      </c>
      <c r="H96" s="2">
        <v>964</v>
      </c>
      <c r="I96" s="2">
        <v>2557</v>
      </c>
      <c r="J96" s="2">
        <v>56890</v>
      </c>
      <c r="K96" s="2">
        <v>218686</v>
      </c>
      <c r="L96" s="4">
        <v>0.11443347996670999</v>
      </c>
      <c r="M96" t="s">
        <v>17</v>
      </c>
      <c r="N96" s="25" t="str">
        <f>_xlfn.XLOOKUP(Table4__2_1_1_138[[#This Row],[Campaign]],$R$2:$R$6,$U$2:$U$6)</f>
        <v>Product Launch</v>
      </c>
    </row>
    <row r="97" spans="1:14" x14ac:dyDescent="0.3">
      <c r="A97" t="s">
        <v>120</v>
      </c>
      <c r="B97" t="s">
        <v>28</v>
      </c>
      <c r="C97" s="1">
        <v>45545</v>
      </c>
      <c r="D97" t="s">
        <v>22</v>
      </c>
      <c r="E97" t="s">
        <v>25</v>
      </c>
      <c r="F97" s="2">
        <v>6637</v>
      </c>
      <c r="G97" s="2">
        <v>595</v>
      </c>
      <c r="H97" s="2">
        <v>161</v>
      </c>
      <c r="I97" s="2">
        <v>2653</v>
      </c>
      <c r="J97" s="2">
        <v>19334</v>
      </c>
      <c r="K97" s="2">
        <v>131155</v>
      </c>
      <c r="L97" s="4">
        <v>5.6368419046166802E-2</v>
      </c>
      <c r="M97" t="s">
        <v>13</v>
      </c>
      <c r="N97" s="25" t="str">
        <f>_xlfn.XLOOKUP(Table4__2_1_1_138[[#This Row],[Campaign]],$R$2:$R$6,$U$2:$U$6)</f>
        <v>Sustainability Branding</v>
      </c>
    </row>
    <row r="98" spans="1:14" x14ac:dyDescent="0.3">
      <c r="A98" t="s">
        <v>121</v>
      </c>
      <c r="B98" t="s">
        <v>28</v>
      </c>
      <c r="C98" s="1">
        <v>45517</v>
      </c>
      <c r="D98" t="s">
        <v>22</v>
      </c>
      <c r="E98" t="s">
        <v>103</v>
      </c>
      <c r="F98" s="2">
        <v>6854</v>
      </c>
      <c r="G98" s="2">
        <v>417</v>
      </c>
      <c r="H98" s="2">
        <v>467</v>
      </c>
      <c r="I98" s="2">
        <v>1003</v>
      </c>
      <c r="J98" s="2">
        <v>61333</v>
      </c>
      <c r="K98" s="2">
        <v>40281</v>
      </c>
      <c r="L98" s="4">
        <v>0.19210049402944299</v>
      </c>
      <c r="M98" t="s">
        <v>4</v>
      </c>
      <c r="N98" s="25" t="str">
        <f>_xlfn.XLOOKUP(Table4__2_1_1_138[[#This Row],[Campaign]],$R$2:$R$6,$U$2:$U$6)</f>
        <v>Health &amp; Fitness Awareness</v>
      </c>
    </row>
    <row r="99" spans="1:14" x14ac:dyDescent="0.3">
      <c r="A99" t="s">
        <v>122</v>
      </c>
      <c r="B99" t="s">
        <v>6</v>
      </c>
      <c r="C99" s="1">
        <v>45453</v>
      </c>
      <c r="D99" t="s">
        <v>15</v>
      </c>
      <c r="E99" t="s">
        <v>23</v>
      </c>
      <c r="F99" s="2">
        <v>21561</v>
      </c>
      <c r="G99" s="2">
        <v>340</v>
      </c>
      <c r="H99" s="2">
        <v>741</v>
      </c>
      <c r="I99" s="2">
        <v>986</v>
      </c>
      <c r="J99" s="2">
        <v>24826</v>
      </c>
      <c r="K99" s="2">
        <v>198492</v>
      </c>
      <c r="L99" s="4">
        <v>0.114070088467041</v>
      </c>
      <c r="M99" t="s">
        <v>4</v>
      </c>
      <c r="N99" s="25" t="str">
        <f>_xlfn.XLOOKUP(Table4__2_1_1_138[[#This Row],[Campaign]],$R$2:$R$6,$U$2:$U$6)</f>
        <v>Health &amp; Fitness Awareness</v>
      </c>
    </row>
    <row r="100" spans="1:14" x14ac:dyDescent="0.3">
      <c r="A100" t="s">
        <v>123</v>
      </c>
      <c r="B100" t="s">
        <v>28</v>
      </c>
      <c r="C100" s="1">
        <v>45475</v>
      </c>
      <c r="D100" t="s">
        <v>22</v>
      </c>
      <c r="E100" t="s">
        <v>23</v>
      </c>
      <c r="F100" s="2">
        <v>12320</v>
      </c>
      <c r="G100" s="2">
        <v>1157</v>
      </c>
      <c r="H100" s="2">
        <v>365</v>
      </c>
      <c r="I100" s="2">
        <v>584</v>
      </c>
      <c r="J100" s="2">
        <v>66634</v>
      </c>
      <c r="K100" s="2">
        <v>210102</v>
      </c>
      <c r="L100" s="4">
        <v>6.5882285746922897E-2</v>
      </c>
      <c r="M100" t="s">
        <v>17</v>
      </c>
      <c r="N100" s="25" t="str">
        <f>_xlfn.XLOOKUP(Table4__2_1_1_138[[#This Row],[Campaign]],$R$2:$R$6,$U$2:$U$6)</f>
        <v>Product Launch</v>
      </c>
    </row>
    <row r="101" spans="1:14" x14ac:dyDescent="0.3">
      <c r="A101" t="s">
        <v>124</v>
      </c>
      <c r="B101" t="s">
        <v>10</v>
      </c>
      <c r="C101" s="1">
        <v>45925</v>
      </c>
      <c r="D101" t="s">
        <v>2</v>
      </c>
      <c r="E101" t="s">
        <v>20</v>
      </c>
      <c r="F101" s="2">
        <v>20564</v>
      </c>
      <c r="G101" s="2">
        <v>1433</v>
      </c>
      <c r="H101" s="2">
        <v>488</v>
      </c>
      <c r="I101" s="2">
        <v>1015</v>
      </c>
      <c r="J101" s="2">
        <v>24333</v>
      </c>
      <c r="K101" s="2">
        <v>172130</v>
      </c>
      <c r="L101" s="4">
        <v>0.13062801371056801</v>
      </c>
      <c r="M101" t="s">
        <v>8</v>
      </c>
      <c r="N101" s="25" t="str">
        <f>_xlfn.XLOOKUP(Table4__2_1_1_138[[#This Row],[Campaign]],$R$2:$R$6,$U$2:$U$6)</f>
        <v>Brand Engagement</v>
      </c>
    </row>
    <row r="102" spans="1:14" x14ac:dyDescent="0.3">
      <c r="A102" t="s">
        <v>125</v>
      </c>
      <c r="B102" t="s">
        <v>1</v>
      </c>
      <c r="C102" s="1">
        <v>45583</v>
      </c>
      <c r="D102" t="s">
        <v>22</v>
      </c>
      <c r="E102" t="s">
        <v>7</v>
      </c>
      <c r="F102" s="2">
        <v>6892</v>
      </c>
      <c r="G102" s="2">
        <v>1184</v>
      </c>
      <c r="H102" s="2">
        <v>925</v>
      </c>
      <c r="I102" s="2">
        <v>1062</v>
      </c>
      <c r="J102" s="2">
        <v>75008</v>
      </c>
      <c r="K102" s="2">
        <v>116260</v>
      </c>
      <c r="L102" s="4">
        <v>7.7421297092723204E-2</v>
      </c>
      <c r="M102" t="s">
        <v>33</v>
      </c>
      <c r="N102" s="25" t="str">
        <f>_xlfn.XLOOKUP(Table4__2_1_1_138[[#This Row],[Campaign]],$R$2:$R$6,$U$2:$U$6)</f>
        <v>Product Promotion</v>
      </c>
    </row>
    <row r="103" spans="1:14" x14ac:dyDescent="0.3">
      <c r="A103" t="s">
        <v>126</v>
      </c>
      <c r="B103" t="s">
        <v>28</v>
      </c>
      <c r="C103" s="1">
        <v>45926</v>
      </c>
      <c r="D103" t="s">
        <v>22</v>
      </c>
      <c r="E103" t="s">
        <v>20</v>
      </c>
      <c r="F103" s="2">
        <v>9043</v>
      </c>
      <c r="G103" s="2">
        <v>1192</v>
      </c>
      <c r="H103" s="2">
        <v>810</v>
      </c>
      <c r="I103" s="2">
        <v>1550</v>
      </c>
      <c r="J103" s="2">
        <v>5221</v>
      </c>
      <c r="K103" s="2">
        <v>199476</v>
      </c>
      <c r="L103" s="4">
        <v>5.53700695823056E-2</v>
      </c>
      <c r="M103" t="s">
        <v>8</v>
      </c>
      <c r="N103" s="25" t="str">
        <f>_xlfn.XLOOKUP(Table4__2_1_1_138[[#This Row],[Campaign]],$R$2:$R$6,$U$2:$U$6)</f>
        <v>Brand Engagement</v>
      </c>
    </row>
    <row r="104" spans="1:14" x14ac:dyDescent="0.3">
      <c r="A104" t="s">
        <v>127</v>
      </c>
      <c r="B104" t="s">
        <v>28</v>
      </c>
      <c r="C104" s="1">
        <v>45927</v>
      </c>
      <c r="D104" t="s">
        <v>11</v>
      </c>
      <c r="E104" t="s">
        <v>7</v>
      </c>
      <c r="F104" s="2">
        <v>18521</v>
      </c>
      <c r="G104" s="2">
        <v>1027</v>
      </c>
      <c r="H104" s="2">
        <v>230</v>
      </c>
      <c r="I104" s="2">
        <v>1247</v>
      </c>
      <c r="J104" s="2">
        <v>39588</v>
      </c>
      <c r="K104" s="2">
        <v>200928</v>
      </c>
      <c r="L104" s="4">
        <v>9.8433269628921793E-2</v>
      </c>
      <c r="M104" t="s">
        <v>8</v>
      </c>
      <c r="N104" s="25" t="str">
        <f>_xlfn.XLOOKUP(Table4__2_1_1_138[[#This Row],[Campaign]],$R$2:$R$6,$U$2:$U$6)</f>
        <v>Brand Engagement</v>
      </c>
    </row>
    <row r="105" spans="1:14" x14ac:dyDescent="0.3">
      <c r="A105" t="s">
        <v>128</v>
      </c>
      <c r="B105" t="s">
        <v>6</v>
      </c>
      <c r="C105" s="1">
        <v>45739</v>
      </c>
      <c r="D105" t="s">
        <v>2</v>
      </c>
      <c r="E105" t="s">
        <v>12</v>
      </c>
      <c r="F105" s="2">
        <v>24711</v>
      </c>
      <c r="G105" s="2">
        <v>882</v>
      </c>
      <c r="H105" s="2">
        <v>876</v>
      </c>
      <c r="I105" s="2">
        <v>2728</v>
      </c>
      <c r="J105" s="2">
        <v>32015</v>
      </c>
      <c r="K105" s="2">
        <v>180272</v>
      </c>
      <c r="L105" s="4">
        <v>0.14682812638679299</v>
      </c>
      <c r="M105" t="s">
        <v>17</v>
      </c>
      <c r="N105" s="25" t="str">
        <f>_xlfn.XLOOKUP(Table4__2_1_1_138[[#This Row],[Campaign]],$R$2:$R$6,$U$2:$U$6)</f>
        <v>Product Launch</v>
      </c>
    </row>
    <row r="106" spans="1:14" x14ac:dyDescent="0.3">
      <c r="A106" t="s">
        <v>129</v>
      </c>
      <c r="B106" t="s">
        <v>28</v>
      </c>
      <c r="C106" s="1">
        <v>45457</v>
      </c>
      <c r="D106" t="s">
        <v>22</v>
      </c>
      <c r="E106" t="s">
        <v>29</v>
      </c>
      <c r="F106" s="2">
        <v>21856</v>
      </c>
      <c r="G106" s="2">
        <v>1203</v>
      </c>
      <c r="H106" s="2">
        <v>634</v>
      </c>
      <c r="I106" s="2">
        <v>2807</v>
      </c>
      <c r="J106" s="2">
        <v>3647</v>
      </c>
      <c r="K106" s="2">
        <v>104178</v>
      </c>
      <c r="L106" s="4">
        <v>0.22742805582752601</v>
      </c>
      <c r="M106" t="s">
        <v>17</v>
      </c>
      <c r="N106" s="25" t="str">
        <f>_xlfn.XLOOKUP(Table4__2_1_1_138[[#This Row],[Campaign]],$R$2:$R$6,$U$2:$U$6)</f>
        <v>Product Launch</v>
      </c>
    </row>
    <row r="107" spans="1:14" x14ac:dyDescent="0.3">
      <c r="A107" t="s">
        <v>130</v>
      </c>
      <c r="B107" t="s">
        <v>28</v>
      </c>
      <c r="C107" s="1">
        <v>45692</v>
      </c>
      <c r="D107" t="s">
        <v>22</v>
      </c>
      <c r="E107" t="s">
        <v>25</v>
      </c>
      <c r="F107" s="2">
        <v>23833</v>
      </c>
      <c r="G107" s="2">
        <v>555</v>
      </c>
      <c r="H107" s="2">
        <v>523</v>
      </c>
      <c r="I107" s="2">
        <v>1330</v>
      </c>
      <c r="J107" s="2">
        <v>69141</v>
      </c>
      <c r="K107" s="2">
        <v>73997</v>
      </c>
      <c r="L107" s="4">
        <v>0.33664878305877299</v>
      </c>
      <c r="M107" t="s">
        <v>17</v>
      </c>
      <c r="N107" s="25" t="str">
        <f>_xlfn.XLOOKUP(Table4__2_1_1_138[[#This Row],[Campaign]],$R$2:$R$6,$U$2:$U$6)</f>
        <v>Product Launch</v>
      </c>
    </row>
    <row r="108" spans="1:14" x14ac:dyDescent="0.3">
      <c r="A108" t="s">
        <v>131</v>
      </c>
      <c r="B108" t="s">
        <v>28</v>
      </c>
      <c r="C108" s="1">
        <v>45464</v>
      </c>
      <c r="D108" t="s">
        <v>15</v>
      </c>
      <c r="E108" t="s">
        <v>16</v>
      </c>
      <c r="F108" s="2">
        <v>21216</v>
      </c>
      <c r="G108" s="2">
        <v>1207</v>
      </c>
      <c r="H108" s="2">
        <v>859</v>
      </c>
      <c r="I108" s="2">
        <v>328</v>
      </c>
      <c r="J108" s="2">
        <v>91296</v>
      </c>
      <c r="K108" s="2">
        <v>196683</v>
      </c>
      <c r="L108" s="4">
        <v>0.118373219851233</v>
      </c>
      <c r="M108" t="s">
        <v>13</v>
      </c>
      <c r="N108" s="25" t="str">
        <f>_xlfn.XLOOKUP(Table4__2_1_1_138[[#This Row],[Campaign]],$R$2:$R$6,$U$2:$U$6)</f>
        <v>Sustainability Branding</v>
      </c>
    </row>
    <row r="109" spans="1:14" x14ac:dyDescent="0.3">
      <c r="A109" t="s">
        <v>132</v>
      </c>
      <c r="B109" t="s">
        <v>6</v>
      </c>
      <c r="C109" s="1">
        <v>45928</v>
      </c>
      <c r="D109" t="s">
        <v>22</v>
      </c>
      <c r="E109" t="s">
        <v>25</v>
      </c>
      <c r="F109" s="2">
        <v>21963</v>
      </c>
      <c r="G109" s="2">
        <v>1356</v>
      </c>
      <c r="H109" s="2">
        <v>349</v>
      </c>
      <c r="I109" s="2">
        <v>1206</v>
      </c>
      <c r="J109" s="2">
        <v>51755</v>
      </c>
      <c r="K109" s="2">
        <v>159273</v>
      </c>
      <c r="L109" s="4">
        <v>0.14860020216860401</v>
      </c>
      <c r="M109" t="s">
        <v>8</v>
      </c>
      <c r="N109" s="25" t="str">
        <f>_xlfn.XLOOKUP(Table4__2_1_1_138[[#This Row],[Campaign]],$R$2:$R$6,$U$2:$U$6)</f>
        <v>Brand Engagement</v>
      </c>
    </row>
    <row r="110" spans="1:14" x14ac:dyDescent="0.3">
      <c r="A110" t="s">
        <v>133</v>
      </c>
      <c r="B110" t="s">
        <v>28</v>
      </c>
      <c r="C110" s="1">
        <v>45512</v>
      </c>
      <c r="D110" t="s">
        <v>22</v>
      </c>
      <c r="E110" t="s">
        <v>25</v>
      </c>
      <c r="F110" s="2">
        <v>24355</v>
      </c>
      <c r="G110" s="2">
        <v>1087</v>
      </c>
      <c r="H110" s="2">
        <v>686</v>
      </c>
      <c r="I110" s="2">
        <v>2426</v>
      </c>
      <c r="J110" s="2">
        <v>24963</v>
      </c>
      <c r="K110" s="2">
        <v>212307</v>
      </c>
      <c r="L110" s="4">
        <v>0.123067067972323</v>
      </c>
      <c r="M110" t="s">
        <v>4</v>
      </c>
      <c r="N110" s="25" t="str">
        <f>_xlfn.XLOOKUP(Table4__2_1_1_138[[#This Row],[Campaign]],$R$2:$R$6,$U$2:$U$6)</f>
        <v>Health &amp; Fitness Awareness</v>
      </c>
    </row>
    <row r="111" spans="1:14" x14ac:dyDescent="0.3">
      <c r="A111" t="s">
        <v>134</v>
      </c>
      <c r="B111" t="s">
        <v>1</v>
      </c>
      <c r="C111" s="1">
        <v>45502</v>
      </c>
      <c r="D111" t="s">
        <v>15</v>
      </c>
      <c r="E111" t="s">
        <v>25</v>
      </c>
      <c r="F111" s="2">
        <v>6164</v>
      </c>
      <c r="G111" s="2">
        <v>326</v>
      </c>
      <c r="H111" s="2">
        <v>615</v>
      </c>
      <c r="I111" s="2">
        <v>2806</v>
      </c>
      <c r="J111" s="2">
        <v>38579</v>
      </c>
      <c r="K111" s="2">
        <v>206129</v>
      </c>
      <c r="L111" s="4">
        <v>3.4468706489625398E-2</v>
      </c>
      <c r="M111" t="s">
        <v>33</v>
      </c>
      <c r="N111" s="25" t="str">
        <f>_xlfn.XLOOKUP(Table4__2_1_1_138[[#This Row],[Campaign]],$R$2:$R$6,$U$2:$U$6)</f>
        <v>Product Promotion</v>
      </c>
    </row>
    <row r="112" spans="1:14" x14ac:dyDescent="0.3">
      <c r="A112" t="s">
        <v>135</v>
      </c>
      <c r="B112" t="s">
        <v>6</v>
      </c>
      <c r="C112" s="1">
        <v>45619</v>
      </c>
      <c r="D112" t="s">
        <v>11</v>
      </c>
      <c r="E112" t="s">
        <v>20</v>
      </c>
      <c r="F112" s="2">
        <v>9941</v>
      </c>
      <c r="G112" s="2">
        <v>1329</v>
      </c>
      <c r="H112" s="2">
        <v>238</v>
      </c>
      <c r="I112" s="2">
        <v>869</v>
      </c>
      <c r="J112" s="2">
        <v>40281</v>
      </c>
      <c r="K112" s="2">
        <v>172311</v>
      </c>
      <c r="L112" s="4">
        <v>6.6786217943137702E-2</v>
      </c>
      <c r="M112" t="s">
        <v>13</v>
      </c>
      <c r="N112" s="25" t="str">
        <f>_xlfn.XLOOKUP(Table4__2_1_1_138[[#This Row],[Campaign]],$R$2:$R$6,$U$2:$U$6)</f>
        <v>Sustainability Branding</v>
      </c>
    </row>
    <row r="113" spans="1:14" x14ac:dyDescent="0.3">
      <c r="A113" t="s">
        <v>136</v>
      </c>
      <c r="B113" t="s">
        <v>1</v>
      </c>
      <c r="C113" s="1">
        <v>45570</v>
      </c>
      <c r="D113" t="s">
        <v>22</v>
      </c>
      <c r="E113" t="s">
        <v>7</v>
      </c>
      <c r="F113" s="2">
        <v>16388</v>
      </c>
      <c r="G113" s="2">
        <v>1208</v>
      </c>
      <c r="H113" s="2">
        <v>417</v>
      </c>
      <c r="I113" s="2">
        <v>2306</v>
      </c>
      <c r="J113" s="2">
        <v>16865</v>
      </c>
      <c r="K113" s="2">
        <v>236733</v>
      </c>
      <c r="L113" s="4">
        <v>7.6089940988370894E-2</v>
      </c>
      <c r="M113" t="s">
        <v>4</v>
      </c>
      <c r="N113" s="25" t="str">
        <f>_xlfn.XLOOKUP(Table4__2_1_1_138[[#This Row],[Campaign]],$R$2:$R$6,$U$2:$U$6)</f>
        <v>Health &amp; Fitness Awareness</v>
      </c>
    </row>
    <row r="114" spans="1:14" x14ac:dyDescent="0.3">
      <c r="A114" t="s">
        <v>137</v>
      </c>
      <c r="B114" t="s">
        <v>6</v>
      </c>
      <c r="C114" s="1">
        <v>45929</v>
      </c>
      <c r="D114" t="s">
        <v>15</v>
      </c>
      <c r="E114" t="s">
        <v>43</v>
      </c>
      <c r="F114" s="2">
        <v>7569</v>
      </c>
      <c r="G114" s="2">
        <v>803</v>
      </c>
      <c r="H114" s="2">
        <v>804</v>
      </c>
      <c r="I114" s="2">
        <v>1753</v>
      </c>
      <c r="J114" s="2">
        <v>43582</v>
      </c>
      <c r="K114" s="2">
        <v>166945</v>
      </c>
      <c r="L114" s="4">
        <v>5.4964209769684601E-2</v>
      </c>
      <c r="M114" t="s">
        <v>8</v>
      </c>
      <c r="N114" s="25" t="str">
        <f>_xlfn.XLOOKUP(Table4__2_1_1_138[[#This Row],[Campaign]],$R$2:$R$6,$U$2:$U$6)</f>
        <v>Brand Engagement</v>
      </c>
    </row>
    <row r="115" spans="1:14" x14ac:dyDescent="0.3">
      <c r="A115" t="s">
        <v>138</v>
      </c>
      <c r="B115" t="s">
        <v>28</v>
      </c>
      <c r="C115" s="1">
        <v>45610</v>
      </c>
      <c r="D115" t="s">
        <v>2</v>
      </c>
      <c r="E115" t="s">
        <v>12</v>
      </c>
      <c r="F115" s="2">
        <v>6300</v>
      </c>
      <c r="G115" s="2">
        <v>1213</v>
      </c>
      <c r="H115" s="2">
        <v>720</v>
      </c>
      <c r="I115" s="2">
        <v>1037</v>
      </c>
      <c r="J115" s="2">
        <v>39569</v>
      </c>
      <c r="K115" s="2">
        <v>85272</v>
      </c>
      <c r="L115" s="4">
        <v>9.6549863964724605E-2</v>
      </c>
      <c r="M115" t="s">
        <v>17</v>
      </c>
      <c r="N115" s="25" t="str">
        <f>_xlfn.XLOOKUP(Table4__2_1_1_138[[#This Row],[Campaign]],$R$2:$R$6,$U$2:$U$6)</f>
        <v>Product Launch</v>
      </c>
    </row>
    <row r="116" spans="1:14" x14ac:dyDescent="0.3">
      <c r="A116" t="s">
        <v>139</v>
      </c>
      <c r="B116" t="s">
        <v>1</v>
      </c>
      <c r="C116" s="1">
        <v>45930</v>
      </c>
      <c r="D116" t="s">
        <v>11</v>
      </c>
      <c r="E116" t="s">
        <v>3</v>
      </c>
      <c r="F116" s="2">
        <v>8269</v>
      </c>
      <c r="G116" s="2">
        <v>250</v>
      </c>
      <c r="H116" s="2">
        <v>638</v>
      </c>
      <c r="I116" s="2">
        <v>815</v>
      </c>
      <c r="J116" s="2">
        <v>41991</v>
      </c>
      <c r="K116" s="2">
        <v>129393</v>
      </c>
      <c r="L116" s="4">
        <v>7.0768897853825202E-2</v>
      </c>
      <c r="M116" t="s">
        <v>8</v>
      </c>
      <c r="N116" s="25" t="str">
        <f>_xlfn.XLOOKUP(Table4__2_1_1_138[[#This Row],[Campaign]],$R$2:$R$6,$U$2:$U$6)</f>
        <v>Brand Engagement</v>
      </c>
    </row>
    <row r="117" spans="1:14" x14ac:dyDescent="0.3">
      <c r="A117" t="s">
        <v>140</v>
      </c>
      <c r="B117" t="s">
        <v>6</v>
      </c>
      <c r="C117" s="1">
        <v>45734</v>
      </c>
      <c r="D117" t="s">
        <v>2</v>
      </c>
      <c r="E117" t="s">
        <v>25</v>
      </c>
      <c r="F117" s="2">
        <v>5818</v>
      </c>
      <c r="G117" s="2">
        <v>1252</v>
      </c>
      <c r="H117" s="2">
        <v>687</v>
      </c>
      <c r="I117" s="2">
        <v>2300</v>
      </c>
      <c r="J117" s="2">
        <v>25081</v>
      </c>
      <c r="K117" s="2">
        <v>101212</v>
      </c>
      <c r="L117" s="4">
        <v>7.6641109749832001E-2</v>
      </c>
      <c r="M117" t="s">
        <v>33</v>
      </c>
      <c r="N117" s="25" t="str">
        <f>_xlfn.XLOOKUP(Table4__2_1_1_138[[#This Row],[Campaign]],$R$2:$R$6,$U$2:$U$6)</f>
        <v>Product Promotion</v>
      </c>
    </row>
    <row r="118" spans="1:14" x14ac:dyDescent="0.3">
      <c r="A118" t="s">
        <v>141</v>
      </c>
      <c r="B118" t="s">
        <v>10</v>
      </c>
      <c r="C118" s="1">
        <v>45600</v>
      </c>
      <c r="D118" t="s">
        <v>2</v>
      </c>
      <c r="E118" t="s">
        <v>38</v>
      </c>
      <c r="F118" s="2">
        <v>14015</v>
      </c>
      <c r="G118" s="2">
        <v>978</v>
      </c>
      <c r="H118" s="2">
        <v>196</v>
      </c>
      <c r="I118" s="2">
        <v>2744</v>
      </c>
      <c r="J118" s="2">
        <v>20190</v>
      </c>
      <c r="K118" s="2">
        <v>186470</v>
      </c>
      <c r="L118" s="4">
        <v>8.1455462004611998E-2</v>
      </c>
      <c r="M118" t="s">
        <v>13</v>
      </c>
      <c r="N118" s="25" t="str">
        <f>_xlfn.XLOOKUP(Table4__2_1_1_138[[#This Row],[Campaign]],$R$2:$R$6,$U$2:$U$6)</f>
        <v>Sustainability Branding</v>
      </c>
    </row>
    <row r="119" spans="1:14" x14ac:dyDescent="0.3">
      <c r="A119" t="s">
        <v>142</v>
      </c>
      <c r="B119" t="s">
        <v>28</v>
      </c>
      <c r="C119" s="1">
        <v>45600</v>
      </c>
      <c r="D119" t="s">
        <v>15</v>
      </c>
      <c r="E119" t="s">
        <v>20</v>
      </c>
      <c r="F119" s="2">
        <v>14234</v>
      </c>
      <c r="G119" s="2">
        <v>1013</v>
      </c>
      <c r="H119" s="2">
        <v>437</v>
      </c>
      <c r="I119" s="2">
        <v>338</v>
      </c>
      <c r="J119" s="2">
        <v>67754</v>
      </c>
      <c r="K119" s="2">
        <v>160030</v>
      </c>
      <c r="L119" s="4">
        <v>9.8006623758045405E-2</v>
      </c>
      <c r="M119" t="s">
        <v>13</v>
      </c>
      <c r="N119" s="25" t="str">
        <f>_xlfn.XLOOKUP(Table4__2_1_1_138[[#This Row],[Campaign]],$R$2:$R$6,$U$2:$U$6)</f>
        <v>Sustainability Branding</v>
      </c>
    </row>
    <row r="120" spans="1:14" x14ac:dyDescent="0.3">
      <c r="A120" t="s">
        <v>143</v>
      </c>
      <c r="B120" t="s">
        <v>6</v>
      </c>
      <c r="C120" s="1">
        <v>45695</v>
      </c>
      <c r="D120" t="s">
        <v>22</v>
      </c>
      <c r="E120" t="s">
        <v>103</v>
      </c>
      <c r="F120" s="2">
        <v>20290</v>
      </c>
      <c r="G120" s="2">
        <v>619</v>
      </c>
      <c r="H120" s="2">
        <v>927</v>
      </c>
      <c r="I120" s="2">
        <v>1186</v>
      </c>
      <c r="J120" s="2">
        <v>8924</v>
      </c>
      <c r="K120" s="2">
        <v>96503</v>
      </c>
      <c r="L120" s="4">
        <v>0.22627275835984401</v>
      </c>
      <c r="M120" t="s">
        <v>33</v>
      </c>
      <c r="N120" s="25" t="str">
        <f>_xlfn.XLOOKUP(Table4__2_1_1_138[[#This Row],[Campaign]],$R$2:$R$6,$U$2:$U$6)</f>
        <v>Product Promotion</v>
      </c>
    </row>
    <row r="121" spans="1:14" x14ac:dyDescent="0.3">
      <c r="A121" t="s">
        <v>144</v>
      </c>
      <c r="B121" t="s">
        <v>10</v>
      </c>
      <c r="C121" s="1">
        <v>45586</v>
      </c>
      <c r="D121" t="s">
        <v>15</v>
      </c>
      <c r="E121" t="s">
        <v>16</v>
      </c>
      <c r="F121" s="2">
        <v>8254</v>
      </c>
      <c r="G121" s="2">
        <v>1405</v>
      </c>
      <c r="H121" s="2">
        <v>165</v>
      </c>
      <c r="I121" s="2">
        <v>2504</v>
      </c>
      <c r="J121" s="2">
        <v>8081</v>
      </c>
      <c r="K121" s="2">
        <v>177710</v>
      </c>
      <c r="L121" s="4">
        <v>5.5281075910190797E-2</v>
      </c>
      <c r="M121" t="s">
        <v>4</v>
      </c>
      <c r="N121" s="25" t="str">
        <f>_xlfn.XLOOKUP(Table4__2_1_1_138[[#This Row],[Campaign]],$R$2:$R$6,$U$2:$U$6)</f>
        <v>Health &amp; Fitness Awareness</v>
      </c>
    </row>
    <row r="122" spans="1:14" x14ac:dyDescent="0.3">
      <c r="A122" t="s">
        <v>145</v>
      </c>
      <c r="B122" t="s">
        <v>6</v>
      </c>
      <c r="C122" s="1">
        <v>45502</v>
      </c>
      <c r="D122" t="s">
        <v>15</v>
      </c>
      <c r="E122" t="s">
        <v>3</v>
      </c>
      <c r="F122" s="2">
        <v>19144</v>
      </c>
      <c r="G122" s="2">
        <v>1182</v>
      </c>
      <c r="H122" s="2">
        <v>860</v>
      </c>
      <c r="I122" s="2">
        <v>1398</v>
      </c>
      <c r="J122" s="2">
        <v>4185</v>
      </c>
      <c r="K122" s="2">
        <v>46570</v>
      </c>
      <c r="L122" s="4">
        <v>0.454928065278076</v>
      </c>
      <c r="M122" t="s">
        <v>4</v>
      </c>
      <c r="N122" s="25" t="str">
        <f>_xlfn.XLOOKUP(Table4__2_1_1_138[[#This Row],[Campaign]],$R$2:$R$6,$U$2:$U$6)</f>
        <v>Health &amp; Fitness Awareness</v>
      </c>
    </row>
    <row r="123" spans="1:14" x14ac:dyDescent="0.3">
      <c r="A123" t="s">
        <v>146</v>
      </c>
      <c r="B123" t="s">
        <v>10</v>
      </c>
      <c r="C123" s="1">
        <v>45567</v>
      </c>
      <c r="D123" t="s">
        <v>15</v>
      </c>
      <c r="E123" t="s">
        <v>43</v>
      </c>
      <c r="F123" s="2">
        <v>9350</v>
      </c>
      <c r="G123" s="2">
        <v>1024</v>
      </c>
      <c r="H123" s="2">
        <v>550</v>
      </c>
      <c r="I123" s="2">
        <v>2123</v>
      </c>
      <c r="J123" s="2">
        <v>53916</v>
      </c>
      <c r="K123" s="2">
        <v>108785</v>
      </c>
      <c r="L123" s="4">
        <v>0.10041825619340899</v>
      </c>
      <c r="M123" t="s">
        <v>13</v>
      </c>
      <c r="N123" s="25" t="str">
        <f>_xlfn.XLOOKUP(Table4__2_1_1_138[[#This Row],[Campaign]],$R$2:$R$6,$U$2:$U$6)</f>
        <v>Sustainability Branding</v>
      </c>
    </row>
    <row r="124" spans="1:14" x14ac:dyDescent="0.3">
      <c r="A124" t="s">
        <v>147</v>
      </c>
      <c r="B124" t="s">
        <v>28</v>
      </c>
      <c r="C124" s="1">
        <v>45457</v>
      </c>
      <c r="D124" t="s">
        <v>15</v>
      </c>
      <c r="E124" t="s">
        <v>38</v>
      </c>
      <c r="F124" s="2">
        <v>17183</v>
      </c>
      <c r="G124" s="2">
        <v>1224</v>
      </c>
      <c r="H124" s="2">
        <v>943</v>
      </c>
      <c r="I124" s="2">
        <v>2010</v>
      </c>
      <c r="J124" s="2">
        <v>21481</v>
      </c>
      <c r="K124" s="2">
        <v>49110</v>
      </c>
      <c r="L124" s="4">
        <v>0.39401343921808202</v>
      </c>
      <c r="M124" t="s">
        <v>13</v>
      </c>
      <c r="N124" s="25" t="str">
        <f>_xlfn.XLOOKUP(Table4__2_1_1_138[[#This Row],[Campaign]],$R$2:$R$6,$U$2:$U$6)</f>
        <v>Sustainability Branding</v>
      </c>
    </row>
    <row r="125" spans="1:14" x14ac:dyDescent="0.3">
      <c r="A125" t="s">
        <v>148</v>
      </c>
      <c r="B125" t="s">
        <v>1</v>
      </c>
      <c r="C125" s="1">
        <v>45753</v>
      </c>
      <c r="D125" t="s">
        <v>11</v>
      </c>
      <c r="E125" t="s">
        <v>43</v>
      </c>
      <c r="F125" s="2">
        <v>8238</v>
      </c>
      <c r="G125" s="2">
        <v>766</v>
      </c>
      <c r="H125" s="2">
        <v>235</v>
      </c>
      <c r="I125" s="2">
        <v>1273</v>
      </c>
      <c r="J125" s="2">
        <v>4706</v>
      </c>
      <c r="K125" s="2">
        <v>119141</v>
      </c>
      <c r="L125" s="4">
        <v>7.7546772311798601E-2</v>
      </c>
      <c r="M125" t="s">
        <v>17</v>
      </c>
      <c r="N125" s="25" t="str">
        <f>_xlfn.XLOOKUP(Table4__2_1_1_138[[#This Row],[Campaign]],$R$2:$R$6,$U$2:$U$6)</f>
        <v>Product Launch</v>
      </c>
    </row>
    <row r="126" spans="1:14" x14ac:dyDescent="0.3">
      <c r="A126" t="s">
        <v>149</v>
      </c>
      <c r="B126" t="s">
        <v>10</v>
      </c>
      <c r="C126" s="1">
        <v>45543</v>
      </c>
      <c r="D126" t="s">
        <v>22</v>
      </c>
      <c r="E126" t="s">
        <v>3</v>
      </c>
      <c r="F126" s="2">
        <v>8090</v>
      </c>
      <c r="G126" s="2">
        <v>570</v>
      </c>
      <c r="H126" s="2">
        <v>399</v>
      </c>
      <c r="I126" s="2">
        <v>1862</v>
      </c>
      <c r="J126" s="2">
        <v>34088</v>
      </c>
      <c r="K126" s="2">
        <v>52115</v>
      </c>
      <c r="L126" s="4">
        <v>0.173827113115226</v>
      </c>
      <c r="M126" t="s">
        <v>4</v>
      </c>
      <c r="N126" s="25" t="str">
        <f>_xlfn.XLOOKUP(Table4__2_1_1_138[[#This Row],[Campaign]],$R$2:$R$6,$U$2:$U$6)</f>
        <v>Health &amp; Fitness Awareness</v>
      </c>
    </row>
    <row r="127" spans="1:14" x14ac:dyDescent="0.3">
      <c r="A127" t="s">
        <v>150</v>
      </c>
      <c r="B127" t="s">
        <v>6</v>
      </c>
      <c r="C127" s="1">
        <v>45744</v>
      </c>
      <c r="D127" t="s">
        <v>2</v>
      </c>
      <c r="E127" t="s">
        <v>25</v>
      </c>
      <c r="F127" s="2">
        <v>13637</v>
      </c>
      <c r="G127" s="2">
        <v>1135</v>
      </c>
      <c r="H127" s="2">
        <v>540</v>
      </c>
      <c r="I127" s="2">
        <v>1288</v>
      </c>
      <c r="J127" s="2">
        <v>45183</v>
      </c>
      <c r="K127" s="2">
        <v>79062</v>
      </c>
      <c r="L127" s="4">
        <v>0.193670790012901</v>
      </c>
      <c r="M127" t="s">
        <v>33</v>
      </c>
      <c r="N127" s="25" t="str">
        <f>_xlfn.XLOOKUP(Table4__2_1_1_138[[#This Row],[Campaign]],$R$2:$R$6,$U$2:$U$6)</f>
        <v>Product Promotion</v>
      </c>
    </row>
    <row r="128" spans="1:14" x14ac:dyDescent="0.3">
      <c r="A128" t="s">
        <v>151</v>
      </c>
      <c r="B128" t="s">
        <v>28</v>
      </c>
      <c r="C128" s="1">
        <v>45684</v>
      </c>
      <c r="D128" t="s">
        <v>2</v>
      </c>
      <c r="E128" t="s">
        <v>38</v>
      </c>
      <c r="F128" s="2">
        <v>24415</v>
      </c>
      <c r="G128" s="2">
        <v>860</v>
      </c>
      <c r="H128" s="2">
        <v>931</v>
      </c>
      <c r="I128" s="2">
        <v>320</v>
      </c>
      <c r="J128" s="2">
        <v>65049</v>
      </c>
      <c r="K128" s="2">
        <v>62911</v>
      </c>
      <c r="L128" s="4">
        <v>0.41655672298961999</v>
      </c>
      <c r="M128" t="s">
        <v>4</v>
      </c>
      <c r="N128" s="25" t="str">
        <f>_xlfn.XLOOKUP(Table4__2_1_1_138[[#This Row],[Campaign]],$R$2:$R$6,$U$2:$U$6)</f>
        <v>Health &amp; Fitness Awareness</v>
      </c>
    </row>
    <row r="129" spans="1:14" x14ac:dyDescent="0.3">
      <c r="A129" t="s">
        <v>152</v>
      </c>
      <c r="B129" t="s">
        <v>10</v>
      </c>
      <c r="C129" s="1">
        <v>45667</v>
      </c>
      <c r="D129" t="s">
        <v>22</v>
      </c>
      <c r="E129" t="s">
        <v>43</v>
      </c>
      <c r="F129" s="2">
        <v>14647</v>
      </c>
      <c r="G129" s="2">
        <v>1168</v>
      </c>
      <c r="H129" s="2">
        <v>484</v>
      </c>
      <c r="I129" s="2">
        <v>2650</v>
      </c>
      <c r="J129" s="2">
        <v>27217</v>
      </c>
      <c r="K129" s="2">
        <v>144061</v>
      </c>
      <c r="L129" s="4">
        <v>0.113139572819847</v>
      </c>
      <c r="M129" t="s">
        <v>17</v>
      </c>
      <c r="N129" s="25" t="str">
        <f>_xlfn.XLOOKUP(Table4__2_1_1_138[[#This Row],[Campaign]],$R$2:$R$6,$U$2:$U$6)</f>
        <v>Product Launch</v>
      </c>
    </row>
    <row r="130" spans="1:14" x14ac:dyDescent="0.3">
      <c r="A130" t="s">
        <v>153</v>
      </c>
      <c r="B130" t="s">
        <v>6</v>
      </c>
      <c r="C130" s="1">
        <v>45494</v>
      </c>
      <c r="D130" t="s">
        <v>2</v>
      </c>
      <c r="E130" t="s">
        <v>16</v>
      </c>
      <c r="F130" s="2">
        <v>11911</v>
      </c>
      <c r="G130" s="2">
        <v>1360</v>
      </c>
      <c r="H130" s="2">
        <v>778</v>
      </c>
      <c r="I130" s="2">
        <v>1168</v>
      </c>
      <c r="J130" s="2">
        <v>16483</v>
      </c>
      <c r="K130" s="2">
        <v>72556</v>
      </c>
      <c r="L130" s="4">
        <v>0.19362974805667299</v>
      </c>
      <c r="M130" t="s">
        <v>13</v>
      </c>
      <c r="N130" s="25" t="str">
        <f>_xlfn.XLOOKUP(Table4__2_1_1_138[[#This Row],[Campaign]],$R$2:$R$6,$U$2:$U$6)</f>
        <v>Sustainability Branding</v>
      </c>
    </row>
    <row r="131" spans="1:14" x14ac:dyDescent="0.3">
      <c r="A131" t="s">
        <v>154</v>
      </c>
      <c r="B131" t="s">
        <v>6</v>
      </c>
      <c r="C131" s="1">
        <v>45564</v>
      </c>
      <c r="D131" t="s">
        <v>22</v>
      </c>
      <c r="E131" t="s">
        <v>7</v>
      </c>
      <c r="F131" s="2">
        <v>10472</v>
      </c>
      <c r="G131" s="2">
        <v>401</v>
      </c>
      <c r="H131" s="2">
        <v>668</v>
      </c>
      <c r="I131" s="2">
        <v>383</v>
      </c>
      <c r="J131" s="2">
        <v>37571</v>
      </c>
      <c r="K131" s="2">
        <v>249203</v>
      </c>
      <c r="L131" s="4">
        <v>4.6311641513143903E-2</v>
      </c>
      <c r="M131" t="s">
        <v>13</v>
      </c>
      <c r="N131" s="25" t="str">
        <f>_xlfn.XLOOKUP(Table4__2_1_1_138[[#This Row],[Campaign]],$R$2:$R$6,$U$2:$U$6)</f>
        <v>Sustainability Branding</v>
      </c>
    </row>
    <row r="132" spans="1:14" x14ac:dyDescent="0.3">
      <c r="A132" t="s">
        <v>155</v>
      </c>
      <c r="B132" t="s">
        <v>6</v>
      </c>
      <c r="C132" s="1">
        <v>45586</v>
      </c>
      <c r="D132" t="s">
        <v>2</v>
      </c>
      <c r="E132" t="s">
        <v>29</v>
      </c>
      <c r="F132" s="2">
        <v>20271</v>
      </c>
      <c r="G132" s="2">
        <v>512</v>
      </c>
      <c r="H132" s="2">
        <v>286</v>
      </c>
      <c r="I132" s="2">
        <v>1982</v>
      </c>
      <c r="J132" s="2">
        <v>43225</v>
      </c>
      <c r="K132" s="2">
        <v>168335</v>
      </c>
      <c r="L132" s="4">
        <v>0.125161137018445</v>
      </c>
      <c r="M132" t="s">
        <v>17</v>
      </c>
      <c r="N132" s="25" t="str">
        <f>_xlfn.XLOOKUP(Table4__2_1_1_138[[#This Row],[Campaign]],$R$2:$R$6,$U$2:$U$6)</f>
        <v>Product Launch</v>
      </c>
    </row>
    <row r="133" spans="1:14" x14ac:dyDescent="0.3">
      <c r="A133" t="s">
        <v>156</v>
      </c>
      <c r="B133" t="s">
        <v>10</v>
      </c>
      <c r="C133" s="1">
        <v>45720</v>
      </c>
      <c r="D133" t="s">
        <v>15</v>
      </c>
      <c r="E133" t="s">
        <v>7</v>
      </c>
      <c r="F133" s="2">
        <v>5266</v>
      </c>
      <c r="G133" s="2">
        <v>316</v>
      </c>
      <c r="H133" s="2">
        <v>837</v>
      </c>
      <c r="I133" s="2">
        <v>2276</v>
      </c>
      <c r="J133" s="2">
        <v>20967</v>
      </c>
      <c r="K133" s="2">
        <v>41969</v>
      </c>
      <c r="L133" s="4">
        <v>0.15294622221163201</v>
      </c>
      <c r="M133" t="s">
        <v>33</v>
      </c>
      <c r="N133" s="25" t="str">
        <f>_xlfn.XLOOKUP(Table4__2_1_1_138[[#This Row],[Campaign]],$R$2:$R$6,$U$2:$U$6)</f>
        <v>Product Promotion</v>
      </c>
    </row>
    <row r="134" spans="1:14" x14ac:dyDescent="0.3">
      <c r="A134" t="s">
        <v>157</v>
      </c>
      <c r="B134" t="s">
        <v>10</v>
      </c>
      <c r="C134" s="1">
        <v>45694</v>
      </c>
      <c r="D134" t="s">
        <v>2</v>
      </c>
      <c r="E134" t="s">
        <v>3</v>
      </c>
      <c r="F134" s="2">
        <v>2666</v>
      </c>
      <c r="G134" s="2">
        <v>1136</v>
      </c>
      <c r="H134" s="2">
        <v>989</v>
      </c>
      <c r="I134" s="2">
        <v>1710</v>
      </c>
      <c r="J134" s="2">
        <v>36467</v>
      </c>
      <c r="K134" s="2">
        <v>83753</v>
      </c>
      <c r="L134" s="4">
        <v>5.7203921053574198E-2</v>
      </c>
      <c r="M134" t="s">
        <v>13</v>
      </c>
      <c r="N134" s="25" t="str">
        <f>_xlfn.XLOOKUP(Table4__2_1_1_138[[#This Row],[Campaign]],$R$2:$R$6,$U$2:$U$6)</f>
        <v>Sustainability Branding</v>
      </c>
    </row>
    <row r="135" spans="1:14" x14ac:dyDescent="0.3">
      <c r="A135" t="s">
        <v>158</v>
      </c>
      <c r="B135" t="s">
        <v>10</v>
      </c>
      <c r="C135" s="1">
        <v>45931</v>
      </c>
      <c r="D135" t="s">
        <v>22</v>
      </c>
      <c r="E135" t="s">
        <v>20</v>
      </c>
      <c r="F135" s="2">
        <v>6188</v>
      </c>
      <c r="G135" s="2">
        <v>774</v>
      </c>
      <c r="H135" s="2">
        <v>647</v>
      </c>
      <c r="I135" s="2">
        <v>1830</v>
      </c>
      <c r="J135" s="2">
        <v>55436</v>
      </c>
      <c r="K135" s="2">
        <v>175542</v>
      </c>
      <c r="L135" s="4">
        <v>4.3345752013763103E-2</v>
      </c>
      <c r="M135" t="s">
        <v>8</v>
      </c>
      <c r="N135" s="25" t="str">
        <f>_xlfn.XLOOKUP(Table4__2_1_1_138[[#This Row],[Campaign]],$R$2:$R$6,$U$2:$U$6)</f>
        <v>Brand Engagement</v>
      </c>
    </row>
    <row r="136" spans="1:14" x14ac:dyDescent="0.3">
      <c r="A136" t="s">
        <v>159</v>
      </c>
      <c r="B136" t="s">
        <v>1</v>
      </c>
      <c r="C136" s="1">
        <v>45624</v>
      </c>
      <c r="D136" t="s">
        <v>22</v>
      </c>
      <c r="E136" t="s">
        <v>29</v>
      </c>
      <c r="F136" s="2">
        <v>19055</v>
      </c>
      <c r="G136" s="2">
        <v>443</v>
      </c>
      <c r="H136" s="2">
        <v>976</v>
      </c>
      <c r="I136" s="2">
        <v>869</v>
      </c>
      <c r="J136" s="2">
        <v>75437</v>
      </c>
      <c r="K136" s="2">
        <v>161863</v>
      </c>
      <c r="L136" s="4">
        <v>0.12648968572187599</v>
      </c>
      <c r="M136" t="s">
        <v>13</v>
      </c>
      <c r="N136" s="25" t="str">
        <f>_xlfn.XLOOKUP(Table4__2_1_1_138[[#This Row],[Campaign]],$R$2:$R$6,$U$2:$U$6)</f>
        <v>Sustainability Branding</v>
      </c>
    </row>
    <row r="137" spans="1:14" x14ac:dyDescent="0.3">
      <c r="A137" t="s">
        <v>160</v>
      </c>
      <c r="B137" t="s">
        <v>10</v>
      </c>
      <c r="C137" s="1">
        <v>45932</v>
      </c>
      <c r="D137" t="s">
        <v>22</v>
      </c>
      <c r="E137" t="s">
        <v>12</v>
      </c>
      <c r="F137" s="2">
        <v>12161</v>
      </c>
      <c r="G137" s="2">
        <v>736</v>
      </c>
      <c r="H137" s="2">
        <v>876</v>
      </c>
      <c r="I137" s="2">
        <v>1233</v>
      </c>
      <c r="J137" s="2">
        <v>21337</v>
      </c>
      <c r="K137" s="2">
        <v>50225</v>
      </c>
      <c r="L137" s="4">
        <v>0.27422598307615698</v>
      </c>
      <c r="M137" t="s">
        <v>8</v>
      </c>
      <c r="N137" s="25" t="str">
        <f>_xlfn.XLOOKUP(Table4__2_1_1_138[[#This Row],[Campaign]],$R$2:$R$6,$U$2:$U$6)</f>
        <v>Brand Engagement</v>
      </c>
    </row>
    <row r="138" spans="1:14" x14ac:dyDescent="0.3">
      <c r="A138" t="s">
        <v>161</v>
      </c>
      <c r="B138" t="s">
        <v>10</v>
      </c>
      <c r="C138" s="1">
        <v>45504</v>
      </c>
      <c r="D138" t="s">
        <v>22</v>
      </c>
      <c r="E138" t="s">
        <v>16</v>
      </c>
      <c r="F138" s="2">
        <v>13314</v>
      </c>
      <c r="G138" s="2">
        <v>274</v>
      </c>
      <c r="H138" s="2">
        <v>626</v>
      </c>
      <c r="I138" s="2">
        <v>2280</v>
      </c>
      <c r="J138" s="2">
        <v>14639</v>
      </c>
      <c r="K138" s="2">
        <v>163008</v>
      </c>
      <c r="L138" s="4">
        <v>8.7198174322732594E-2</v>
      </c>
      <c r="M138" t="s">
        <v>17</v>
      </c>
      <c r="N138" s="25" t="str">
        <f>_xlfn.XLOOKUP(Table4__2_1_1_138[[#This Row],[Campaign]],$R$2:$R$6,$U$2:$U$6)</f>
        <v>Product Launch</v>
      </c>
    </row>
    <row r="139" spans="1:14" x14ac:dyDescent="0.3">
      <c r="A139" t="s">
        <v>162</v>
      </c>
      <c r="B139" t="s">
        <v>10</v>
      </c>
      <c r="C139" s="1">
        <v>45745</v>
      </c>
      <c r="D139" t="s">
        <v>22</v>
      </c>
      <c r="E139" t="s">
        <v>12</v>
      </c>
      <c r="F139" s="2">
        <v>23508</v>
      </c>
      <c r="G139" s="2">
        <v>585</v>
      </c>
      <c r="H139" s="2">
        <v>743</v>
      </c>
      <c r="I139" s="2">
        <v>2155</v>
      </c>
      <c r="J139" s="2">
        <v>3704</v>
      </c>
      <c r="K139" s="2">
        <v>194268</v>
      </c>
      <c r="L139" s="4">
        <v>0.12784400930673101</v>
      </c>
      <c r="M139" t="s">
        <v>17</v>
      </c>
      <c r="N139" s="25" t="str">
        <f>_xlfn.XLOOKUP(Table4__2_1_1_138[[#This Row],[Campaign]],$R$2:$R$6,$U$2:$U$6)</f>
        <v>Product Launch</v>
      </c>
    </row>
    <row r="140" spans="1:14" x14ac:dyDescent="0.3">
      <c r="A140" t="s">
        <v>163</v>
      </c>
      <c r="B140" t="s">
        <v>1</v>
      </c>
      <c r="C140" s="1">
        <v>45594</v>
      </c>
      <c r="D140" t="s">
        <v>11</v>
      </c>
      <c r="E140" t="s">
        <v>38</v>
      </c>
      <c r="F140" s="2">
        <v>23969</v>
      </c>
      <c r="G140" s="2">
        <v>1433</v>
      </c>
      <c r="H140" s="2">
        <v>372</v>
      </c>
      <c r="I140" s="2">
        <v>1092</v>
      </c>
      <c r="J140" s="2">
        <v>32147</v>
      </c>
      <c r="K140" s="2">
        <v>145823</v>
      </c>
      <c r="L140" s="4">
        <v>0.17674852389540699</v>
      </c>
      <c r="M140" t="s">
        <v>13</v>
      </c>
      <c r="N140" s="25" t="str">
        <f>_xlfn.XLOOKUP(Table4__2_1_1_138[[#This Row],[Campaign]],$R$2:$R$6,$U$2:$U$6)</f>
        <v>Sustainability Branding</v>
      </c>
    </row>
    <row r="141" spans="1:14" x14ac:dyDescent="0.3">
      <c r="A141" t="s">
        <v>164</v>
      </c>
      <c r="B141" t="s">
        <v>10</v>
      </c>
      <c r="C141" s="1">
        <v>45488</v>
      </c>
      <c r="D141" t="s">
        <v>11</v>
      </c>
      <c r="E141" t="s">
        <v>23</v>
      </c>
      <c r="F141" s="2">
        <v>14891</v>
      </c>
      <c r="G141" s="2">
        <v>674</v>
      </c>
      <c r="H141" s="2">
        <v>521</v>
      </c>
      <c r="I141" s="2">
        <v>1091</v>
      </c>
      <c r="J141" s="2">
        <v>18101</v>
      </c>
      <c r="K141" s="2">
        <v>53669</v>
      </c>
      <c r="L141" s="4">
        <v>0.29972609886526702</v>
      </c>
      <c r="M141" t="s">
        <v>4</v>
      </c>
      <c r="N141" s="25" t="str">
        <f>_xlfn.XLOOKUP(Table4__2_1_1_138[[#This Row],[Campaign]],$R$2:$R$6,$U$2:$U$6)</f>
        <v>Health &amp; Fitness Awareness</v>
      </c>
    </row>
    <row r="142" spans="1:14" x14ac:dyDescent="0.3">
      <c r="A142" t="s">
        <v>165</v>
      </c>
      <c r="B142" t="s">
        <v>6</v>
      </c>
      <c r="C142" s="1">
        <v>45933</v>
      </c>
      <c r="D142" t="s">
        <v>2</v>
      </c>
      <c r="E142" t="s">
        <v>29</v>
      </c>
      <c r="F142" s="2">
        <v>6777</v>
      </c>
      <c r="G142" s="2">
        <v>617</v>
      </c>
      <c r="H142" s="2">
        <v>551</v>
      </c>
      <c r="I142" s="2">
        <v>2109</v>
      </c>
      <c r="J142" s="2">
        <v>18559</v>
      </c>
      <c r="K142" s="2">
        <v>208452</v>
      </c>
      <c r="L142" s="4">
        <v>3.81142901003588E-2</v>
      </c>
      <c r="M142" t="s">
        <v>8</v>
      </c>
      <c r="N142" s="25" t="str">
        <f>_xlfn.XLOOKUP(Table4__2_1_1_138[[#This Row],[Campaign]],$R$2:$R$6,$U$2:$U$6)</f>
        <v>Brand Engagement</v>
      </c>
    </row>
    <row r="143" spans="1:14" x14ac:dyDescent="0.3">
      <c r="A143" t="s">
        <v>166</v>
      </c>
      <c r="B143" t="s">
        <v>10</v>
      </c>
      <c r="C143" s="1">
        <v>45741</v>
      </c>
      <c r="D143" t="s">
        <v>22</v>
      </c>
      <c r="E143" t="s">
        <v>12</v>
      </c>
      <c r="F143" s="2">
        <v>5900</v>
      </c>
      <c r="G143" s="2">
        <v>546</v>
      </c>
      <c r="H143" s="2">
        <v>592</v>
      </c>
      <c r="I143" s="2">
        <v>1594</v>
      </c>
      <c r="J143" s="2">
        <v>38627</v>
      </c>
      <c r="K143" s="2">
        <v>164398</v>
      </c>
      <c r="L143" s="4">
        <v>4.2810739790021798E-2</v>
      </c>
      <c r="M143" t="s">
        <v>33</v>
      </c>
      <c r="N143" s="25" t="str">
        <f>_xlfn.XLOOKUP(Table4__2_1_1_138[[#This Row],[Campaign]],$R$2:$R$6,$U$2:$U$6)</f>
        <v>Product Promotion</v>
      </c>
    </row>
    <row r="144" spans="1:14" x14ac:dyDescent="0.3">
      <c r="A144" t="s">
        <v>167</v>
      </c>
      <c r="B144" t="s">
        <v>6</v>
      </c>
      <c r="C144" s="1">
        <v>45567</v>
      </c>
      <c r="D144" t="s">
        <v>2</v>
      </c>
      <c r="E144" t="s">
        <v>12</v>
      </c>
      <c r="F144" s="2">
        <v>15716</v>
      </c>
      <c r="G144" s="2">
        <v>839</v>
      </c>
      <c r="H144" s="2">
        <v>639</v>
      </c>
      <c r="I144" s="2">
        <v>2839</v>
      </c>
      <c r="J144" s="2">
        <v>349</v>
      </c>
      <c r="K144" s="2">
        <v>150677</v>
      </c>
      <c r="L144" s="4">
        <v>0.114111642785561</v>
      </c>
      <c r="M144" t="s">
        <v>13</v>
      </c>
      <c r="N144" s="25" t="str">
        <f>_xlfn.XLOOKUP(Table4__2_1_1_138[[#This Row],[Campaign]],$R$2:$R$6,$U$2:$U$6)</f>
        <v>Sustainability Branding</v>
      </c>
    </row>
    <row r="145" spans="1:14" x14ac:dyDescent="0.3">
      <c r="A145" t="s">
        <v>168</v>
      </c>
      <c r="B145" t="s">
        <v>6</v>
      </c>
      <c r="C145" s="1">
        <v>45593</v>
      </c>
      <c r="D145" t="s">
        <v>22</v>
      </c>
      <c r="E145" t="s">
        <v>43</v>
      </c>
      <c r="F145" s="2">
        <v>8981</v>
      </c>
      <c r="G145" s="2">
        <v>1138</v>
      </c>
      <c r="H145" s="2">
        <v>764</v>
      </c>
      <c r="I145" s="2">
        <v>2555</v>
      </c>
      <c r="J145" s="2">
        <v>92810</v>
      </c>
      <c r="K145" s="2">
        <v>88320</v>
      </c>
      <c r="L145" s="4">
        <v>0.123222373188406</v>
      </c>
      <c r="M145" t="s">
        <v>33</v>
      </c>
      <c r="N145" s="25" t="str">
        <f>_xlfn.XLOOKUP(Table4__2_1_1_138[[#This Row],[Campaign]],$R$2:$R$6,$U$2:$U$6)</f>
        <v>Product Promotion</v>
      </c>
    </row>
    <row r="146" spans="1:14" x14ac:dyDescent="0.3">
      <c r="A146" t="s">
        <v>169</v>
      </c>
      <c r="B146" t="s">
        <v>6</v>
      </c>
      <c r="C146" s="1">
        <v>45516</v>
      </c>
      <c r="D146" t="s">
        <v>22</v>
      </c>
      <c r="E146" t="s">
        <v>7</v>
      </c>
      <c r="F146" s="2">
        <v>8376</v>
      </c>
      <c r="G146" s="2">
        <v>1154</v>
      </c>
      <c r="H146" s="2">
        <v>422</v>
      </c>
      <c r="I146" s="2">
        <v>1907</v>
      </c>
      <c r="J146" s="2">
        <v>36874</v>
      </c>
      <c r="K146" s="2">
        <v>218486</v>
      </c>
      <c r="L146" s="4">
        <v>4.5549829279679203E-2</v>
      </c>
      <c r="M146" t="s">
        <v>13</v>
      </c>
      <c r="N146" s="25" t="str">
        <f>_xlfn.XLOOKUP(Table4__2_1_1_138[[#This Row],[Campaign]],$R$2:$R$6,$U$2:$U$6)</f>
        <v>Sustainability Branding</v>
      </c>
    </row>
    <row r="147" spans="1:14" x14ac:dyDescent="0.3">
      <c r="A147" t="s">
        <v>170</v>
      </c>
      <c r="B147" t="s">
        <v>1</v>
      </c>
      <c r="C147" s="1">
        <v>45448</v>
      </c>
      <c r="D147" t="s">
        <v>11</v>
      </c>
      <c r="E147" t="s">
        <v>43</v>
      </c>
      <c r="F147" s="2">
        <v>18907</v>
      </c>
      <c r="G147" s="2">
        <v>1075</v>
      </c>
      <c r="H147" s="2">
        <v>675</v>
      </c>
      <c r="I147" s="2">
        <v>1383</v>
      </c>
      <c r="J147" s="2">
        <v>17875</v>
      </c>
      <c r="K147" s="2">
        <v>186649</v>
      </c>
      <c r="L147" s="4">
        <v>0.110672974406506</v>
      </c>
      <c r="M147" t="s">
        <v>4</v>
      </c>
      <c r="N147" s="25" t="str">
        <f>_xlfn.XLOOKUP(Table4__2_1_1_138[[#This Row],[Campaign]],$R$2:$R$6,$U$2:$U$6)</f>
        <v>Health &amp; Fitness Awareness</v>
      </c>
    </row>
    <row r="148" spans="1:14" x14ac:dyDescent="0.3">
      <c r="A148" t="s">
        <v>171</v>
      </c>
      <c r="B148" t="s">
        <v>1</v>
      </c>
      <c r="C148" s="1">
        <v>45586</v>
      </c>
      <c r="D148" t="s">
        <v>11</v>
      </c>
      <c r="E148" t="s">
        <v>29</v>
      </c>
      <c r="F148" s="2">
        <v>20777</v>
      </c>
      <c r="G148" s="2">
        <v>962</v>
      </c>
      <c r="H148" s="2">
        <v>308</v>
      </c>
      <c r="I148" s="2">
        <v>2777</v>
      </c>
      <c r="J148" s="2">
        <v>25529</v>
      </c>
      <c r="K148" s="2">
        <v>165354</v>
      </c>
      <c r="L148" s="4">
        <v>0.13333212380710499</v>
      </c>
      <c r="M148" t="s">
        <v>4</v>
      </c>
      <c r="N148" s="25" t="str">
        <f>_xlfn.XLOOKUP(Table4__2_1_1_138[[#This Row],[Campaign]],$R$2:$R$6,$U$2:$U$6)</f>
        <v>Health &amp; Fitness Awareness</v>
      </c>
    </row>
    <row r="149" spans="1:14" x14ac:dyDescent="0.3">
      <c r="A149" t="s">
        <v>172</v>
      </c>
      <c r="B149" t="s">
        <v>1</v>
      </c>
      <c r="C149" s="1">
        <v>45762</v>
      </c>
      <c r="D149" t="s">
        <v>15</v>
      </c>
      <c r="E149" t="s">
        <v>29</v>
      </c>
      <c r="F149" s="2">
        <v>20977</v>
      </c>
      <c r="G149" s="2">
        <v>1402</v>
      </c>
      <c r="H149" s="2">
        <v>301</v>
      </c>
      <c r="I149" s="2">
        <v>1284</v>
      </c>
      <c r="J149" s="2">
        <v>24620</v>
      </c>
      <c r="K149" s="2">
        <v>128009</v>
      </c>
      <c r="L149" s="4">
        <v>0.177175042379833</v>
      </c>
      <c r="M149" t="s">
        <v>4</v>
      </c>
      <c r="N149" s="25" t="str">
        <f>_xlfn.XLOOKUP(Table4__2_1_1_138[[#This Row],[Campaign]],$R$2:$R$6,$U$2:$U$6)</f>
        <v>Health &amp; Fitness Awareness</v>
      </c>
    </row>
    <row r="150" spans="1:14" x14ac:dyDescent="0.3">
      <c r="A150" t="s">
        <v>173</v>
      </c>
      <c r="B150" t="s">
        <v>10</v>
      </c>
      <c r="C150" s="1">
        <v>45459</v>
      </c>
      <c r="D150" t="s">
        <v>11</v>
      </c>
      <c r="E150" t="s">
        <v>3</v>
      </c>
      <c r="F150" s="2">
        <v>12160</v>
      </c>
      <c r="G150" s="2">
        <v>1405</v>
      </c>
      <c r="H150" s="2">
        <v>769</v>
      </c>
      <c r="I150" s="2">
        <v>1980</v>
      </c>
      <c r="J150" s="2">
        <v>33174</v>
      </c>
      <c r="K150" s="2">
        <v>226481</v>
      </c>
      <c r="L150" s="4">
        <v>6.3290077313328696E-2</v>
      </c>
      <c r="M150" t="s">
        <v>4</v>
      </c>
      <c r="N150" s="25" t="str">
        <f>_xlfn.XLOOKUP(Table4__2_1_1_138[[#This Row],[Campaign]],$R$2:$R$6,$U$2:$U$6)</f>
        <v>Health &amp; Fitness Awareness</v>
      </c>
    </row>
    <row r="151" spans="1:14" x14ac:dyDescent="0.3">
      <c r="A151" t="s">
        <v>174</v>
      </c>
      <c r="B151" t="s">
        <v>6</v>
      </c>
      <c r="C151" s="1">
        <v>45526</v>
      </c>
      <c r="D151" t="s">
        <v>15</v>
      </c>
      <c r="E151" t="s">
        <v>43</v>
      </c>
      <c r="F151" s="2">
        <v>16124</v>
      </c>
      <c r="G151" s="2">
        <v>863</v>
      </c>
      <c r="H151" s="2">
        <v>337</v>
      </c>
      <c r="I151" s="2">
        <v>819</v>
      </c>
      <c r="J151" s="2">
        <v>85788</v>
      </c>
      <c r="K151" s="2">
        <v>68625</v>
      </c>
      <c r="L151" s="4">
        <v>0.25244444444444403</v>
      </c>
      <c r="M151" t="s">
        <v>17</v>
      </c>
      <c r="N151" s="25" t="str">
        <f>_xlfn.XLOOKUP(Table4__2_1_1_138[[#This Row],[Campaign]],$R$2:$R$6,$U$2:$U$6)</f>
        <v>Product Launch</v>
      </c>
    </row>
    <row r="152" spans="1:14" x14ac:dyDescent="0.3">
      <c r="A152" t="s">
        <v>175</v>
      </c>
      <c r="B152" t="s">
        <v>1</v>
      </c>
      <c r="C152" s="1">
        <v>45499</v>
      </c>
      <c r="D152" t="s">
        <v>15</v>
      </c>
      <c r="E152" t="s">
        <v>52</v>
      </c>
      <c r="F152" s="2">
        <v>18282</v>
      </c>
      <c r="G152" s="2">
        <v>224</v>
      </c>
      <c r="H152" s="2">
        <v>962</v>
      </c>
      <c r="I152" s="2">
        <v>890</v>
      </c>
      <c r="J152" s="2">
        <v>35105</v>
      </c>
      <c r="K152" s="2">
        <v>64089</v>
      </c>
      <c r="L152" s="4">
        <v>0.30376507669022801</v>
      </c>
      <c r="M152" t="s">
        <v>17</v>
      </c>
      <c r="N152" s="25" t="str">
        <f>_xlfn.XLOOKUP(Table4__2_1_1_138[[#This Row],[Campaign]],$R$2:$R$6,$U$2:$U$6)</f>
        <v>Product Launch</v>
      </c>
    </row>
    <row r="153" spans="1:14" x14ac:dyDescent="0.3">
      <c r="A153" t="s">
        <v>176</v>
      </c>
      <c r="B153" t="s">
        <v>1</v>
      </c>
      <c r="C153" s="1">
        <v>45934</v>
      </c>
      <c r="D153" t="s">
        <v>15</v>
      </c>
      <c r="E153" t="s">
        <v>103</v>
      </c>
      <c r="F153" s="2">
        <v>12488</v>
      </c>
      <c r="G153" s="2">
        <v>1403</v>
      </c>
      <c r="H153" s="2">
        <v>247</v>
      </c>
      <c r="I153" s="2">
        <v>1350</v>
      </c>
      <c r="J153" s="2">
        <v>28370</v>
      </c>
      <c r="K153" s="2">
        <v>76487</v>
      </c>
      <c r="L153" s="4">
        <v>0.184841868552826</v>
      </c>
      <c r="M153" t="s">
        <v>8</v>
      </c>
      <c r="N153" s="25" t="str">
        <f>_xlfn.XLOOKUP(Table4__2_1_1_138[[#This Row],[Campaign]],$R$2:$R$6,$U$2:$U$6)</f>
        <v>Brand Engagement</v>
      </c>
    </row>
    <row r="154" spans="1:14" x14ac:dyDescent="0.3">
      <c r="A154" t="s">
        <v>177</v>
      </c>
      <c r="B154" t="s">
        <v>10</v>
      </c>
      <c r="C154" s="1">
        <v>45658</v>
      </c>
      <c r="D154" t="s">
        <v>15</v>
      </c>
      <c r="E154" t="s">
        <v>7</v>
      </c>
      <c r="F154" s="2">
        <v>24574</v>
      </c>
      <c r="G154" s="2">
        <v>909</v>
      </c>
      <c r="H154" s="2">
        <v>280</v>
      </c>
      <c r="I154" s="2">
        <v>2009</v>
      </c>
      <c r="J154" s="2">
        <v>6221</v>
      </c>
      <c r="K154" s="2">
        <v>236910</v>
      </c>
      <c r="L154" s="4">
        <v>0.108745937275759</v>
      </c>
      <c r="M154" t="s">
        <v>33</v>
      </c>
      <c r="N154" s="25" t="str">
        <f>_xlfn.XLOOKUP(Table4__2_1_1_138[[#This Row],[Campaign]],$R$2:$R$6,$U$2:$U$6)</f>
        <v>Product Promotion</v>
      </c>
    </row>
    <row r="155" spans="1:14" x14ac:dyDescent="0.3">
      <c r="A155" t="s">
        <v>178</v>
      </c>
      <c r="B155" t="s">
        <v>1</v>
      </c>
      <c r="C155" s="1">
        <v>45574</v>
      </c>
      <c r="D155" t="s">
        <v>15</v>
      </c>
      <c r="E155" t="s">
        <v>29</v>
      </c>
      <c r="F155" s="2">
        <v>7240</v>
      </c>
      <c r="G155" s="2">
        <v>1384</v>
      </c>
      <c r="H155" s="2">
        <v>954</v>
      </c>
      <c r="I155" s="2">
        <v>2335</v>
      </c>
      <c r="J155" s="2">
        <v>6757</v>
      </c>
      <c r="K155" s="2">
        <v>150448</v>
      </c>
      <c r="L155" s="4">
        <v>6.3663192598107002E-2</v>
      </c>
      <c r="M155" t="s">
        <v>13</v>
      </c>
      <c r="N155" s="25" t="str">
        <f>_xlfn.XLOOKUP(Table4__2_1_1_138[[#This Row],[Campaign]],$R$2:$R$6,$U$2:$U$6)</f>
        <v>Sustainability Branding</v>
      </c>
    </row>
    <row r="156" spans="1:14" x14ac:dyDescent="0.3">
      <c r="A156" t="s">
        <v>179</v>
      </c>
      <c r="B156" t="s">
        <v>10</v>
      </c>
      <c r="C156" s="1">
        <v>45647</v>
      </c>
      <c r="D156" t="s">
        <v>2</v>
      </c>
      <c r="E156" t="s">
        <v>3</v>
      </c>
      <c r="F156" s="2">
        <v>12453</v>
      </c>
      <c r="G156" s="2">
        <v>376</v>
      </c>
      <c r="H156" s="2">
        <v>320</v>
      </c>
      <c r="I156" s="2">
        <v>2546</v>
      </c>
      <c r="J156" s="2">
        <v>22617</v>
      </c>
      <c r="K156" s="2">
        <v>90138</v>
      </c>
      <c r="L156" s="4">
        <v>0.14587632297144401</v>
      </c>
      <c r="M156" t="s">
        <v>13</v>
      </c>
      <c r="N156" s="25" t="str">
        <f>_xlfn.XLOOKUP(Table4__2_1_1_138[[#This Row],[Campaign]],$R$2:$R$6,$U$2:$U$6)</f>
        <v>Sustainability Branding</v>
      </c>
    </row>
    <row r="157" spans="1:14" x14ac:dyDescent="0.3">
      <c r="A157" t="s">
        <v>180</v>
      </c>
      <c r="B157" t="s">
        <v>28</v>
      </c>
      <c r="C157" s="1">
        <v>45587</v>
      </c>
      <c r="D157" t="s">
        <v>11</v>
      </c>
      <c r="E157" t="s">
        <v>23</v>
      </c>
      <c r="F157" s="2">
        <v>12478</v>
      </c>
      <c r="G157" s="2">
        <v>484</v>
      </c>
      <c r="H157" s="2">
        <v>332</v>
      </c>
      <c r="I157" s="2">
        <v>2734</v>
      </c>
      <c r="J157" s="2">
        <v>43338</v>
      </c>
      <c r="K157" s="2">
        <v>213895</v>
      </c>
      <c r="L157" s="4">
        <v>6.2151990462610197E-2</v>
      </c>
      <c r="M157" t="s">
        <v>17</v>
      </c>
      <c r="N157" s="25" t="str">
        <f>_xlfn.XLOOKUP(Table4__2_1_1_138[[#This Row],[Campaign]],$R$2:$R$6,$U$2:$U$6)</f>
        <v>Product Launch</v>
      </c>
    </row>
    <row r="158" spans="1:14" x14ac:dyDescent="0.3">
      <c r="A158" t="s">
        <v>181</v>
      </c>
      <c r="B158" t="s">
        <v>1</v>
      </c>
      <c r="C158" s="1">
        <v>45496</v>
      </c>
      <c r="D158" t="s">
        <v>15</v>
      </c>
      <c r="E158" t="s">
        <v>43</v>
      </c>
      <c r="F158" s="2">
        <v>24877</v>
      </c>
      <c r="G158" s="2">
        <v>262</v>
      </c>
      <c r="H158" s="2">
        <v>513</v>
      </c>
      <c r="I158" s="2">
        <v>648</v>
      </c>
      <c r="J158" s="2">
        <v>47544</v>
      </c>
      <c r="K158" s="2">
        <v>208280</v>
      </c>
      <c r="L158" s="4">
        <v>0.12316112924908799</v>
      </c>
      <c r="M158" t="s">
        <v>13</v>
      </c>
      <c r="N158" s="25" t="str">
        <f>_xlfn.XLOOKUP(Table4__2_1_1_138[[#This Row],[Campaign]],$R$2:$R$6,$U$2:$U$6)</f>
        <v>Sustainability Branding</v>
      </c>
    </row>
    <row r="159" spans="1:14" x14ac:dyDescent="0.3">
      <c r="A159" t="s">
        <v>182</v>
      </c>
      <c r="B159" t="s">
        <v>28</v>
      </c>
      <c r="C159" s="1">
        <v>45515</v>
      </c>
      <c r="D159" t="s">
        <v>22</v>
      </c>
      <c r="E159" t="s">
        <v>7</v>
      </c>
      <c r="F159" s="2">
        <v>14394</v>
      </c>
      <c r="G159" s="2">
        <v>1202</v>
      </c>
      <c r="H159" s="2">
        <v>188</v>
      </c>
      <c r="I159" s="2">
        <v>1259</v>
      </c>
      <c r="J159" s="2">
        <v>21925</v>
      </c>
      <c r="K159" s="2">
        <v>94061</v>
      </c>
      <c r="L159" s="4">
        <v>0.16780599823518799</v>
      </c>
      <c r="M159" t="s">
        <v>17</v>
      </c>
      <c r="N159" s="25" t="str">
        <f>_xlfn.XLOOKUP(Table4__2_1_1_138[[#This Row],[Campaign]],$R$2:$R$6,$U$2:$U$6)</f>
        <v>Product Launch</v>
      </c>
    </row>
    <row r="160" spans="1:14" x14ac:dyDescent="0.3">
      <c r="A160" t="s">
        <v>183</v>
      </c>
      <c r="B160" t="s">
        <v>10</v>
      </c>
      <c r="C160" s="1">
        <v>45935</v>
      </c>
      <c r="D160" t="s">
        <v>11</v>
      </c>
      <c r="E160" t="s">
        <v>23</v>
      </c>
      <c r="F160" s="2">
        <v>21262</v>
      </c>
      <c r="G160" s="2">
        <v>861</v>
      </c>
      <c r="H160" s="2">
        <v>676</v>
      </c>
      <c r="I160" s="2">
        <v>2263</v>
      </c>
      <c r="J160" s="2">
        <v>12085</v>
      </c>
      <c r="K160" s="2">
        <v>201731</v>
      </c>
      <c r="L160" s="4">
        <v>0.113016839256237</v>
      </c>
      <c r="M160" t="s">
        <v>8</v>
      </c>
      <c r="N160" s="25" t="str">
        <f>_xlfn.XLOOKUP(Table4__2_1_1_138[[#This Row],[Campaign]],$R$2:$R$6,$U$2:$U$6)</f>
        <v>Brand Engagement</v>
      </c>
    </row>
    <row r="161" spans="1:14" x14ac:dyDescent="0.3">
      <c r="A161" t="s">
        <v>184</v>
      </c>
      <c r="B161" t="s">
        <v>6</v>
      </c>
      <c r="C161" s="1">
        <v>45528</v>
      </c>
      <c r="D161" t="s">
        <v>11</v>
      </c>
      <c r="E161" t="s">
        <v>43</v>
      </c>
      <c r="F161" s="2">
        <v>22527</v>
      </c>
      <c r="G161" s="2">
        <v>865</v>
      </c>
      <c r="H161" s="2">
        <v>646</v>
      </c>
      <c r="I161" s="2">
        <v>992</v>
      </c>
      <c r="J161" s="2">
        <v>18654</v>
      </c>
      <c r="K161" s="2">
        <v>141376</v>
      </c>
      <c r="L161" s="4">
        <v>0.170028859212313</v>
      </c>
      <c r="M161" t="s">
        <v>33</v>
      </c>
      <c r="N161" s="25" t="str">
        <f>_xlfn.XLOOKUP(Table4__2_1_1_138[[#This Row],[Campaign]],$R$2:$R$6,$U$2:$U$6)</f>
        <v>Product Promotion</v>
      </c>
    </row>
    <row r="162" spans="1:14" x14ac:dyDescent="0.3">
      <c r="A162" t="s">
        <v>185</v>
      </c>
      <c r="B162" t="s">
        <v>1</v>
      </c>
      <c r="C162" s="1">
        <v>45936</v>
      </c>
      <c r="D162" t="s">
        <v>15</v>
      </c>
      <c r="E162" t="s">
        <v>12</v>
      </c>
      <c r="F162" s="2">
        <v>22028</v>
      </c>
      <c r="G162" s="2">
        <v>355</v>
      </c>
      <c r="H162" s="2">
        <v>665</v>
      </c>
      <c r="I162" s="2">
        <v>1859</v>
      </c>
      <c r="J162" s="2">
        <v>50565</v>
      </c>
      <c r="K162" s="2">
        <v>202962</v>
      </c>
      <c r="L162" s="4">
        <v>0.11355820301337199</v>
      </c>
      <c r="M162" t="s">
        <v>8</v>
      </c>
      <c r="N162" s="25" t="str">
        <f>_xlfn.XLOOKUP(Table4__2_1_1_138[[#This Row],[Campaign]],$R$2:$R$6,$U$2:$U$6)</f>
        <v>Brand Engagement</v>
      </c>
    </row>
    <row r="163" spans="1:14" x14ac:dyDescent="0.3">
      <c r="A163" t="s">
        <v>186</v>
      </c>
      <c r="B163" t="s">
        <v>10</v>
      </c>
      <c r="C163" s="1">
        <v>45748</v>
      </c>
      <c r="D163" t="s">
        <v>2</v>
      </c>
      <c r="E163" t="s">
        <v>23</v>
      </c>
      <c r="F163" s="2">
        <v>6432</v>
      </c>
      <c r="G163" s="2">
        <v>1272</v>
      </c>
      <c r="H163" s="2">
        <v>498</v>
      </c>
      <c r="I163" s="2">
        <v>677</v>
      </c>
      <c r="J163" s="2">
        <v>47305</v>
      </c>
      <c r="K163" s="2">
        <v>119134</v>
      </c>
      <c r="L163" s="4">
        <v>6.8846844729464299E-2</v>
      </c>
      <c r="M163" t="s">
        <v>4</v>
      </c>
      <c r="N163" s="25" t="str">
        <f>_xlfn.XLOOKUP(Table4__2_1_1_138[[#This Row],[Campaign]],$R$2:$R$6,$U$2:$U$6)</f>
        <v>Health &amp; Fitness Awareness</v>
      </c>
    </row>
    <row r="164" spans="1:14" x14ac:dyDescent="0.3">
      <c r="A164" t="s">
        <v>187</v>
      </c>
      <c r="B164" t="s">
        <v>6</v>
      </c>
      <c r="C164" s="1">
        <v>45755</v>
      </c>
      <c r="D164" t="s">
        <v>15</v>
      </c>
      <c r="E164" t="s">
        <v>3</v>
      </c>
      <c r="F164" s="2">
        <v>15568</v>
      </c>
      <c r="G164" s="2">
        <v>1166</v>
      </c>
      <c r="H164" s="2">
        <v>546</v>
      </c>
      <c r="I164" s="2">
        <v>826</v>
      </c>
      <c r="J164" s="2">
        <v>21836</v>
      </c>
      <c r="K164" s="2">
        <v>87055</v>
      </c>
      <c r="L164" s="4">
        <v>0.19849520418126501</v>
      </c>
      <c r="M164" t="s">
        <v>4</v>
      </c>
      <c r="N164" s="25" t="str">
        <f>_xlfn.XLOOKUP(Table4__2_1_1_138[[#This Row],[Campaign]],$R$2:$R$6,$U$2:$U$6)</f>
        <v>Health &amp; Fitness Awareness</v>
      </c>
    </row>
    <row r="165" spans="1:14" x14ac:dyDescent="0.3">
      <c r="A165" t="s">
        <v>188</v>
      </c>
      <c r="B165" t="s">
        <v>6</v>
      </c>
      <c r="C165" s="1">
        <v>45715</v>
      </c>
      <c r="D165" t="s">
        <v>2</v>
      </c>
      <c r="E165" t="s">
        <v>7</v>
      </c>
      <c r="F165" s="2">
        <v>16178</v>
      </c>
      <c r="G165" s="2">
        <v>1048</v>
      </c>
      <c r="H165" s="2">
        <v>871</v>
      </c>
      <c r="I165" s="2">
        <v>2553</v>
      </c>
      <c r="J165" s="2">
        <v>39025</v>
      </c>
      <c r="K165" s="2">
        <v>59508</v>
      </c>
      <c r="L165" s="4">
        <v>0.30411037171472699</v>
      </c>
      <c r="M165" t="s">
        <v>4</v>
      </c>
      <c r="N165" s="25" t="str">
        <f>_xlfn.XLOOKUP(Table4__2_1_1_138[[#This Row],[Campaign]],$R$2:$R$6,$U$2:$U$6)</f>
        <v>Health &amp; Fitness Awareness</v>
      </c>
    </row>
    <row r="166" spans="1:14" x14ac:dyDescent="0.3">
      <c r="A166" t="s">
        <v>189</v>
      </c>
      <c r="B166" t="s">
        <v>28</v>
      </c>
      <c r="C166" s="1">
        <v>45937</v>
      </c>
      <c r="D166" t="s">
        <v>22</v>
      </c>
      <c r="E166" t="s">
        <v>25</v>
      </c>
      <c r="F166" s="2">
        <v>19660</v>
      </c>
      <c r="G166" s="2">
        <v>1307</v>
      </c>
      <c r="H166" s="2">
        <v>310</v>
      </c>
      <c r="I166" s="2">
        <v>2802</v>
      </c>
      <c r="J166" s="2">
        <v>22171</v>
      </c>
      <c r="K166" s="2">
        <v>213359</v>
      </c>
      <c r="L166" s="4">
        <v>9.9723939463533307E-2</v>
      </c>
      <c r="M166" t="s">
        <v>8</v>
      </c>
      <c r="N166" s="25" t="str">
        <f>_xlfn.XLOOKUP(Table4__2_1_1_138[[#This Row],[Campaign]],$R$2:$R$6,$U$2:$U$6)</f>
        <v>Brand Engagement</v>
      </c>
    </row>
    <row r="167" spans="1:14" x14ac:dyDescent="0.3">
      <c r="A167" t="s">
        <v>190</v>
      </c>
      <c r="B167" t="s">
        <v>10</v>
      </c>
      <c r="C167" s="1">
        <v>45704</v>
      </c>
      <c r="D167" t="s">
        <v>11</v>
      </c>
      <c r="E167" t="s">
        <v>38</v>
      </c>
      <c r="F167" s="2">
        <v>24195</v>
      </c>
      <c r="G167" s="2">
        <v>888</v>
      </c>
      <c r="H167" s="2">
        <v>165</v>
      </c>
      <c r="I167" s="2">
        <v>1559</v>
      </c>
      <c r="J167" s="2">
        <v>11596</v>
      </c>
      <c r="K167" s="2">
        <v>249988</v>
      </c>
      <c r="L167" s="4">
        <v>0.100996847848697</v>
      </c>
      <c r="M167" t="s">
        <v>13</v>
      </c>
      <c r="N167" s="25" t="str">
        <f>_xlfn.XLOOKUP(Table4__2_1_1_138[[#This Row],[Campaign]],$R$2:$R$6,$U$2:$U$6)</f>
        <v>Sustainability Branding</v>
      </c>
    </row>
    <row r="168" spans="1:14" x14ac:dyDescent="0.3">
      <c r="A168" t="s">
        <v>191</v>
      </c>
      <c r="B168" t="s">
        <v>6</v>
      </c>
      <c r="C168" s="1">
        <v>45624</v>
      </c>
      <c r="D168" t="s">
        <v>22</v>
      </c>
      <c r="E168" t="s">
        <v>38</v>
      </c>
      <c r="F168" s="2">
        <v>2302</v>
      </c>
      <c r="G168" s="2">
        <v>347</v>
      </c>
      <c r="H168" s="2">
        <v>642</v>
      </c>
      <c r="I168" s="2">
        <v>2175</v>
      </c>
      <c r="J168" s="2">
        <v>56378</v>
      </c>
      <c r="K168" s="2">
        <v>198056</v>
      </c>
      <c r="L168" s="4">
        <v>1.6616512501514701E-2</v>
      </c>
      <c r="M168" t="s">
        <v>33</v>
      </c>
      <c r="N168" s="25" t="str">
        <f>_xlfn.XLOOKUP(Table4__2_1_1_138[[#This Row],[Campaign]],$R$2:$R$6,$U$2:$U$6)</f>
        <v>Product Promotion</v>
      </c>
    </row>
    <row r="169" spans="1:14" x14ac:dyDescent="0.3">
      <c r="A169" t="s">
        <v>192</v>
      </c>
      <c r="B169" t="s">
        <v>1</v>
      </c>
      <c r="C169" s="1">
        <v>45608</v>
      </c>
      <c r="D169" t="s">
        <v>2</v>
      </c>
      <c r="E169" t="s">
        <v>7</v>
      </c>
      <c r="F169" s="2">
        <v>19022</v>
      </c>
      <c r="G169" s="2">
        <v>541</v>
      </c>
      <c r="H169" s="2">
        <v>575</v>
      </c>
      <c r="I169" s="2">
        <v>2063</v>
      </c>
      <c r="J169" s="2">
        <v>42743</v>
      </c>
      <c r="K169" s="2">
        <v>150169</v>
      </c>
      <c r="L169" s="4">
        <v>0.134102244804187</v>
      </c>
      <c r="M169" t="s">
        <v>4</v>
      </c>
      <c r="N169" s="25" t="str">
        <f>_xlfn.XLOOKUP(Table4__2_1_1_138[[#This Row],[Campaign]],$R$2:$R$6,$U$2:$U$6)</f>
        <v>Health &amp; Fitness Awareness</v>
      </c>
    </row>
    <row r="170" spans="1:14" x14ac:dyDescent="0.3">
      <c r="A170" t="s">
        <v>193</v>
      </c>
      <c r="B170" t="s">
        <v>1</v>
      </c>
      <c r="C170" s="1">
        <v>45629</v>
      </c>
      <c r="D170" t="s">
        <v>2</v>
      </c>
      <c r="E170" t="s">
        <v>23</v>
      </c>
      <c r="F170" s="2">
        <v>2055</v>
      </c>
      <c r="G170" s="2">
        <v>675</v>
      </c>
      <c r="H170" s="2">
        <v>257</v>
      </c>
      <c r="I170" s="2">
        <v>820</v>
      </c>
      <c r="J170" s="2">
        <v>33534</v>
      </c>
      <c r="K170" s="2">
        <v>48125</v>
      </c>
      <c r="L170" s="4">
        <v>6.20675324675325E-2</v>
      </c>
      <c r="M170" t="s">
        <v>4</v>
      </c>
      <c r="N170" s="25" t="str">
        <f>_xlfn.XLOOKUP(Table4__2_1_1_138[[#This Row],[Campaign]],$R$2:$R$6,$U$2:$U$6)</f>
        <v>Health &amp; Fitness Awareness</v>
      </c>
    </row>
    <row r="171" spans="1:14" x14ac:dyDescent="0.3">
      <c r="A171" t="s">
        <v>194</v>
      </c>
      <c r="B171" t="s">
        <v>28</v>
      </c>
      <c r="C171" s="1">
        <v>45775</v>
      </c>
      <c r="D171" t="s">
        <v>22</v>
      </c>
      <c r="E171" t="s">
        <v>43</v>
      </c>
      <c r="F171" s="2">
        <v>15013</v>
      </c>
      <c r="G171" s="2">
        <v>1286</v>
      </c>
      <c r="H171" s="2">
        <v>599</v>
      </c>
      <c r="I171" s="2">
        <v>2001</v>
      </c>
      <c r="J171" s="2">
        <v>67839</v>
      </c>
      <c r="K171" s="2">
        <v>76059</v>
      </c>
      <c r="L171" s="4">
        <v>0.22216963147030599</v>
      </c>
      <c r="M171" t="s">
        <v>4</v>
      </c>
      <c r="N171" s="25" t="str">
        <f>_xlfn.XLOOKUP(Table4__2_1_1_138[[#This Row],[Campaign]],$R$2:$R$6,$U$2:$U$6)</f>
        <v>Health &amp; Fitness Awareness</v>
      </c>
    </row>
    <row r="172" spans="1:14" x14ac:dyDescent="0.3">
      <c r="A172" t="s">
        <v>195</v>
      </c>
      <c r="B172" t="s">
        <v>6</v>
      </c>
      <c r="C172" s="1">
        <v>45657</v>
      </c>
      <c r="D172" t="s">
        <v>2</v>
      </c>
      <c r="E172" t="s">
        <v>3</v>
      </c>
      <c r="F172" s="2">
        <v>10717</v>
      </c>
      <c r="G172" s="2">
        <v>760</v>
      </c>
      <c r="H172" s="2">
        <v>460</v>
      </c>
      <c r="I172" s="2">
        <v>1316</v>
      </c>
      <c r="J172" s="2">
        <v>18164</v>
      </c>
      <c r="K172" s="2">
        <v>240641</v>
      </c>
      <c r="L172" s="4">
        <v>4.96050132770392E-2</v>
      </c>
      <c r="M172" t="s">
        <v>33</v>
      </c>
      <c r="N172" s="25" t="str">
        <f>_xlfn.XLOOKUP(Table4__2_1_1_138[[#This Row],[Campaign]],$R$2:$R$6,$U$2:$U$6)</f>
        <v>Product Promotion</v>
      </c>
    </row>
    <row r="173" spans="1:14" x14ac:dyDescent="0.3">
      <c r="A173" t="s">
        <v>196</v>
      </c>
      <c r="B173" t="s">
        <v>10</v>
      </c>
      <c r="C173" s="1">
        <v>45518</v>
      </c>
      <c r="D173" t="s">
        <v>22</v>
      </c>
      <c r="E173" t="s">
        <v>103</v>
      </c>
      <c r="F173" s="2">
        <v>10150</v>
      </c>
      <c r="G173" s="2">
        <v>526</v>
      </c>
      <c r="H173" s="2">
        <v>888</v>
      </c>
      <c r="I173" s="2">
        <v>1313</v>
      </c>
      <c r="J173" s="2">
        <v>51605</v>
      </c>
      <c r="K173" s="2">
        <v>143409</v>
      </c>
      <c r="L173" s="4">
        <v>8.0636501195880297E-2</v>
      </c>
      <c r="M173" t="s">
        <v>4</v>
      </c>
      <c r="N173" s="25" t="str">
        <f>_xlfn.XLOOKUP(Table4__2_1_1_138[[#This Row],[Campaign]],$R$2:$R$6,$U$2:$U$6)</f>
        <v>Health &amp; Fitness Awareness</v>
      </c>
    </row>
    <row r="174" spans="1:14" x14ac:dyDescent="0.3">
      <c r="A174" t="s">
        <v>197</v>
      </c>
      <c r="B174" t="s">
        <v>1</v>
      </c>
      <c r="C174" s="1">
        <v>45631</v>
      </c>
      <c r="D174" t="s">
        <v>11</v>
      </c>
      <c r="E174" t="s">
        <v>38</v>
      </c>
      <c r="F174" s="2">
        <v>4125</v>
      </c>
      <c r="G174" s="2">
        <v>1364</v>
      </c>
      <c r="H174" s="2">
        <v>319</v>
      </c>
      <c r="I174" s="2">
        <v>2848</v>
      </c>
      <c r="J174" s="2">
        <v>15379</v>
      </c>
      <c r="K174" s="2">
        <v>188159</v>
      </c>
      <c r="L174" s="4">
        <v>3.0867510988047301E-2</v>
      </c>
      <c r="M174" t="s">
        <v>33</v>
      </c>
      <c r="N174" s="25" t="str">
        <f>_xlfn.XLOOKUP(Table4__2_1_1_138[[#This Row],[Campaign]],$R$2:$R$6,$U$2:$U$6)</f>
        <v>Product Promotion</v>
      </c>
    </row>
    <row r="175" spans="1:14" x14ac:dyDescent="0.3">
      <c r="A175" t="s">
        <v>198</v>
      </c>
      <c r="B175" t="s">
        <v>6</v>
      </c>
      <c r="C175" s="1">
        <v>45465</v>
      </c>
      <c r="D175" t="s">
        <v>22</v>
      </c>
      <c r="E175" t="s">
        <v>3</v>
      </c>
      <c r="F175" s="2">
        <v>13479</v>
      </c>
      <c r="G175" s="2">
        <v>1189</v>
      </c>
      <c r="H175" s="2">
        <v>695</v>
      </c>
      <c r="I175" s="2">
        <v>416</v>
      </c>
      <c r="J175" s="2">
        <v>30229</v>
      </c>
      <c r="K175" s="2">
        <v>45704</v>
      </c>
      <c r="L175" s="4">
        <v>0.33614125678277601</v>
      </c>
      <c r="M175" t="s">
        <v>4</v>
      </c>
      <c r="N175" s="25" t="str">
        <f>_xlfn.XLOOKUP(Table4__2_1_1_138[[#This Row],[Campaign]],$R$2:$R$6,$U$2:$U$6)</f>
        <v>Health &amp; Fitness Awareness</v>
      </c>
    </row>
    <row r="176" spans="1:14" x14ac:dyDescent="0.3">
      <c r="A176" t="s">
        <v>199</v>
      </c>
      <c r="B176" t="s">
        <v>6</v>
      </c>
      <c r="C176" s="1">
        <v>45938</v>
      </c>
      <c r="D176" t="s">
        <v>11</v>
      </c>
      <c r="E176" t="s">
        <v>38</v>
      </c>
      <c r="F176" s="2">
        <v>17745</v>
      </c>
      <c r="G176" s="2">
        <v>414</v>
      </c>
      <c r="H176" s="2">
        <v>563</v>
      </c>
      <c r="I176" s="2">
        <v>2733</v>
      </c>
      <c r="J176" s="2">
        <v>995</v>
      </c>
      <c r="K176" s="2">
        <v>231648</v>
      </c>
      <c r="L176" s="4">
        <v>8.0820900676889101E-2</v>
      </c>
      <c r="M176" t="s">
        <v>8</v>
      </c>
      <c r="N176" s="25" t="str">
        <f>_xlfn.XLOOKUP(Table4__2_1_1_138[[#This Row],[Campaign]],$R$2:$R$6,$U$2:$U$6)</f>
        <v>Brand Engagement</v>
      </c>
    </row>
    <row r="177" spans="1:14" x14ac:dyDescent="0.3">
      <c r="A177" t="s">
        <v>200</v>
      </c>
      <c r="B177" t="s">
        <v>28</v>
      </c>
      <c r="C177" s="1">
        <v>45939</v>
      </c>
      <c r="D177" t="s">
        <v>22</v>
      </c>
      <c r="E177" t="s">
        <v>12</v>
      </c>
      <c r="F177" s="2">
        <v>18748</v>
      </c>
      <c r="G177" s="2">
        <v>634</v>
      </c>
      <c r="H177" s="2">
        <v>400</v>
      </c>
      <c r="I177" s="2">
        <v>1667</v>
      </c>
      <c r="J177" s="2">
        <v>75813</v>
      </c>
      <c r="K177" s="2">
        <v>244456</v>
      </c>
      <c r="L177" s="4">
        <v>8.0922538207284803E-2</v>
      </c>
      <c r="M177" t="s">
        <v>8</v>
      </c>
      <c r="N177" s="25" t="str">
        <f>_xlfn.XLOOKUP(Table4__2_1_1_138[[#This Row],[Campaign]],$R$2:$R$6,$U$2:$U$6)</f>
        <v>Brand Engagement</v>
      </c>
    </row>
    <row r="178" spans="1:14" x14ac:dyDescent="0.3">
      <c r="A178" t="s">
        <v>201</v>
      </c>
      <c r="B178" t="s">
        <v>1</v>
      </c>
      <c r="C178" s="1">
        <v>45483</v>
      </c>
      <c r="D178" t="s">
        <v>2</v>
      </c>
      <c r="E178" t="s">
        <v>43</v>
      </c>
      <c r="F178" s="2">
        <v>8809</v>
      </c>
      <c r="G178" s="2">
        <v>1151</v>
      </c>
      <c r="H178" s="2">
        <v>908</v>
      </c>
      <c r="I178" s="2">
        <v>883</v>
      </c>
      <c r="J178" s="2">
        <v>42921</v>
      </c>
      <c r="K178" s="2">
        <v>151279</v>
      </c>
      <c r="L178" s="4">
        <v>7.1840771025720701E-2</v>
      </c>
      <c r="M178" t="s">
        <v>33</v>
      </c>
      <c r="N178" s="25" t="str">
        <f>_xlfn.XLOOKUP(Table4__2_1_1_138[[#This Row],[Campaign]],$R$2:$R$6,$U$2:$U$6)</f>
        <v>Product Promotion</v>
      </c>
    </row>
    <row r="179" spans="1:14" x14ac:dyDescent="0.3">
      <c r="A179" t="s">
        <v>202</v>
      </c>
      <c r="B179" t="s">
        <v>1</v>
      </c>
      <c r="C179" s="1">
        <v>45940</v>
      </c>
      <c r="D179" t="s">
        <v>22</v>
      </c>
      <c r="E179" t="s">
        <v>12</v>
      </c>
      <c r="F179" s="2">
        <v>6621</v>
      </c>
      <c r="G179" s="2">
        <v>922</v>
      </c>
      <c r="H179" s="2">
        <v>930</v>
      </c>
      <c r="I179" s="2">
        <v>694</v>
      </c>
      <c r="J179" s="2">
        <v>839</v>
      </c>
      <c r="K179" s="2">
        <v>243532</v>
      </c>
      <c r="L179" s="4">
        <v>3.4792142305733999E-2</v>
      </c>
      <c r="M179" t="s">
        <v>8</v>
      </c>
      <c r="N179" s="25" t="str">
        <f>_xlfn.XLOOKUP(Table4__2_1_1_138[[#This Row],[Campaign]],$R$2:$R$6,$U$2:$U$6)</f>
        <v>Brand Engagement</v>
      </c>
    </row>
    <row r="180" spans="1:14" x14ac:dyDescent="0.3">
      <c r="A180" t="s">
        <v>203</v>
      </c>
      <c r="B180" t="s">
        <v>10</v>
      </c>
      <c r="C180" s="1">
        <v>45488</v>
      </c>
      <c r="D180" t="s">
        <v>2</v>
      </c>
      <c r="E180" t="s">
        <v>38</v>
      </c>
      <c r="F180" s="2">
        <v>17034</v>
      </c>
      <c r="G180" s="2">
        <v>231</v>
      </c>
      <c r="H180" s="2">
        <v>290</v>
      </c>
      <c r="I180" s="2">
        <v>1387</v>
      </c>
      <c r="J180" s="2">
        <v>63550</v>
      </c>
      <c r="K180" s="2">
        <v>198280</v>
      </c>
      <c r="L180" s="4">
        <v>8.8536413153116805E-2</v>
      </c>
      <c r="M180" t="s">
        <v>33</v>
      </c>
      <c r="N180" s="25" t="str">
        <f>_xlfn.XLOOKUP(Table4__2_1_1_138[[#This Row],[Campaign]],$R$2:$R$6,$U$2:$U$6)</f>
        <v>Product Promotion</v>
      </c>
    </row>
    <row r="181" spans="1:14" x14ac:dyDescent="0.3">
      <c r="A181" t="s">
        <v>204</v>
      </c>
      <c r="B181" t="s">
        <v>1</v>
      </c>
      <c r="C181" s="1">
        <v>45941</v>
      </c>
      <c r="D181" t="s">
        <v>22</v>
      </c>
      <c r="E181" t="s">
        <v>25</v>
      </c>
      <c r="F181" s="2">
        <v>15623</v>
      </c>
      <c r="G181" s="2">
        <v>869</v>
      </c>
      <c r="H181" s="2">
        <v>423</v>
      </c>
      <c r="I181" s="2">
        <v>371</v>
      </c>
      <c r="J181" s="2">
        <v>47579</v>
      </c>
      <c r="K181" s="2">
        <v>158516</v>
      </c>
      <c r="L181" s="4">
        <v>0.106708471069167</v>
      </c>
      <c r="M181" t="s">
        <v>8</v>
      </c>
      <c r="N181" s="25" t="str">
        <f>_xlfn.XLOOKUP(Table4__2_1_1_138[[#This Row],[Campaign]],$R$2:$R$6,$U$2:$U$6)</f>
        <v>Brand Engagement</v>
      </c>
    </row>
    <row r="182" spans="1:14" x14ac:dyDescent="0.3">
      <c r="A182" t="s">
        <v>205</v>
      </c>
      <c r="B182" t="s">
        <v>10</v>
      </c>
      <c r="C182" s="1">
        <v>45942</v>
      </c>
      <c r="D182" t="s">
        <v>22</v>
      </c>
      <c r="E182" t="s">
        <v>25</v>
      </c>
      <c r="F182" s="2">
        <v>7126</v>
      </c>
      <c r="G182" s="2">
        <v>484</v>
      </c>
      <c r="H182" s="2">
        <v>565</v>
      </c>
      <c r="I182" s="2">
        <v>573</v>
      </c>
      <c r="J182" s="2">
        <v>7389</v>
      </c>
      <c r="K182" s="2">
        <v>237096</v>
      </c>
      <c r="L182" s="4">
        <v>3.4479704423524597E-2</v>
      </c>
      <c r="M182" t="s">
        <v>8</v>
      </c>
      <c r="N182" s="25" t="str">
        <f>_xlfn.XLOOKUP(Table4__2_1_1_138[[#This Row],[Campaign]],$R$2:$R$6,$U$2:$U$6)</f>
        <v>Brand Engagement</v>
      </c>
    </row>
    <row r="183" spans="1:14" x14ac:dyDescent="0.3">
      <c r="A183" t="s">
        <v>206</v>
      </c>
      <c r="B183" t="s">
        <v>1</v>
      </c>
      <c r="C183" s="1">
        <v>45504</v>
      </c>
      <c r="D183" t="s">
        <v>15</v>
      </c>
      <c r="E183" t="s">
        <v>12</v>
      </c>
      <c r="F183" s="2">
        <v>7122</v>
      </c>
      <c r="G183" s="2">
        <v>628</v>
      </c>
      <c r="H183" s="2">
        <v>757</v>
      </c>
      <c r="I183" s="2">
        <v>2313</v>
      </c>
      <c r="J183" s="2">
        <v>50924</v>
      </c>
      <c r="K183" s="2">
        <v>210954</v>
      </c>
      <c r="L183" s="4">
        <v>4.0326327066564298E-2</v>
      </c>
      <c r="M183" t="s">
        <v>33</v>
      </c>
      <c r="N183" s="25" t="str">
        <f>_xlfn.XLOOKUP(Table4__2_1_1_138[[#This Row],[Campaign]],$R$2:$R$6,$U$2:$U$6)</f>
        <v>Product Promotion</v>
      </c>
    </row>
    <row r="184" spans="1:14" x14ac:dyDescent="0.3">
      <c r="A184" t="s">
        <v>207</v>
      </c>
      <c r="B184" t="s">
        <v>28</v>
      </c>
      <c r="C184" s="1">
        <v>45643</v>
      </c>
      <c r="D184" t="s">
        <v>2</v>
      </c>
      <c r="E184" t="s">
        <v>25</v>
      </c>
      <c r="F184" s="2">
        <v>20030</v>
      </c>
      <c r="G184" s="2">
        <v>485</v>
      </c>
      <c r="H184" s="2">
        <v>888</v>
      </c>
      <c r="I184" s="2">
        <v>1643</v>
      </c>
      <c r="J184" s="2">
        <v>4322</v>
      </c>
      <c r="K184" s="2">
        <v>196995</v>
      </c>
      <c r="L184" s="4">
        <v>0.108647427599685</v>
      </c>
      <c r="M184" t="s">
        <v>13</v>
      </c>
      <c r="N184" s="25" t="str">
        <f>_xlfn.XLOOKUP(Table4__2_1_1_138[[#This Row],[Campaign]],$R$2:$R$6,$U$2:$U$6)</f>
        <v>Sustainability Branding</v>
      </c>
    </row>
    <row r="185" spans="1:14" x14ac:dyDescent="0.3">
      <c r="A185" t="s">
        <v>208</v>
      </c>
      <c r="B185" t="s">
        <v>1</v>
      </c>
      <c r="C185" s="1">
        <v>45943</v>
      </c>
      <c r="D185" t="s">
        <v>15</v>
      </c>
      <c r="E185" t="s">
        <v>38</v>
      </c>
      <c r="F185" s="2">
        <v>19302</v>
      </c>
      <c r="G185" s="2">
        <v>1367</v>
      </c>
      <c r="H185" s="2">
        <v>188</v>
      </c>
      <c r="I185" s="2">
        <v>637</v>
      </c>
      <c r="J185" s="2">
        <v>31404</v>
      </c>
      <c r="K185" s="2">
        <v>154044</v>
      </c>
      <c r="L185" s="4">
        <v>0.13539638025499201</v>
      </c>
      <c r="M185" t="s">
        <v>8</v>
      </c>
      <c r="N185" s="25" t="str">
        <f>_xlfn.XLOOKUP(Table4__2_1_1_138[[#This Row],[Campaign]],$R$2:$R$6,$U$2:$U$6)</f>
        <v>Brand Engagement</v>
      </c>
    </row>
    <row r="186" spans="1:14" x14ac:dyDescent="0.3">
      <c r="A186" t="s">
        <v>209</v>
      </c>
      <c r="B186" t="s">
        <v>10</v>
      </c>
      <c r="C186" s="1">
        <v>45668</v>
      </c>
      <c r="D186" t="s">
        <v>2</v>
      </c>
      <c r="E186" t="s">
        <v>7</v>
      </c>
      <c r="F186" s="2">
        <v>21181</v>
      </c>
      <c r="G186" s="2">
        <v>1242</v>
      </c>
      <c r="H186" s="2">
        <v>963</v>
      </c>
      <c r="I186" s="2">
        <v>1689</v>
      </c>
      <c r="J186" s="2">
        <v>49329</v>
      </c>
      <c r="K186" s="2">
        <v>69165</v>
      </c>
      <c r="L186" s="4">
        <v>0.338118990819056</v>
      </c>
      <c r="M186" t="s">
        <v>4</v>
      </c>
      <c r="N186" s="25" t="str">
        <f>_xlfn.XLOOKUP(Table4__2_1_1_138[[#This Row],[Campaign]],$R$2:$R$6,$U$2:$U$6)</f>
        <v>Health &amp; Fitness Awareness</v>
      </c>
    </row>
    <row r="187" spans="1:14" x14ac:dyDescent="0.3">
      <c r="A187" t="s">
        <v>210</v>
      </c>
      <c r="B187" t="s">
        <v>10</v>
      </c>
      <c r="C187" s="1">
        <v>45528</v>
      </c>
      <c r="D187" t="s">
        <v>15</v>
      </c>
      <c r="E187" t="s">
        <v>12</v>
      </c>
      <c r="F187" s="2">
        <v>24890</v>
      </c>
      <c r="G187" s="2">
        <v>217</v>
      </c>
      <c r="H187" s="2">
        <v>178</v>
      </c>
      <c r="I187" s="2">
        <v>906</v>
      </c>
      <c r="J187" s="2">
        <v>54826</v>
      </c>
      <c r="K187" s="2">
        <v>107203</v>
      </c>
      <c r="L187" s="4">
        <v>0.23586093672751701</v>
      </c>
      <c r="M187" t="s">
        <v>13</v>
      </c>
      <c r="N187" s="25" t="str">
        <f>_xlfn.XLOOKUP(Table4__2_1_1_138[[#This Row],[Campaign]],$R$2:$R$6,$U$2:$U$6)</f>
        <v>Sustainability Branding</v>
      </c>
    </row>
    <row r="188" spans="1:14" x14ac:dyDescent="0.3">
      <c r="A188" t="s">
        <v>211</v>
      </c>
      <c r="B188" t="s">
        <v>28</v>
      </c>
      <c r="C188" s="1">
        <v>45648</v>
      </c>
      <c r="D188" t="s">
        <v>11</v>
      </c>
      <c r="E188" t="s">
        <v>103</v>
      </c>
      <c r="F188" s="2">
        <v>7870</v>
      </c>
      <c r="G188" s="2">
        <v>968</v>
      </c>
      <c r="H188" s="2">
        <v>626</v>
      </c>
      <c r="I188" s="2">
        <v>465</v>
      </c>
      <c r="J188" s="2">
        <v>27184</v>
      </c>
      <c r="K188" s="2">
        <v>44114</v>
      </c>
      <c r="L188" s="4">
        <v>0.214535068232307</v>
      </c>
      <c r="M188" t="s">
        <v>33</v>
      </c>
      <c r="N188" s="25" t="str">
        <f>_xlfn.XLOOKUP(Table4__2_1_1_138[[#This Row],[Campaign]],$R$2:$R$6,$U$2:$U$6)</f>
        <v>Product Promotion</v>
      </c>
    </row>
    <row r="189" spans="1:14" x14ac:dyDescent="0.3">
      <c r="A189" t="s">
        <v>212</v>
      </c>
      <c r="B189" t="s">
        <v>1</v>
      </c>
      <c r="C189" s="1">
        <v>45449</v>
      </c>
      <c r="D189" t="s">
        <v>22</v>
      </c>
      <c r="E189" t="s">
        <v>103</v>
      </c>
      <c r="F189" s="2">
        <v>3531</v>
      </c>
      <c r="G189" s="2">
        <v>789</v>
      </c>
      <c r="H189" s="2">
        <v>467</v>
      </c>
      <c r="I189" s="2">
        <v>1867</v>
      </c>
      <c r="J189" s="2">
        <v>40816</v>
      </c>
      <c r="K189" s="2">
        <v>236037</v>
      </c>
      <c r="L189" s="4">
        <v>2.0280718700881599E-2</v>
      </c>
      <c r="M189" t="s">
        <v>13</v>
      </c>
      <c r="N189" s="25" t="str">
        <f>_xlfn.XLOOKUP(Table4__2_1_1_138[[#This Row],[Campaign]],$R$2:$R$6,$U$2:$U$6)</f>
        <v>Sustainability Branding</v>
      </c>
    </row>
    <row r="190" spans="1:14" x14ac:dyDescent="0.3">
      <c r="A190" t="s">
        <v>213</v>
      </c>
      <c r="B190" t="s">
        <v>1</v>
      </c>
      <c r="C190" s="1">
        <v>45740</v>
      </c>
      <c r="D190" t="s">
        <v>2</v>
      </c>
      <c r="E190" t="s">
        <v>20</v>
      </c>
      <c r="F190" s="2">
        <v>10172</v>
      </c>
      <c r="G190" s="2">
        <v>1398</v>
      </c>
      <c r="H190" s="2">
        <v>394</v>
      </c>
      <c r="I190" s="2">
        <v>2358</v>
      </c>
      <c r="J190" s="2">
        <v>59610</v>
      </c>
      <c r="K190" s="2">
        <v>76321</v>
      </c>
      <c r="L190" s="4">
        <v>0.15675895231980699</v>
      </c>
      <c r="M190" t="s">
        <v>17</v>
      </c>
      <c r="N190" s="25" t="str">
        <f>_xlfn.XLOOKUP(Table4__2_1_1_138[[#This Row],[Campaign]],$R$2:$R$6,$U$2:$U$6)</f>
        <v>Product Launch</v>
      </c>
    </row>
    <row r="191" spans="1:14" x14ac:dyDescent="0.3">
      <c r="A191" t="s">
        <v>214</v>
      </c>
      <c r="B191" t="s">
        <v>28</v>
      </c>
      <c r="C191" s="1">
        <v>45569</v>
      </c>
      <c r="D191" t="s">
        <v>2</v>
      </c>
      <c r="E191" t="s">
        <v>23</v>
      </c>
      <c r="F191" s="2">
        <v>21729</v>
      </c>
      <c r="G191" s="2">
        <v>1209</v>
      </c>
      <c r="H191" s="2">
        <v>897</v>
      </c>
      <c r="I191" s="2">
        <v>1624</v>
      </c>
      <c r="J191" s="2">
        <v>38771</v>
      </c>
      <c r="K191" s="2">
        <v>113297</v>
      </c>
      <c r="L191" s="4">
        <v>0.21037626768581699</v>
      </c>
      <c r="M191" t="s">
        <v>17</v>
      </c>
      <c r="N191" s="25" t="str">
        <f>_xlfn.XLOOKUP(Table4__2_1_1_138[[#This Row],[Campaign]],$R$2:$R$6,$U$2:$U$6)</f>
        <v>Product Launch</v>
      </c>
    </row>
    <row r="192" spans="1:14" x14ac:dyDescent="0.3">
      <c r="A192" t="s">
        <v>215</v>
      </c>
      <c r="B192" t="s">
        <v>1</v>
      </c>
      <c r="C192" s="1">
        <v>45944</v>
      </c>
      <c r="D192" t="s">
        <v>22</v>
      </c>
      <c r="E192" t="s">
        <v>43</v>
      </c>
      <c r="F192" s="2">
        <v>9673</v>
      </c>
      <c r="G192" s="2">
        <v>393</v>
      </c>
      <c r="H192" s="2">
        <v>846</v>
      </c>
      <c r="I192" s="2">
        <v>1028</v>
      </c>
      <c r="J192" s="2">
        <v>55556</v>
      </c>
      <c r="K192" s="2">
        <v>136652</v>
      </c>
      <c r="L192" s="4">
        <v>7.9852471972601896E-2</v>
      </c>
      <c r="M192" t="s">
        <v>8</v>
      </c>
      <c r="N192" s="25" t="str">
        <f>_xlfn.XLOOKUP(Table4__2_1_1_138[[#This Row],[Campaign]],$R$2:$R$6,$U$2:$U$6)</f>
        <v>Brand Engagement</v>
      </c>
    </row>
    <row r="193" spans="1:14" x14ac:dyDescent="0.3">
      <c r="A193" t="s">
        <v>216</v>
      </c>
      <c r="B193" t="s">
        <v>1</v>
      </c>
      <c r="C193" s="1">
        <v>45945</v>
      </c>
      <c r="D193" t="s">
        <v>2</v>
      </c>
      <c r="E193" t="s">
        <v>25</v>
      </c>
      <c r="F193" s="2">
        <v>8882</v>
      </c>
      <c r="G193" s="2">
        <v>701</v>
      </c>
      <c r="H193" s="2">
        <v>421</v>
      </c>
      <c r="I193" s="2">
        <v>2343</v>
      </c>
      <c r="J193" s="2">
        <v>13588</v>
      </c>
      <c r="K193" s="2">
        <v>139304</v>
      </c>
      <c r="L193" s="4">
        <v>7.1814161833113205E-2</v>
      </c>
      <c r="M193" t="s">
        <v>8</v>
      </c>
      <c r="N193" s="25" t="str">
        <f>_xlfn.XLOOKUP(Table4__2_1_1_138[[#This Row],[Campaign]],$R$2:$R$6,$U$2:$U$6)</f>
        <v>Brand Engagement</v>
      </c>
    </row>
    <row r="194" spans="1:14" x14ac:dyDescent="0.3">
      <c r="A194" t="s">
        <v>217</v>
      </c>
      <c r="B194" t="s">
        <v>10</v>
      </c>
      <c r="C194" s="1">
        <v>45546</v>
      </c>
      <c r="D194" t="s">
        <v>2</v>
      </c>
      <c r="E194" t="s">
        <v>25</v>
      </c>
      <c r="F194" s="2">
        <v>3906</v>
      </c>
      <c r="G194" s="2">
        <v>1187</v>
      </c>
      <c r="H194" s="2">
        <v>589</v>
      </c>
      <c r="I194" s="2">
        <v>401</v>
      </c>
      <c r="J194" s="2">
        <v>52687</v>
      </c>
      <c r="K194" s="2">
        <v>196498</v>
      </c>
      <c r="L194" s="4">
        <v>2.8916324848090098E-2</v>
      </c>
      <c r="M194" t="s">
        <v>4</v>
      </c>
      <c r="N194" s="25" t="str">
        <f>_xlfn.XLOOKUP(Table4__2_1_1_138[[#This Row],[Campaign]],$R$2:$R$6,$U$2:$U$6)</f>
        <v>Health &amp; Fitness Awareness</v>
      </c>
    </row>
    <row r="195" spans="1:14" x14ac:dyDescent="0.3">
      <c r="A195" t="s">
        <v>218</v>
      </c>
      <c r="B195" t="s">
        <v>1</v>
      </c>
      <c r="C195" s="1">
        <v>45567</v>
      </c>
      <c r="D195" t="s">
        <v>15</v>
      </c>
      <c r="E195" t="s">
        <v>23</v>
      </c>
      <c r="F195" s="2">
        <v>5086</v>
      </c>
      <c r="G195" s="2">
        <v>1336</v>
      </c>
      <c r="H195" s="2">
        <v>897</v>
      </c>
      <c r="I195" s="2">
        <v>1715</v>
      </c>
      <c r="J195" s="2">
        <v>60592</v>
      </c>
      <c r="K195" s="2">
        <v>57772</v>
      </c>
      <c r="L195" s="4">
        <v>0.12668766876687701</v>
      </c>
      <c r="M195" t="s">
        <v>13</v>
      </c>
      <c r="N195" s="25" t="str">
        <f>_xlfn.XLOOKUP(Table4__2_1_1_138[[#This Row],[Campaign]],$R$2:$R$6,$U$2:$U$6)</f>
        <v>Sustainability Branding</v>
      </c>
    </row>
    <row r="196" spans="1:14" x14ac:dyDescent="0.3">
      <c r="A196" t="s">
        <v>219</v>
      </c>
      <c r="B196" t="s">
        <v>1</v>
      </c>
      <c r="C196" s="1">
        <v>45519</v>
      </c>
      <c r="D196" t="s">
        <v>2</v>
      </c>
      <c r="E196" t="s">
        <v>29</v>
      </c>
      <c r="F196" s="2">
        <v>15503</v>
      </c>
      <c r="G196" s="2">
        <v>313</v>
      </c>
      <c r="H196" s="2">
        <v>388</v>
      </c>
      <c r="I196" s="2">
        <v>1078</v>
      </c>
      <c r="J196" s="2">
        <v>11500</v>
      </c>
      <c r="K196" s="2">
        <v>143754</v>
      </c>
      <c r="L196" s="4">
        <v>0.11272034169484001</v>
      </c>
      <c r="M196" t="s">
        <v>17</v>
      </c>
      <c r="N196" s="25" t="str">
        <f>_xlfn.XLOOKUP(Table4__2_1_1_138[[#This Row],[Campaign]],$R$2:$R$6,$U$2:$U$6)</f>
        <v>Product Launch</v>
      </c>
    </row>
    <row r="197" spans="1:14" x14ac:dyDescent="0.3">
      <c r="A197" t="s">
        <v>220</v>
      </c>
      <c r="B197" t="s">
        <v>28</v>
      </c>
      <c r="C197" s="1">
        <v>45918</v>
      </c>
      <c r="D197" t="s">
        <v>11</v>
      </c>
      <c r="E197" t="s">
        <v>52</v>
      </c>
      <c r="F197" s="2">
        <v>10152</v>
      </c>
      <c r="G197" s="2">
        <v>1445</v>
      </c>
      <c r="H197" s="2">
        <v>526</v>
      </c>
      <c r="I197" s="2">
        <v>513</v>
      </c>
      <c r="J197" s="2">
        <v>18959</v>
      </c>
      <c r="K197" s="2">
        <v>43712</v>
      </c>
      <c r="L197" s="4">
        <v>0.27733803074670599</v>
      </c>
      <c r="M197" t="s">
        <v>8</v>
      </c>
      <c r="N197" s="25" t="str">
        <f>_xlfn.XLOOKUP(Table4__2_1_1_138[[#This Row],[Campaign]],$R$2:$R$6,$U$2:$U$6)</f>
        <v>Brand Engagement</v>
      </c>
    </row>
    <row r="198" spans="1:14" x14ac:dyDescent="0.3">
      <c r="A198" t="s">
        <v>221</v>
      </c>
      <c r="B198" t="s">
        <v>28</v>
      </c>
      <c r="C198" s="1">
        <v>45587</v>
      </c>
      <c r="D198" t="s">
        <v>11</v>
      </c>
      <c r="E198" t="s">
        <v>12</v>
      </c>
      <c r="F198" s="2">
        <v>7750</v>
      </c>
      <c r="G198" s="2">
        <v>1146</v>
      </c>
      <c r="H198" s="2">
        <v>415</v>
      </c>
      <c r="I198" s="2">
        <v>1411</v>
      </c>
      <c r="J198" s="2">
        <v>85339</v>
      </c>
      <c r="K198" s="2">
        <v>172439</v>
      </c>
      <c r="L198" s="4">
        <v>5.3995905798572198E-2</v>
      </c>
      <c r="M198" t="s">
        <v>13</v>
      </c>
      <c r="N198" s="25" t="str">
        <f>_xlfn.XLOOKUP(Table4__2_1_1_138[[#This Row],[Campaign]],$R$2:$R$6,$U$2:$U$6)</f>
        <v>Sustainability Branding</v>
      </c>
    </row>
    <row r="199" spans="1:14" x14ac:dyDescent="0.3">
      <c r="A199" t="s">
        <v>222</v>
      </c>
      <c r="B199" t="s">
        <v>6</v>
      </c>
      <c r="C199" s="1">
        <v>45919</v>
      </c>
      <c r="D199" t="s">
        <v>22</v>
      </c>
      <c r="E199" t="s">
        <v>16</v>
      </c>
      <c r="F199" s="2">
        <v>14772</v>
      </c>
      <c r="G199" s="2">
        <v>1030</v>
      </c>
      <c r="H199" s="2">
        <v>508</v>
      </c>
      <c r="I199" s="2">
        <v>1876</v>
      </c>
      <c r="J199" s="2">
        <v>8882</v>
      </c>
      <c r="K199" s="2">
        <v>155142</v>
      </c>
      <c r="L199" s="4">
        <v>0.10512949426976601</v>
      </c>
      <c r="M199" t="s">
        <v>8</v>
      </c>
      <c r="N199" s="25" t="str">
        <f>_xlfn.XLOOKUP(Table4__2_1_1_138[[#This Row],[Campaign]],$R$2:$R$6,$U$2:$U$6)</f>
        <v>Brand Engagement</v>
      </c>
    </row>
    <row r="200" spans="1:14" x14ac:dyDescent="0.3">
      <c r="A200" t="s">
        <v>223</v>
      </c>
      <c r="B200" t="s">
        <v>10</v>
      </c>
      <c r="C200" s="1">
        <v>45920</v>
      </c>
      <c r="D200" t="s">
        <v>2</v>
      </c>
      <c r="E200" t="s">
        <v>25</v>
      </c>
      <c r="F200" s="2">
        <v>12267</v>
      </c>
      <c r="G200" s="2">
        <v>1487</v>
      </c>
      <c r="H200" s="2">
        <v>489</v>
      </c>
      <c r="I200" s="2">
        <v>2748</v>
      </c>
      <c r="J200" s="2">
        <v>34685</v>
      </c>
      <c r="K200" s="2">
        <v>131736</v>
      </c>
      <c r="L200" s="4">
        <v>0.108117750652821</v>
      </c>
      <c r="M200" t="s">
        <v>8</v>
      </c>
      <c r="N200" s="25" t="str">
        <f>_xlfn.XLOOKUP(Table4__2_1_1_138[[#This Row],[Campaign]],$R$2:$R$6,$U$2:$U$6)</f>
        <v>Brand Engagement</v>
      </c>
    </row>
    <row r="201" spans="1:14" x14ac:dyDescent="0.3">
      <c r="A201" t="s">
        <v>224</v>
      </c>
      <c r="B201" t="s">
        <v>1</v>
      </c>
      <c r="C201" s="1">
        <v>45754</v>
      </c>
      <c r="D201" t="s">
        <v>22</v>
      </c>
      <c r="E201" t="s">
        <v>43</v>
      </c>
      <c r="F201" s="2">
        <v>3062</v>
      </c>
      <c r="G201" s="2">
        <v>1124</v>
      </c>
      <c r="H201" s="2">
        <v>538</v>
      </c>
      <c r="I201" s="2">
        <v>2935</v>
      </c>
      <c r="J201" s="2">
        <v>69749</v>
      </c>
      <c r="K201" s="2">
        <v>91924</v>
      </c>
      <c r="L201" s="4">
        <v>5.1390278926069399E-2</v>
      </c>
      <c r="M201" t="s">
        <v>17</v>
      </c>
      <c r="N201" s="25" t="str">
        <f>_xlfn.XLOOKUP(Table4__2_1_1_138[[#This Row],[Campaign]],$R$2:$R$6,$U$2:$U$6)</f>
        <v>Product Launch</v>
      </c>
    </row>
    <row r="202" spans="1:14" x14ac:dyDescent="0.3">
      <c r="A202" t="s">
        <v>225</v>
      </c>
      <c r="B202" t="s">
        <v>1</v>
      </c>
      <c r="C202" s="1">
        <v>45672</v>
      </c>
      <c r="D202" t="s">
        <v>11</v>
      </c>
      <c r="E202" t="s">
        <v>20</v>
      </c>
      <c r="F202" s="2">
        <v>20360</v>
      </c>
      <c r="G202" s="2">
        <v>254</v>
      </c>
      <c r="H202" s="2">
        <v>726</v>
      </c>
      <c r="I202" s="2">
        <v>1995</v>
      </c>
      <c r="J202" s="2">
        <v>14280</v>
      </c>
      <c r="K202" s="2">
        <v>43726</v>
      </c>
      <c r="L202" s="4">
        <v>0.48803915290673699</v>
      </c>
      <c r="M202" t="s">
        <v>17</v>
      </c>
      <c r="N202" s="25" t="str">
        <f>_xlfn.XLOOKUP(Table4__2_1_1_138[[#This Row],[Campaign]],$R$2:$R$6,$U$2:$U$6)</f>
        <v>Product Launch</v>
      </c>
    </row>
    <row r="203" spans="1:14" x14ac:dyDescent="0.3">
      <c r="A203" t="s">
        <v>226</v>
      </c>
      <c r="B203" t="s">
        <v>6</v>
      </c>
      <c r="C203" s="1">
        <v>45921</v>
      </c>
      <c r="D203" t="s">
        <v>2</v>
      </c>
      <c r="E203" t="s">
        <v>103</v>
      </c>
      <c r="F203" s="2">
        <v>19680</v>
      </c>
      <c r="G203" s="2">
        <v>999</v>
      </c>
      <c r="H203" s="2">
        <v>838</v>
      </c>
      <c r="I203" s="2">
        <v>891</v>
      </c>
      <c r="J203" s="2">
        <v>29576</v>
      </c>
      <c r="K203" s="2">
        <v>129152</v>
      </c>
      <c r="L203" s="4">
        <v>0.16660214321110001</v>
      </c>
      <c r="M203" t="s">
        <v>8</v>
      </c>
      <c r="N203" s="25" t="str">
        <f>_xlfn.XLOOKUP(Table4__2_1_1_138[[#This Row],[Campaign]],$R$2:$R$6,$U$2:$U$6)</f>
        <v>Brand Engagement</v>
      </c>
    </row>
    <row r="204" spans="1:14" x14ac:dyDescent="0.3">
      <c r="A204" t="s">
        <v>227</v>
      </c>
      <c r="B204" t="s">
        <v>1</v>
      </c>
      <c r="C204" s="1">
        <v>45617</v>
      </c>
      <c r="D204" t="s">
        <v>2</v>
      </c>
      <c r="E204" t="s">
        <v>25</v>
      </c>
      <c r="F204" s="2">
        <v>8229</v>
      </c>
      <c r="G204" s="2">
        <v>977</v>
      </c>
      <c r="H204" s="2">
        <v>152</v>
      </c>
      <c r="I204" s="2">
        <v>1633</v>
      </c>
      <c r="J204" s="2">
        <v>71447</v>
      </c>
      <c r="K204" s="2">
        <v>67723</v>
      </c>
      <c r="L204" s="4">
        <v>0.138180529509915</v>
      </c>
      <c r="M204" t="s">
        <v>33</v>
      </c>
      <c r="N204" s="25" t="str">
        <f>_xlfn.XLOOKUP(Table4__2_1_1_138[[#This Row],[Campaign]],$R$2:$R$6,$U$2:$U$6)</f>
        <v>Product Promotion</v>
      </c>
    </row>
    <row r="205" spans="1:14" x14ac:dyDescent="0.3">
      <c r="A205" t="s">
        <v>228</v>
      </c>
      <c r="B205" t="s">
        <v>10</v>
      </c>
      <c r="C205" s="1">
        <v>45922</v>
      </c>
      <c r="D205" t="s">
        <v>22</v>
      </c>
      <c r="E205" t="s">
        <v>20</v>
      </c>
      <c r="F205" s="2">
        <v>18509</v>
      </c>
      <c r="G205" s="2">
        <v>361</v>
      </c>
      <c r="H205" s="2">
        <v>578</v>
      </c>
      <c r="I205" s="2">
        <v>1409</v>
      </c>
      <c r="J205" s="2">
        <v>10569</v>
      </c>
      <c r="K205" s="2">
        <v>166969</v>
      </c>
      <c r="L205" s="4">
        <v>0.1164767112458</v>
      </c>
      <c r="M205" t="s">
        <v>8</v>
      </c>
      <c r="N205" s="25" t="str">
        <f>_xlfn.XLOOKUP(Table4__2_1_1_138[[#This Row],[Campaign]],$R$2:$R$6,$U$2:$U$6)</f>
        <v>Brand Engagement</v>
      </c>
    </row>
    <row r="206" spans="1:14" x14ac:dyDescent="0.3">
      <c r="A206" t="s">
        <v>229</v>
      </c>
      <c r="B206" t="s">
        <v>6</v>
      </c>
      <c r="C206" s="1">
        <v>45923</v>
      </c>
      <c r="D206" t="s">
        <v>11</v>
      </c>
      <c r="E206" t="s">
        <v>38</v>
      </c>
      <c r="F206" s="2">
        <v>17147</v>
      </c>
      <c r="G206" s="2">
        <v>286</v>
      </c>
      <c r="H206" s="2">
        <v>291</v>
      </c>
      <c r="I206" s="2">
        <v>2439</v>
      </c>
      <c r="J206" s="2">
        <v>45631</v>
      </c>
      <c r="K206" s="2">
        <v>140494</v>
      </c>
      <c r="L206" s="4">
        <v>0.12615485358805401</v>
      </c>
      <c r="M206" t="s">
        <v>8</v>
      </c>
      <c r="N206" s="25" t="str">
        <f>_xlfn.XLOOKUP(Table4__2_1_1_138[[#This Row],[Campaign]],$R$2:$R$6,$U$2:$U$6)</f>
        <v>Brand Engagement</v>
      </c>
    </row>
    <row r="207" spans="1:14" x14ac:dyDescent="0.3">
      <c r="A207" t="s">
        <v>230</v>
      </c>
      <c r="B207" t="s">
        <v>10</v>
      </c>
      <c r="C207" s="1">
        <v>45467</v>
      </c>
      <c r="D207" t="s">
        <v>2</v>
      </c>
      <c r="E207" t="s">
        <v>38</v>
      </c>
      <c r="F207" s="2">
        <v>6632</v>
      </c>
      <c r="G207" s="2">
        <v>254</v>
      </c>
      <c r="H207" s="2">
        <v>525</v>
      </c>
      <c r="I207" s="2">
        <v>1013</v>
      </c>
      <c r="J207" s="2">
        <v>13838</v>
      </c>
      <c r="K207" s="2">
        <v>180180</v>
      </c>
      <c r="L207" s="4">
        <v>4.1131091131091098E-2</v>
      </c>
      <c r="M207" t="s">
        <v>4</v>
      </c>
      <c r="N207" s="25" t="str">
        <f>_xlfn.XLOOKUP(Table4__2_1_1_138[[#This Row],[Campaign]],$R$2:$R$6,$U$2:$U$6)</f>
        <v>Health &amp; Fitness Awareness</v>
      </c>
    </row>
    <row r="208" spans="1:14" x14ac:dyDescent="0.3">
      <c r="A208" t="s">
        <v>231</v>
      </c>
      <c r="B208" t="s">
        <v>6</v>
      </c>
      <c r="C208" s="1">
        <v>45655</v>
      </c>
      <c r="D208" t="s">
        <v>22</v>
      </c>
      <c r="E208" t="s">
        <v>52</v>
      </c>
      <c r="F208" s="2">
        <v>8288</v>
      </c>
      <c r="G208" s="2">
        <v>1401</v>
      </c>
      <c r="H208" s="2">
        <v>819</v>
      </c>
      <c r="I208" s="2">
        <v>1235</v>
      </c>
      <c r="J208" s="2">
        <v>33446</v>
      </c>
      <c r="K208" s="2">
        <v>248786</v>
      </c>
      <c r="L208" s="4">
        <v>4.2237103373984099E-2</v>
      </c>
      <c r="M208" t="s">
        <v>4</v>
      </c>
      <c r="N208" s="25" t="str">
        <f>_xlfn.XLOOKUP(Table4__2_1_1_138[[#This Row],[Campaign]],$R$2:$R$6,$U$2:$U$6)</f>
        <v>Health &amp; Fitness Awareness</v>
      </c>
    </row>
    <row r="209" spans="1:14" x14ac:dyDescent="0.3">
      <c r="A209" t="s">
        <v>232</v>
      </c>
      <c r="B209" t="s">
        <v>6</v>
      </c>
      <c r="C209" s="1">
        <v>45467</v>
      </c>
      <c r="D209" t="s">
        <v>11</v>
      </c>
      <c r="E209" t="s">
        <v>7</v>
      </c>
      <c r="F209" s="2">
        <v>5596</v>
      </c>
      <c r="G209" s="2">
        <v>1231</v>
      </c>
      <c r="H209" s="2">
        <v>473</v>
      </c>
      <c r="I209" s="2">
        <v>2251</v>
      </c>
      <c r="J209" s="2">
        <v>43705</v>
      </c>
      <c r="K209" s="2">
        <v>75643</v>
      </c>
      <c r="L209" s="4">
        <v>9.6505955607260399E-2</v>
      </c>
      <c r="M209" t="s">
        <v>4</v>
      </c>
      <c r="N209" s="25" t="str">
        <f>_xlfn.XLOOKUP(Table4__2_1_1_138[[#This Row],[Campaign]],$R$2:$R$6,$U$2:$U$6)</f>
        <v>Health &amp; Fitness Awareness</v>
      </c>
    </row>
    <row r="210" spans="1:14" x14ac:dyDescent="0.3">
      <c r="A210" t="s">
        <v>233</v>
      </c>
      <c r="B210" t="s">
        <v>28</v>
      </c>
      <c r="C210" s="1">
        <v>45735</v>
      </c>
      <c r="D210" t="s">
        <v>22</v>
      </c>
      <c r="E210" t="s">
        <v>16</v>
      </c>
      <c r="F210" s="2">
        <v>13475</v>
      </c>
      <c r="G210" s="2">
        <v>1032</v>
      </c>
      <c r="H210" s="2">
        <v>295</v>
      </c>
      <c r="I210" s="2">
        <v>541</v>
      </c>
      <c r="J210" s="2">
        <v>43666</v>
      </c>
      <c r="K210" s="2">
        <v>202396</v>
      </c>
      <c r="L210" s="4">
        <v>7.3133856400324104E-2</v>
      </c>
      <c r="M210" t="s">
        <v>33</v>
      </c>
      <c r="N210" s="25" t="str">
        <f>_xlfn.XLOOKUP(Table4__2_1_1_138[[#This Row],[Campaign]],$R$2:$R$6,$U$2:$U$6)</f>
        <v>Product Promotion</v>
      </c>
    </row>
    <row r="211" spans="1:14" x14ac:dyDescent="0.3">
      <c r="A211" t="s">
        <v>234</v>
      </c>
      <c r="B211" t="s">
        <v>10</v>
      </c>
      <c r="C211" s="1">
        <v>45707</v>
      </c>
      <c r="D211" t="s">
        <v>15</v>
      </c>
      <c r="E211" t="s">
        <v>29</v>
      </c>
      <c r="F211" s="2">
        <v>8168</v>
      </c>
      <c r="G211" s="2">
        <v>512</v>
      </c>
      <c r="H211" s="2">
        <v>442</v>
      </c>
      <c r="I211" s="2">
        <v>2343</v>
      </c>
      <c r="J211" s="2">
        <v>2753</v>
      </c>
      <c r="K211" s="2">
        <v>143896</v>
      </c>
      <c r="L211" s="4">
        <v>6.33930060599322E-2</v>
      </c>
      <c r="M211" t="s">
        <v>33</v>
      </c>
      <c r="N211" s="25" t="str">
        <f>_xlfn.XLOOKUP(Table4__2_1_1_138[[#This Row],[Campaign]],$R$2:$R$6,$U$2:$U$6)</f>
        <v>Product Promotion</v>
      </c>
    </row>
    <row r="212" spans="1:14" x14ac:dyDescent="0.3">
      <c r="A212" t="s">
        <v>235</v>
      </c>
      <c r="B212" t="s">
        <v>1</v>
      </c>
      <c r="C212" s="1">
        <v>45924</v>
      </c>
      <c r="D212" t="s">
        <v>2</v>
      </c>
      <c r="E212" t="s">
        <v>52</v>
      </c>
      <c r="F212" s="2">
        <v>11795</v>
      </c>
      <c r="G212" s="2">
        <v>958</v>
      </c>
      <c r="H212" s="2">
        <v>814</v>
      </c>
      <c r="I212" s="2">
        <v>301</v>
      </c>
      <c r="J212" s="2">
        <v>12564</v>
      </c>
      <c r="K212" s="2">
        <v>179999</v>
      </c>
      <c r="L212" s="4">
        <v>7.5372640959116402E-2</v>
      </c>
      <c r="M212" t="s">
        <v>8</v>
      </c>
      <c r="N212" s="25" t="str">
        <f>_xlfn.XLOOKUP(Table4__2_1_1_138[[#This Row],[Campaign]],$R$2:$R$6,$U$2:$U$6)</f>
        <v>Brand Engagement</v>
      </c>
    </row>
    <row r="213" spans="1:14" x14ac:dyDescent="0.3">
      <c r="A213" t="s">
        <v>236</v>
      </c>
      <c r="B213" t="s">
        <v>1</v>
      </c>
      <c r="C213" s="1">
        <v>45719</v>
      </c>
      <c r="D213" t="s">
        <v>15</v>
      </c>
      <c r="E213" t="s">
        <v>3</v>
      </c>
      <c r="F213" s="2">
        <v>9561</v>
      </c>
      <c r="G213" s="2">
        <v>642</v>
      </c>
      <c r="H213" s="2">
        <v>581</v>
      </c>
      <c r="I213" s="2">
        <v>2572</v>
      </c>
      <c r="J213" s="2">
        <v>38552</v>
      </c>
      <c r="K213" s="2">
        <v>133680</v>
      </c>
      <c r="L213" s="4">
        <v>8.0670257330939604E-2</v>
      </c>
      <c r="M213" t="s">
        <v>4</v>
      </c>
      <c r="N213" s="25" t="str">
        <f>_xlfn.XLOOKUP(Table4__2_1_1_138[[#This Row],[Campaign]],$R$2:$R$6,$U$2:$U$6)</f>
        <v>Health &amp; Fitness Awareness</v>
      </c>
    </row>
    <row r="214" spans="1:14" x14ac:dyDescent="0.3">
      <c r="A214" t="s">
        <v>237</v>
      </c>
      <c r="B214" t="s">
        <v>10</v>
      </c>
      <c r="C214" s="1">
        <v>45778</v>
      </c>
      <c r="D214" t="s">
        <v>11</v>
      </c>
      <c r="E214" t="s">
        <v>29</v>
      </c>
      <c r="F214" s="2">
        <v>10258</v>
      </c>
      <c r="G214" s="2">
        <v>527</v>
      </c>
      <c r="H214" s="2">
        <v>854</v>
      </c>
      <c r="I214" s="2">
        <v>2068</v>
      </c>
      <c r="J214" s="2">
        <v>45632</v>
      </c>
      <c r="K214" s="2">
        <v>136546</v>
      </c>
      <c r="L214" s="4">
        <v>8.5238674146441498E-2</v>
      </c>
      <c r="M214" t="s">
        <v>33</v>
      </c>
      <c r="N214" s="25" t="str">
        <f>_xlfn.XLOOKUP(Table4__2_1_1_138[[#This Row],[Campaign]],$R$2:$R$6,$U$2:$U$6)</f>
        <v>Product Promotion</v>
      </c>
    </row>
    <row r="215" spans="1:14" x14ac:dyDescent="0.3">
      <c r="A215" t="s">
        <v>238</v>
      </c>
      <c r="B215" t="s">
        <v>1</v>
      </c>
      <c r="C215" s="1">
        <v>45649</v>
      </c>
      <c r="D215" t="s">
        <v>15</v>
      </c>
      <c r="E215" t="s">
        <v>12</v>
      </c>
      <c r="F215" s="2">
        <v>18616</v>
      </c>
      <c r="G215" s="2">
        <v>1277</v>
      </c>
      <c r="H215" s="2">
        <v>734</v>
      </c>
      <c r="I215" s="2">
        <v>2249</v>
      </c>
      <c r="J215" s="2">
        <v>3399</v>
      </c>
      <c r="K215" s="2">
        <v>193515</v>
      </c>
      <c r="L215" s="4">
        <v>0.106591220318838</v>
      </c>
      <c r="M215" t="s">
        <v>17</v>
      </c>
      <c r="N215" s="25" t="str">
        <f>_xlfn.XLOOKUP(Table4__2_1_1_138[[#This Row],[Campaign]],$R$2:$R$6,$U$2:$U$6)</f>
        <v>Product Launch</v>
      </c>
    </row>
    <row r="216" spans="1:14" x14ac:dyDescent="0.3">
      <c r="A216" t="s">
        <v>239</v>
      </c>
      <c r="B216" t="s">
        <v>1</v>
      </c>
      <c r="C216" s="1">
        <v>45925</v>
      </c>
      <c r="D216" t="s">
        <v>15</v>
      </c>
      <c r="E216" t="s">
        <v>43</v>
      </c>
      <c r="F216" s="2">
        <v>8371</v>
      </c>
      <c r="G216" s="2">
        <v>960</v>
      </c>
      <c r="H216" s="2">
        <v>548</v>
      </c>
      <c r="I216" s="2">
        <v>2936</v>
      </c>
      <c r="J216" s="2">
        <v>82543</v>
      </c>
      <c r="K216" s="2">
        <v>119973</v>
      </c>
      <c r="L216" s="4">
        <v>8.2343527293641097E-2</v>
      </c>
      <c r="M216" t="s">
        <v>8</v>
      </c>
      <c r="N216" s="25" t="str">
        <f>_xlfn.XLOOKUP(Table4__2_1_1_138[[#This Row],[Campaign]],$R$2:$R$6,$U$2:$U$6)</f>
        <v>Brand Engagement</v>
      </c>
    </row>
    <row r="217" spans="1:14" x14ac:dyDescent="0.3">
      <c r="A217" t="s">
        <v>240</v>
      </c>
      <c r="B217" t="s">
        <v>10</v>
      </c>
      <c r="C217" s="1">
        <v>45502</v>
      </c>
      <c r="D217" t="s">
        <v>11</v>
      </c>
      <c r="E217" t="s">
        <v>3</v>
      </c>
      <c r="F217" s="2">
        <v>22590</v>
      </c>
      <c r="G217" s="2">
        <v>1462</v>
      </c>
      <c r="H217" s="2">
        <v>966</v>
      </c>
      <c r="I217" s="2">
        <v>2463</v>
      </c>
      <c r="J217" s="2">
        <v>29689</v>
      </c>
      <c r="K217" s="2">
        <v>103449</v>
      </c>
      <c r="L217" s="4">
        <v>0.24183897379385</v>
      </c>
      <c r="M217" t="s">
        <v>13</v>
      </c>
      <c r="N217" s="25" t="str">
        <f>_xlfn.XLOOKUP(Table4__2_1_1_138[[#This Row],[Campaign]],$R$2:$R$6,$U$2:$U$6)</f>
        <v>Sustainability Branding</v>
      </c>
    </row>
    <row r="218" spans="1:14" x14ac:dyDescent="0.3">
      <c r="A218" t="s">
        <v>241</v>
      </c>
      <c r="B218" t="s">
        <v>6</v>
      </c>
      <c r="C218" s="1">
        <v>45926</v>
      </c>
      <c r="D218" t="s">
        <v>22</v>
      </c>
      <c r="E218" t="s">
        <v>3</v>
      </c>
      <c r="F218" s="2">
        <v>16369</v>
      </c>
      <c r="G218" s="2">
        <v>1452</v>
      </c>
      <c r="H218" s="2">
        <v>493</v>
      </c>
      <c r="I218" s="2">
        <v>1217</v>
      </c>
      <c r="J218" s="2">
        <v>91440</v>
      </c>
      <c r="K218" s="2">
        <v>149834</v>
      </c>
      <c r="L218" s="4">
        <v>0.12222859965028</v>
      </c>
      <c r="M218" t="s">
        <v>8</v>
      </c>
      <c r="N218" s="25" t="str">
        <f>_xlfn.XLOOKUP(Table4__2_1_1_138[[#This Row],[Campaign]],$R$2:$R$6,$U$2:$U$6)</f>
        <v>Brand Engagement</v>
      </c>
    </row>
    <row r="219" spans="1:14" x14ac:dyDescent="0.3">
      <c r="A219" t="s">
        <v>242</v>
      </c>
      <c r="B219" t="s">
        <v>10</v>
      </c>
      <c r="C219" s="1">
        <v>45454</v>
      </c>
      <c r="D219" t="s">
        <v>15</v>
      </c>
      <c r="E219" t="s">
        <v>52</v>
      </c>
      <c r="F219" s="2">
        <v>14910</v>
      </c>
      <c r="G219" s="2">
        <v>778</v>
      </c>
      <c r="H219" s="2">
        <v>289</v>
      </c>
      <c r="I219" s="2">
        <v>2541</v>
      </c>
      <c r="J219" s="2">
        <v>14309</v>
      </c>
      <c r="K219" s="2">
        <v>247815</v>
      </c>
      <c r="L219" s="4">
        <v>6.4471480741682297E-2</v>
      </c>
      <c r="M219" t="s">
        <v>13</v>
      </c>
      <c r="N219" s="25" t="str">
        <f>_xlfn.XLOOKUP(Table4__2_1_1_138[[#This Row],[Campaign]],$R$2:$R$6,$U$2:$U$6)</f>
        <v>Sustainability Branding</v>
      </c>
    </row>
    <row r="220" spans="1:14" x14ac:dyDescent="0.3">
      <c r="A220" t="s">
        <v>243</v>
      </c>
      <c r="B220" t="s">
        <v>6</v>
      </c>
      <c r="C220" s="1">
        <v>45685</v>
      </c>
      <c r="D220" t="s">
        <v>22</v>
      </c>
      <c r="E220" t="s">
        <v>23</v>
      </c>
      <c r="F220" s="2">
        <v>9943</v>
      </c>
      <c r="G220" s="2">
        <v>1274</v>
      </c>
      <c r="H220" s="2">
        <v>336</v>
      </c>
      <c r="I220" s="2">
        <v>389</v>
      </c>
      <c r="J220" s="2">
        <v>6145</v>
      </c>
      <c r="K220" s="2">
        <v>231305</v>
      </c>
      <c r="L220" s="4">
        <v>4.9947039623008602E-2</v>
      </c>
      <c r="M220" t="s">
        <v>4</v>
      </c>
      <c r="N220" s="25" t="str">
        <f>_xlfn.XLOOKUP(Table4__2_1_1_138[[#This Row],[Campaign]],$R$2:$R$6,$U$2:$U$6)</f>
        <v>Health &amp; Fitness Awareness</v>
      </c>
    </row>
    <row r="221" spans="1:14" x14ac:dyDescent="0.3">
      <c r="A221" t="s">
        <v>244</v>
      </c>
      <c r="B221" t="s">
        <v>1</v>
      </c>
      <c r="C221" s="1">
        <v>45445</v>
      </c>
      <c r="D221" t="s">
        <v>15</v>
      </c>
      <c r="E221" t="s">
        <v>7</v>
      </c>
      <c r="F221" s="2">
        <v>14199</v>
      </c>
      <c r="G221" s="2">
        <v>1206</v>
      </c>
      <c r="H221" s="2">
        <v>954</v>
      </c>
      <c r="I221" s="2">
        <v>2009</v>
      </c>
      <c r="J221" s="2">
        <v>8</v>
      </c>
      <c r="K221" s="2">
        <v>65537</v>
      </c>
      <c r="L221" s="4">
        <v>0.249614721455056</v>
      </c>
      <c r="M221" t="s">
        <v>13</v>
      </c>
      <c r="N221" s="25" t="str">
        <f>_xlfn.XLOOKUP(Table4__2_1_1_138[[#This Row],[Campaign]],$R$2:$R$6,$U$2:$U$6)</f>
        <v>Sustainability Branding</v>
      </c>
    </row>
    <row r="222" spans="1:14" x14ac:dyDescent="0.3">
      <c r="A222" t="s">
        <v>245</v>
      </c>
      <c r="B222" t="s">
        <v>1</v>
      </c>
      <c r="C222" s="1">
        <v>45739</v>
      </c>
      <c r="D222" t="s">
        <v>22</v>
      </c>
      <c r="E222" t="s">
        <v>23</v>
      </c>
      <c r="F222" s="2">
        <v>17728</v>
      </c>
      <c r="G222" s="2">
        <v>1487</v>
      </c>
      <c r="H222" s="2">
        <v>210</v>
      </c>
      <c r="I222" s="2">
        <v>2469</v>
      </c>
      <c r="J222" s="2">
        <v>30565</v>
      </c>
      <c r="K222" s="2">
        <v>117576</v>
      </c>
      <c r="L222" s="4">
        <v>0.165212288222086</v>
      </c>
      <c r="M222" t="s">
        <v>4</v>
      </c>
      <c r="N222" s="25" t="str">
        <f>_xlfn.XLOOKUP(Table4__2_1_1_138[[#This Row],[Campaign]],$R$2:$R$6,$U$2:$U$6)</f>
        <v>Health &amp; Fitness Awareness</v>
      </c>
    </row>
    <row r="223" spans="1:14" x14ac:dyDescent="0.3">
      <c r="A223" t="s">
        <v>246</v>
      </c>
      <c r="B223" t="s">
        <v>1</v>
      </c>
      <c r="C223" s="1">
        <v>45573</v>
      </c>
      <c r="D223" t="s">
        <v>11</v>
      </c>
      <c r="E223" t="s">
        <v>52</v>
      </c>
      <c r="F223" s="2">
        <v>8738</v>
      </c>
      <c r="G223" s="2">
        <v>295</v>
      </c>
      <c r="H223" s="2">
        <v>529</v>
      </c>
      <c r="I223" s="2">
        <v>442</v>
      </c>
      <c r="J223" s="2">
        <v>25286</v>
      </c>
      <c r="K223" s="2">
        <v>147522</v>
      </c>
      <c r="L223" s="4">
        <v>6.4817450956467501E-2</v>
      </c>
      <c r="M223" t="s">
        <v>17</v>
      </c>
      <c r="N223" s="25" t="str">
        <f>_xlfn.XLOOKUP(Table4__2_1_1_138[[#This Row],[Campaign]],$R$2:$R$6,$U$2:$U$6)</f>
        <v>Product Launch</v>
      </c>
    </row>
    <row r="224" spans="1:14" x14ac:dyDescent="0.3">
      <c r="A224" t="s">
        <v>247</v>
      </c>
      <c r="B224" t="s">
        <v>28</v>
      </c>
      <c r="C224" s="1">
        <v>45608</v>
      </c>
      <c r="D224" t="s">
        <v>15</v>
      </c>
      <c r="E224" t="s">
        <v>12</v>
      </c>
      <c r="F224" s="2">
        <v>17913</v>
      </c>
      <c r="G224" s="2">
        <v>1311</v>
      </c>
      <c r="H224" s="2">
        <v>859</v>
      </c>
      <c r="I224" s="2">
        <v>405</v>
      </c>
      <c r="J224" s="2">
        <v>59842</v>
      </c>
      <c r="K224" s="2">
        <v>62612</v>
      </c>
      <c r="L224" s="4">
        <v>0.32075321024723702</v>
      </c>
      <c r="M224" t="s">
        <v>13</v>
      </c>
      <c r="N224" s="25" t="str">
        <f>_xlfn.XLOOKUP(Table4__2_1_1_138[[#This Row],[Campaign]],$R$2:$R$6,$U$2:$U$6)</f>
        <v>Sustainability Branding</v>
      </c>
    </row>
    <row r="225" spans="1:14" x14ac:dyDescent="0.3">
      <c r="A225" t="s">
        <v>248</v>
      </c>
      <c r="B225" t="s">
        <v>6</v>
      </c>
      <c r="C225" s="1">
        <v>45907</v>
      </c>
      <c r="D225" t="s">
        <v>11</v>
      </c>
      <c r="E225" t="s">
        <v>103</v>
      </c>
      <c r="F225" s="2">
        <v>4472</v>
      </c>
      <c r="G225" s="2">
        <v>1301</v>
      </c>
      <c r="H225" s="2">
        <v>956</v>
      </c>
      <c r="I225" s="2">
        <v>1186</v>
      </c>
      <c r="J225" s="2">
        <v>3363</v>
      </c>
      <c r="K225" s="2">
        <v>46471</v>
      </c>
      <c r="L225" s="4">
        <v>0.14479998278496301</v>
      </c>
      <c r="M225" t="s">
        <v>8</v>
      </c>
      <c r="N225" s="25" t="str">
        <f>_xlfn.XLOOKUP(Table4__2_1_1_138[[#This Row],[Campaign]],$R$2:$R$6,$U$2:$U$6)</f>
        <v>Brand Engagement</v>
      </c>
    </row>
    <row r="226" spans="1:14" x14ac:dyDescent="0.3">
      <c r="A226" t="s">
        <v>249</v>
      </c>
      <c r="B226" t="s">
        <v>28</v>
      </c>
      <c r="C226" s="1">
        <v>45463</v>
      </c>
      <c r="D226" t="s">
        <v>15</v>
      </c>
      <c r="E226" t="s">
        <v>25</v>
      </c>
      <c r="F226" s="2">
        <v>21123</v>
      </c>
      <c r="G226" s="2">
        <v>1343</v>
      </c>
      <c r="H226" s="2">
        <v>589</v>
      </c>
      <c r="I226" s="2">
        <v>727</v>
      </c>
      <c r="J226" s="2">
        <v>87833</v>
      </c>
      <c r="K226" s="2">
        <v>206703</v>
      </c>
      <c r="L226" s="4">
        <v>0.111536842716361</v>
      </c>
      <c r="M226" t="s">
        <v>4</v>
      </c>
      <c r="N226" s="25" t="str">
        <f>_xlfn.XLOOKUP(Table4__2_1_1_138[[#This Row],[Campaign]],$R$2:$R$6,$U$2:$U$6)</f>
        <v>Health &amp; Fitness Awareness</v>
      </c>
    </row>
    <row r="227" spans="1:14" x14ac:dyDescent="0.3">
      <c r="A227" t="s">
        <v>250</v>
      </c>
      <c r="B227" t="s">
        <v>28</v>
      </c>
      <c r="C227" s="1">
        <v>45908</v>
      </c>
      <c r="D227" t="s">
        <v>11</v>
      </c>
      <c r="E227" t="s">
        <v>25</v>
      </c>
      <c r="F227" s="2">
        <v>23785</v>
      </c>
      <c r="G227" s="2">
        <v>1013</v>
      </c>
      <c r="H227" s="2">
        <v>468</v>
      </c>
      <c r="I227" s="2">
        <v>1628</v>
      </c>
      <c r="J227" s="2">
        <v>8272</v>
      </c>
      <c r="K227" s="2">
        <v>71348</v>
      </c>
      <c r="L227" s="4">
        <v>0.35412345125301298</v>
      </c>
      <c r="M227" t="s">
        <v>8</v>
      </c>
      <c r="N227" s="25" t="str">
        <f>_xlfn.XLOOKUP(Table4__2_1_1_138[[#This Row],[Campaign]],$R$2:$R$6,$U$2:$U$6)</f>
        <v>Brand Engagement</v>
      </c>
    </row>
    <row r="228" spans="1:14" x14ac:dyDescent="0.3">
      <c r="A228" t="s">
        <v>251</v>
      </c>
      <c r="B228" t="s">
        <v>10</v>
      </c>
      <c r="C228" s="1">
        <v>45455</v>
      </c>
      <c r="D228" t="s">
        <v>11</v>
      </c>
      <c r="E228" t="s">
        <v>7</v>
      </c>
      <c r="F228" s="2">
        <v>17679</v>
      </c>
      <c r="G228" s="2">
        <v>690</v>
      </c>
      <c r="H228" s="2">
        <v>451</v>
      </c>
      <c r="I228" s="2">
        <v>2195</v>
      </c>
      <c r="J228" s="2">
        <v>4390</v>
      </c>
      <c r="K228" s="2">
        <v>235804</v>
      </c>
      <c r="L228" s="4">
        <v>7.9812047293515001E-2</v>
      </c>
      <c r="M228" t="s">
        <v>33</v>
      </c>
      <c r="N228" s="25" t="str">
        <f>_xlfn.XLOOKUP(Table4__2_1_1_138[[#This Row],[Campaign]],$R$2:$R$6,$U$2:$U$6)</f>
        <v>Product Promotion</v>
      </c>
    </row>
    <row r="229" spans="1:14" x14ac:dyDescent="0.3">
      <c r="A229" t="s">
        <v>252</v>
      </c>
      <c r="B229" t="s">
        <v>28</v>
      </c>
      <c r="C229" s="1">
        <v>45474</v>
      </c>
      <c r="D229" t="s">
        <v>15</v>
      </c>
      <c r="E229" t="s">
        <v>12</v>
      </c>
      <c r="F229" s="2">
        <v>3761</v>
      </c>
      <c r="G229" s="2">
        <v>651</v>
      </c>
      <c r="H229" s="2">
        <v>493</v>
      </c>
      <c r="I229" s="2">
        <v>2294</v>
      </c>
      <c r="J229" s="2">
        <v>71696</v>
      </c>
      <c r="K229" s="2">
        <v>41177</v>
      </c>
      <c r="L229" s="4">
        <v>0.11911989702989501</v>
      </c>
      <c r="M229" t="s">
        <v>4</v>
      </c>
      <c r="N229" s="25" t="str">
        <f>_xlfn.XLOOKUP(Table4__2_1_1_138[[#This Row],[Campaign]],$R$2:$R$6,$U$2:$U$6)</f>
        <v>Health &amp; Fitness Awareness</v>
      </c>
    </row>
    <row r="230" spans="1:14" x14ac:dyDescent="0.3">
      <c r="A230" t="s">
        <v>253</v>
      </c>
      <c r="B230" t="s">
        <v>10</v>
      </c>
      <c r="C230" s="1">
        <v>45476</v>
      </c>
      <c r="D230" t="s">
        <v>15</v>
      </c>
      <c r="E230" t="s">
        <v>7</v>
      </c>
      <c r="F230" s="2">
        <v>12167</v>
      </c>
      <c r="G230" s="2">
        <v>364</v>
      </c>
      <c r="H230" s="2">
        <v>160</v>
      </c>
      <c r="I230" s="2">
        <v>616</v>
      </c>
      <c r="J230" s="2">
        <v>42228</v>
      </c>
      <c r="K230" s="2">
        <v>175832</v>
      </c>
      <c r="L230" s="4">
        <v>7.2176850630147005E-2</v>
      </c>
      <c r="M230" t="s">
        <v>13</v>
      </c>
      <c r="N230" s="25" t="str">
        <f>_xlfn.XLOOKUP(Table4__2_1_1_138[[#This Row],[Campaign]],$R$2:$R$6,$U$2:$U$6)</f>
        <v>Sustainability Branding</v>
      </c>
    </row>
    <row r="231" spans="1:14" x14ac:dyDescent="0.3">
      <c r="A231" t="s">
        <v>254</v>
      </c>
      <c r="B231" t="s">
        <v>10</v>
      </c>
      <c r="C231" s="1">
        <v>45488</v>
      </c>
      <c r="D231" t="s">
        <v>15</v>
      </c>
      <c r="E231" t="s">
        <v>20</v>
      </c>
      <c r="F231" s="2">
        <v>12554</v>
      </c>
      <c r="G231" s="2">
        <v>381</v>
      </c>
      <c r="H231" s="2">
        <v>211</v>
      </c>
      <c r="I231" s="2">
        <v>2286</v>
      </c>
      <c r="J231" s="2">
        <v>50567</v>
      </c>
      <c r="K231" s="2">
        <v>72779</v>
      </c>
      <c r="L231" s="4">
        <v>0.180629027604117</v>
      </c>
      <c r="M231" t="s">
        <v>4</v>
      </c>
      <c r="N231" s="25" t="str">
        <f>_xlfn.XLOOKUP(Table4__2_1_1_138[[#This Row],[Campaign]],$R$2:$R$6,$U$2:$U$6)</f>
        <v>Health &amp; Fitness Awareness</v>
      </c>
    </row>
    <row r="232" spans="1:14" x14ac:dyDescent="0.3">
      <c r="A232" t="s">
        <v>255</v>
      </c>
      <c r="B232" t="s">
        <v>28</v>
      </c>
      <c r="C232" s="1">
        <v>45909</v>
      </c>
      <c r="D232" t="s">
        <v>2</v>
      </c>
      <c r="E232" t="s">
        <v>23</v>
      </c>
      <c r="F232" s="2">
        <v>19260</v>
      </c>
      <c r="G232" s="2">
        <v>668</v>
      </c>
      <c r="H232" s="2">
        <v>994</v>
      </c>
      <c r="I232" s="2">
        <v>934</v>
      </c>
      <c r="J232" s="2">
        <v>20509</v>
      </c>
      <c r="K232" s="2">
        <v>61636</v>
      </c>
      <c r="L232" s="4">
        <v>0.33944448049840997</v>
      </c>
      <c r="M232" t="s">
        <v>8</v>
      </c>
      <c r="N232" s="25" t="str">
        <f>_xlfn.XLOOKUP(Table4__2_1_1_138[[#This Row],[Campaign]],$R$2:$R$6,$U$2:$U$6)</f>
        <v>Brand Engagement</v>
      </c>
    </row>
    <row r="233" spans="1:14" x14ac:dyDescent="0.3">
      <c r="A233" t="s">
        <v>256</v>
      </c>
      <c r="B233" t="s">
        <v>6</v>
      </c>
      <c r="C233" s="1">
        <v>45776</v>
      </c>
      <c r="D233" t="s">
        <v>22</v>
      </c>
      <c r="E233" t="s">
        <v>25</v>
      </c>
      <c r="F233" s="2">
        <v>16277</v>
      </c>
      <c r="G233" s="2">
        <v>1109</v>
      </c>
      <c r="H233" s="2">
        <v>375</v>
      </c>
      <c r="I233" s="2">
        <v>2225</v>
      </c>
      <c r="J233" s="2">
        <v>1044</v>
      </c>
      <c r="K233" s="2">
        <v>121889</v>
      </c>
      <c r="L233" s="4">
        <v>0.145714543560124</v>
      </c>
      <c r="M233" t="s">
        <v>17</v>
      </c>
      <c r="N233" s="25" t="str">
        <f>_xlfn.XLOOKUP(Table4__2_1_1_138[[#This Row],[Campaign]],$R$2:$R$6,$U$2:$U$6)</f>
        <v>Product Launch</v>
      </c>
    </row>
    <row r="234" spans="1:14" x14ac:dyDescent="0.3">
      <c r="A234" t="s">
        <v>257</v>
      </c>
      <c r="B234" t="s">
        <v>6</v>
      </c>
      <c r="C234" s="1">
        <v>45724</v>
      </c>
      <c r="D234" t="s">
        <v>2</v>
      </c>
      <c r="E234" t="s">
        <v>3</v>
      </c>
      <c r="F234" s="2">
        <v>5812</v>
      </c>
      <c r="G234" s="2">
        <v>934</v>
      </c>
      <c r="H234" s="2">
        <v>302</v>
      </c>
      <c r="I234" s="2">
        <v>2356</v>
      </c>
      <c r="J234" s="2">
        <v>37437</v>
      </c>
      <c r="K234" s="2">
        <v>93551</v>
      </c>
      <c r="L234" s="4">
        <v>7.5338585370546607E-2</v>
      </c>
      <c r="M234" t="s">
        <v>4</v>
      </c>
      <c r="N234" s="25" t="str">
        <f>_xlfn.XLOOKUP(Table4__2_1_1_138[[#This Row],[Campaign]],$R$2:$R$6,$U$2:$U$6)</f>
        <v>Health &amp; Fitness Awareness</v>
      </c>
    </row>
    <row r="235" spans="1:14" x14ac:dyDescent="0.3">
      <c r="A235" t="s">
        <v>258</v>
      </c>
      <c r="B235" t="s">
        <v>6</v>
      </c>
      <c r="C235" s="1">
        <v>45444</v>
      </c>
      <c r="D235" t="s">
        <v>2</v>
      </c>
      <c r="E235" t="s">
        <v>23</v>
      </c>
      <c r="F235" s="2">
        <v>19844</v>
      </c>
      <c r="G235" s="2">
        <v>1022</v>
      </c>
      <c r="H235" s="2">
        <v>860</v>
      </c>
      <c r="I235" s="2">
        <v>2570</v>
      </c>
      <c r="J235" s="2">
        <v>23719</v>
      </c>
      <c r="K235" s="2">
        <v>182628</v>
      </c>
      <c r="L235" s="4">
        <v>0.118963138182535</v>
      </c>
      <c r="M235" t="s">
        <v>13</v>
      </c>
      <c r="N235" s="25" t="str">
        <f>_xlfn.XLOOKUP(Table4__2_1_1_138[[#This Row],[Campaign]],$R$2:$R$6,$U$2:$U$6)</f>
        <v>Sustainability Branding</v>
      </c>
    </row>
    <row r="236" spans="1:14" x14ac:dyDescent="0.3">
      <c r="A236" t="s">
        <v>259</v>
      </c>
      <c r="B236" t="s">
        <v>6</v>
      </c>
      <c r="C236" s="1">
        <v>45648</v>
      </c>
      <c r="D236" t="s">
        <v>11</v>
      </c>
      <c r="E236" t="s">
        <v>16</v>
      </c>
      <c r="F236" s="2">
        <v>20117</v>
      </c>
      <c r="G236" s="2">
        <v>1143</v>
      </c>
      <c r="H236" s="2">
        <v>713</v>
      </c>
      <c r="I236" s="2">
        <v>1739</v>
      </c>
      <c r="J236" s="2">
        <v>34444</v>
      </c>
      <c r="K236" s="2">
        <v>198670</v>
      </c>
      <c r="L236" s="4">
        <v>0.110600493280314</v>
      </c>
      <c r="M236" t="s">
        <v>33</v>
      </c>
      <c r="N236" s="25" t="str">
        <f>_xlfn.XLOOKUP(Table4__2_1_1_138[[#This Row],[Campaign]],$R$2:$R$6,$U$2:$U$6)</f>
        <v>Product Promotion</v>
      </c>
    </row>
    <row r="237" spans="1:14" x14ac:dyDescent="0.3">
      <c r="A237" t="s">
        <v>260</v>
      </c>
      <c r="B237" t="s">
        <v>6</v>
      </c>
      <c r="C237" s="1">
        <v>45523</v>
      </c>
      <c r="D237" t="s">
        <v>15</v>
      </c>
      <c r="E237" t="s">
        <v>43</v>
      </c>
      <c r="F237" s="2">
        <v>3605</v>
      </c>
      <c r="G237" s="2">
        <v>206</v>
      </c>
      <c r="H237" s="2">
        <v>921</v>
      </c>
      <c r="I237" s="2">
        <v>852</v>
      </c>
      <c r="J237" s="2">
        <v>11660</v>
      </c>
      <c r="K237" s="2">
        <v>182635</v>
      </c>
      <c r="L237" s="4">
        <v>2.5909601116982001E-2</v>
      </c>
      <c r="M237" t="s">
        <v>17</v>
      </c>
      <c r="N237" s="25" t="str">
        <f>_xlfn.XLOOKUP(Table4__2_1_1_138[[#This Row],[Campaign]],$R$2:$R$6,$U$2:$U$6)</f>
        <v>Product Launch</v>
      </c>
    </row>
    <row r="238" spans="1:14" x14ac:dyDescent="0.3">
      <c r="A238" t="s">
        <v>261</v>
      </c>
      <c r="B238" t="s">
        <v>28</v>
      </c>
      <c r="C238" s="1">
        <v>45587</v>
      </c>
      <c r="D238" t="s">
        <v>22</v>
      </c>
      <c r="E238" t="s">
        <v>12</v>
      </c>
      <c r="F238" s="2">
        <v>7622</v>
      </c>
      <c r="G238" s="2">
        <v>529</v>
      </c>
      <c r="H238" s="2">
        <v>720</v>
      </c>
      <c r="I238" s="2">
        <v>1015</v>
      </c>
      <c r="J238" s="2">
        <v>71322</v>
      </c>
      <c r="K238" s="2">
        <v>86819</v>
      </c>
      <c r="L238" s="4">
        <v>0.1021780946567</v>
      </c>
      <c r="M238" t="s">
        <v>33</v>
      </c>
      <c r="N238" s="25" t="str">
        <f>_xlfn.XLOOKUP(Table4__2_1_1_138[[#This Row],[Campaign]],$R$2:$R$6,$U$2:$U$6)</f>
        <v>Product Promotion</v>
      </c>
    </row>
    <row r="239" spans="1:14" x14ac:dyDescent="0.3">
      <c r="A239" t="s">
        <v>262</v>
      </c>
      <c r="B239" t="s">
        <v>28</v>
      </c>
      <c r="C239" s="1">
        <v>45489</v>
      </c>
      <c r="D239" t="s">
        <v>11</v>
      </c>
      <c r="E239" t="s">
        <v>29</v>
      </c>
      <c r="F239" s="2">
        <v>8767</v>
      </c>
      <c r="G239" s="2">
        <v>974</v>
      </c>
      <c r="H239" s="2">
        <v>733</v>
      </c>
      <c r="I239" s="2">
        <v>1587</v>
      </c>
      <c r="J239" s="2">
        <v>74927</v>
      </c>
      <c r="K239" s="2">
        <v>113770</v>
      </c>
      <c r="L239" s="4">
        <v>9.2062933989628198E-2</v>
      </c>
      <c r="M239" t="s">
        <v>4</v>
      </c>
      <c r="N239" s="25" t="str">
        <f>_xlfn.XLOOKUP(Table4__2_1_1_138[[#This Row],[Campaign]],$R$2:$R$6,$U$2:$U$6)</f>
        <v>Health &amp; Fitness Awareness</v>
      </c>
    </row>
    <row r="240" spans="1:14" x14ac:dyDescent="0.3">
      <c r="A240" t="s">
        <v>263</v>
      </c>
      <c r="B240" t="s">
        <v>1</v>
      </c>
      <c r="C240" s="1">
        <v>45910</v>
      </c>
      <c r="D240" t="s">
        <v>2</v>
      </c>
      <c r="E240" t="s">
        <v>7</v>
      </c>
      <c r="F240" s="2">
        <v>13613</v>
      </c>
      <c r="G240" s="2">
        <v>350</v>
      </c>
      <c r="H240" s="2">
        <v>809</v>
      </c>
      <c r="I240" s="2">
        <v>2013</v>
      </c>
      <c r="J240" s="2">
        <v>20471</v>
      </c>
      <c r="K240" s="2">
        <v>198038</v>
      </c>
      <c r="L240" s="4">
        <v>7.4591745018632805E-2</v>
      </c>
      <c r="M240" t="s">
        <v>8</v>
      </c>
      <c r="N240" s="25" t="str">
        <f>_xlfn.XLOOKUP(Table4__2_1_1_138[[#This Row],[Campaign]],$R$2:$R$6,$U$2:$U$6)</f>
        <v>Brand Engagement</v>
      </c>
    </row>
    <row r="241" spans="1:14" x14ac:dyDescent="0.3">
      <c r="A241" t="s">
        <v>264</v>
      </c>
      <c r="B241" t="s">
        <v>6</v>
      </c>
      <c r="C241" s="1">
        <v>45911</v>
      </c>
      <c r="D241" t="s">
        <v>15</v>
      </c>
      <c r="E241" t="s">
        <v>23</v>
      </c>
      <c r="F241" s="2">
        <v>21901</v>
      </c>
      <c r="G241" s="2">
        <v>1308</v>
      </c>
      <c r="H241" s="2">
        <v>724</v>
      </c>
      <c r="I241" s="2">
        <v>2183</v>
      </c>
      <c r="J241" s="2">
        <v>15996</v>
      </c>
      <c r="K241" s="2">
        <v>230961</v>
      </c>
      <c r="L241" s="4">
        <v>0.103623555492053</v>
      </c>
      <c r="M241" t="s">
        <v>8</v>
      </c>
      <c r="N241" s="25" t="str">
        <f>_xlfn.XLOOKUP(Table4__2_1_1_138[[#This Row],[Campaign]],$R$2:$R$6,$U$2:$U$6)</f>
        <v>Brand Engagement</v>
      </c>
    </row>
    <row r="242" spans="1:14" x14ac:dyDescent="0.3">
      <c r="A242" t="s">
        <v>265</v>
      </c>
      <c r="B242" t="s">
        <v>28</v>
      </c>
      <c r="C242" s="1">
        <v>45675</v>
      </c>
      <c r="D242" t="s">
        <v>11</v>
      </c>
      <c r="E242" t="s">
        <v>43</v>
      </c>
      <c r="F242" s="2">
        <v>12589</v>
      </c>
      <c r="G242" s="2">
        <v>346</v>
      </c>
      <c r="H242" s="2">
        <v>459</v>
      </c>
      <c r="I242" s="2">
        <v>1407</v>
      </c>
      <c r="J242" s="2">
        <v>29254</v>
      </c>
      <c r="K242" s="2">
        <v>198059</v>
      </c>
      <c r="L242" s="4">
        <v>6.7626313371268204E-2</v>
      </c>
      <c r="M242" t="s">
        <v>13</v>
      </c>
      <c r="N242" s="25" t="str">
        <f>_xlfn.XLOOKUP(Table4__2_1_1_138[[#This Row],[Campaign]],$R$2:$R$6,$U$2:$U$6)</f>
        <v>Sustainability Branding</v>
      </c>
    </row>
    <row r="243" spans="1:14" x14ac:dyDescent="0.3">
      <c r="A243" t="s">
        <v>266</v>
      </c>
      <c r="B243" t="s">
        <v>1</v>
      </c>
      <c r="C243" s="1">
        <v>45912</v>
      </c>
      <c r="D243" t="s">
        <v>15</v>
      </c>
      <c r="E243" t="s">
        <v>23</v>
      </c>
      <c r="F243" s="2">
        <v>15918</v>
      </c>
      <c r="G243" s="2">
        <v>1114</v>
      </c>
      <c r="H243" s="2">
        <v>392</v>
      </c>
      <c r="I243" s="2">
        <v>1641</v>
      </c>
      <c r="J243" s="2">
        <v>28044</v>
      </c>
      <c r="K243" s="2">
        <v>118714</v>
      </c>
      <c r="L243" s="4">
        <v>0.14677291642097801</v>
      </c>
      <c r="M243" t="s">
        <v>8</v>
      </c>
      <c r="N243" s="25" t="str">
        <f>_xlfn.XLOOKUP(Table4__2_1_1_138[[#This Row],[Campaign]],$R$2:$R$6,$U$2:$U$6)</f>
        <v>Brand Engagement</v>
      </c>
    </row>
    <row r="244" spans="1:14" x14ac:dyDescent="0.3">
      <c r="A244" t="s">
        <v>267</v>
      </c>
      <c r="B244" t="s">
        <v>6</v>
      </c>
      <c r="C244" s="1">
        <v>45722</v>
      </c>
      <c r="D244" t="s">
        <v>11</v>
      </c>
      <c r="E244" t="s">
        <v>29</v>
      </c>
      <c r="F244" s="2">
        <v>22119</v>
      </c>
      <c r="G244" s="2">
        <v>899</v>
      </c>
      <c r="H244" s="2">
        <v>642</v>
      </c>
      <c r="I244" s="2">
        <v>410</v>
      </c>
      <c r="J244" s="2">
        <v>49490</v>
      </c>
      <c r="K244" s="2">
        <v>229420</v>
      </c>
      <c r="L244" s="4">
        <v>0.10312963124400699</v>
      </c>
      <c r="M244" t="s">
        <v>17</v>
      </c>
      <c r="N244" s="25" t="str">
        <f>_xlfn.XLOOKUP(Table4__2_1_1_138[[#This Row],[Campaign]],$R$2:$R$6,$U$2:$U$6)</f>
        <v>Product Launch</v>
      </c>
    </row>
    <row r="245" spans="1:14" x14ac:dyDescent="0.3">
      <c r="A245" t="s">
        <v>268</v>
      </c>
      <c r="B245" t="s">
        <v>10</v>
      </c>
      <c r="C245" s="1">
        <v>45913</v>
      </c>
      <c r="D245" t="s">
        <v>15</v>
      </c>
      <c r="E245" t="s">
        <v>43</v>
      </c>
      <c r="F245" s="2">
        <v>15046</v>
      </c>
      <c r="G245" s="2">
        <v>281</v>
      </c>
      <c r="H245" s="2">
        <v>515</v>
      </c>
      <c r="I245" s="2">
        <v>550</v>
      </c>
      <c r="J245" s="2">
        <v>22583</v>
      </c>
      <c r="K245" s="2">
        <v>64596</v>
      </c>
      <c r="L245" s="4">
        <v>0.24524738373893101</v>
      </c>
      <c r="M245" t="s">
        <v>8</v>
      </c>
      <c r="N245" s="25" t="str">
        <f>_xlfn.XLOOKUP(Table4__2_1_1_138[[#This Row],[Campaign]],$R$2:$R$6,$U$2:$U$6)</f>
        <v>Brand Engagement</v>
      </c>
    </row>
    <row r="246" spans="1:14" x14ac:dyDescent="0.3">
      <c r="A246" t="s">
        <v>269</v>
      </c>
      <c r="B246" t="s">
        <v>1</v>
      </c>
      <c r="C246" s="1">
        <v>45669</v>
      </c>
      <c r="D246" t="s">
        <v>2</v>
      </c>
      <c r="E246" t="s">
        <v>16</v>
      </c>
      <c r="F246" s="2">
        <v>4590</v>
      </c>
      <c r="G246" s="2">
        <v>713</v>
      </c>
      <c r="H246" s="2">
        <v>479</v>
      </c>
      <c r="I246" s="2">
        <v>2730</v>
      </c>
      <c r="J246" s="2">
        <v>41050</v>
      </c>
      <c r="K246" s="2">
        <v>204246</v>
      </c>
      <c r="L246" s="4">
        <v>2.8308999931455199E-2</v>
      </c>
      <c r="M246" t="s">
        <v>13</v>
      </c>
      <c r="N246" s="25" t="str">
        <f>_xlfn.XLOOKUP(Table4__2_1_1_138[[#This Row],[Campaign]],$R$2:$R$6,$U$2:$U$6)</f>
        <v>Sustainability Branding</v>
      </c>
    </row>
    <row r="247" spans="1:14" x14ac:dyDescent="0.3">
      <c r="A247" t="s">
        <v>270</v>
      </c>
      <c r="B247" t="s">
        <v>28</v>
      </c>
      <c r="C247" s="1">
        <v>45576</v>
      </c>
      <c r="D247" t="s">
        <v>22</v>
      </c>
      <c r="E247" t="s">
        <v>29</v>
      </c>
      <c r="F247" s="2">
        <v>19447</v>
      </c>
      <c r="G247" s="2">
        <v>1014</v>
      </c>
      <c r="H247" s="2">
        <v>256</v>
      </c>
      <c r="I247" s="2">
        <v>2354</v>
      </c>
      <c r="J247" s="2">
        <v>5472</v>
      </c>
      <c r="K247" s="2">
        <v>104106</v>
      </c>
      <c r="L247" s="4">
        <v>0.19899909707413599</v>
      </c>
      <c r="M247" t="s">
        <v>4</v>
      </c>
      <c r="N247" s="25" t="str">
        <f>_xlfn.XLOOKUP(Table4__2_1_1_138[[#This Row],[Campaign]],$R$2:$R$6,$U$2:$U$6)</f>
        <v>Health &amp; Fitness Awareness</v>
      </c>
    </row>
    <row r="248" spans="1:14" x14ac:dyDescent="0.3">
      <c r="A248" t="s">
        <v>271</v>
      </c>
      <c r="B248" t="s">
        <v>10</v>
      </c>
      <c r="C248" s="1">
        <v>45531</v>
      </c>
      <c r="D248" t="s">
        <v>2</v>
      </c>
      <c r="E248" t="s">
        <v>52</v>
      </c>
      <c r="F248" s="2">
        <v>6324</v>
      </c>
      <c r="G248" s="2">
        <v>908</v>
      </c>
      <c r="H248" s="2">
        <v>375</v>
      </c>
      <c r="I248" s="2">
        <v>758</v>
      </c>
      <c r="J248" s="2">
        <v>34850</v>
      </c>
      <c r="K248" s="2">
        <v>241039</v>
      </c>
      <c r="L248" s="4">
        <v>3.1559208260903797E-2</v>
      </c>
      <c r="M248" t="s">
        <v>4</v>
      </c>
      <c r="N248" s="25" t="str">
        <f>_xlfn.XLOOKUP(Table4__2_1_1_138[[#This Row],[Campaign]],$R$2:$R$6,$U$2:$U$6)</f>
        <v>Health &amp; Fitness Awareness</v>
      </c>
    </row>
    <row r="249" spans="1:14" x14ac:dyDescent="0.3">
      <c r="A249" t="s">
        <v>272</v>
      </c>
      <c r="B249" t="s">
        <v>10</v>
      </c>
      <c r="C249" s="1">
        <v>45914</v>
      </c>
      <c r="D249" t="s">
        <v>22</v>
      </c>
      <c r="E249" t="s">
        <v>38</v>
      </c>
      <c r="F249" s="2">
        <v>12787</v>
      </c>
      <c r="G249" s="2">
        <v>945</v>
      </c>
      <c r="H249" s="2">
        <v>974</v>
      </c>
      <c r="I249" s="2">
        <v>1407</v>
      </c>
      <c r="J249" s="2">
        <v>4037</v>
      </c>
      <c r="K249" s="2">
        <v>99182</v>
      </c>
      <c r="L249" s="4">
        <v>0.148272872093727</v>
      </c>
      <c r="M249" t="s">
        <v>8</v>
      </c>
      <c r="N249" s="25" t="str">
        <f>_xlfn.XLOOKUP(Table4__2_1_1_138[[#This Row],[Campaign]],$R$2:$R$6,$U$2:$U$6)</f>
        <v>Brand Engagement</v>
      </c>
    </row>
    <row r="250" spans="1:14" x14ac:dyDescent="0.3">
      <c r="A250" t="s">
        <v>273</v>
      </c>
      <c r="B250" t="s">
        <v>10</v>
      </c>
      <c r="C250" s="1">
        <v>45491</v>
      </c>
      <c r="D250" t="s">
        <v>15</v>
      </c>
      <c r="E250" t="s">
        <v>52</v>
      </c>
      <c r="F250" s="2">
        <v>11111</v>
      </c>
      <c r="G250" s="2">
        <v>1222</v>
      </c>
      <c r="H250" s="2">
        <v>367</v>
      </c>
      <c r="I250" s="2">
        <v>507</v>
      </c>
      <c r="J250" s="2">
        <v>14129</v>
      </c>
      <c r="K250" s="2">
        <v>127163</v>
      </c>
      <c r="L250" s="4">
        <v>9.9871818060284806E-2</v>
      </c>
      <c r="M250" t="s">
        <v>33</v>
      </c>
      <c r="N250" s="25" t="str">
        <f>_xlfn.XLOOKUP(Table4__2_1_1_138[[#This Row],[Campaign]],$R$2:$R$6,$U$2:$U$6)</f>
        <v>Product Promotion</v>
      </c>
    </row>
    <row r="251" spans="1:14" x14ac:dyDescent="0.3">
      <c r="A251" t="s">
        <v>274</v>
      </c>
      <c r="B251" t="s">
        <v>1</v>
      </c>
      <c r="C251" s="1">
        <v>45465</v>
      </c>
      <c r="D251" t="s">
        <v>11</v>
      </c>
      <c r="E251" t="s">
        <v>25</v>
      </c>
      <c r="F251" s="2">
        <v>7342</v>
      </c>
      <c r="G251" s="2">
        <v>906</v>
      </c>
      <c r="H251" s="2">
        <v>902</v>
      </c>
      <c r="I251" s="2">
        <v>1199</v>
      </c>
      <c r="J251" s="2">
        <v>68488</v>
      </c>
      <c r="K251" s="2">
        <v>79310</v>
      </c>
      <c r="L251" s="4">
        <v>0.115370066826378</v>
      </c>
      <c r="M251" t="s">
        <v>4</v>
      </c>
      <c r="N251" s="25" t="str">
        <f>_xlfn.XLOOKUP(Table4__2_1_1_138[[#This Row],[Campaign]],$R$2:$R$6,$U$2:$U$6)</f>
        <v>Health &amp; Fitness Awareness</v>
      </c>
    </row>
    <row r="252" spans="1:14" x14ac:dyDescent="0.3">
      <c r="A252" t="s">
        <v>275</v>
      </c>
      <c r="B252" t="s">
        <v>28</v>
      </c>
      <c r="C252" s="1">
        <v>45915</v>
      </c>
      <c r="D252" t="s">
        <v>2</v>
      </c>
      <c r="E252" t="s">
        <v>23</v>
      </c>
      <c r="F252" s="2">
        <v>18389</v>
      </c>
      <c r="G252" s="2">
        <v>670</v>
      </c>
      <c r="H252" s="2">
        <v>655</v>
      </c>
      <c r="I252" s="2">
        <v>321</v>
      </c>
      <c r="J252" s="2">
        <v>21869</v>
      </c>
      <c r="K252" s="2">
        <v>96088</v>
      </c>
      <c r="L252" s="4">
        <v>0.20516609774373501</v>
      </c>
      <c r="M252" t="s">
        <v>8</v>
      </c>
      <c r="N252" s="25" t="str">
        <f>_xlfn.XLOOKUP(Table4__2_1_1_138[[#This Row],[Campaign]],$R$2:$R$6,$U$2:$U$6)</f>
        <v>Brand Engagement</v>
      </c>
    </row>
    <row r="253" spans="1:14" x14ac:dyDescent="0.3">
      <c r="A253" t="s">
        <v>276</v>
      </c>
      <c r="B253" t="s">
        <v>10</v>
      </c>
      <c r="C253" s="1">
        <v>45775</v>
      </c>
      <c r="D253" t="s">
        <v>22</v>
      </c>
      <c r="E253" t="s">
        <v>38</v>
      </c>
      <c r="F253" s="2">
        <v>10659</v>
      </c>
      <c r="G253" s="2">
        <v>1342</v>
      </c>
      <c r="H253" s="2">
        <v>408</v>
      </c>
      <c r="I253" s="2">
        <v>709</v>
      </c>
      <c r="J253" s="2">
        <v>16309</v>
      </c>
      <c r="K253" s="2">
        <v>168803</v>
      </c>
      <c r="L253" s="4">
        <v>7.3511726687321893E-2</v>
      </c>
      <c r="M253" t="s">
        <v>13</v>
      </c>
      <c r="N253" s="25" t="str">
        <f>_xlfn.XLOOKUP(Table4__2_1_1_138[[#This Row],[Campaign]],$R$2:$R$6,$U$2:$U$6)</f>
        <v>Sustainability Branding</v>
      </c>
    </row>
    <row r="254" spans="1:14" x14ac:dyDescent="0.3">
      <c r="A254" t="s">
        <v>277</v>
      </c>
      <c r="B254" t="s">
        <v>6</v>
      </c>
      <c r="C254" s="1">
        <v>45916</v>
      </c>
      <c r="D254" t="s">
        <v>2</v>
      </c>
      <c r="E254" t="s">
        <v>52</v>
      </c>
      <c r="F254" s="2">
        <v>16043</v>
      </c>
      <c r="G254" s="2">
        <v>595</v>
      </c>
      <c r="H254" s="2">
        <v>923</v>
      </c>
      <c r="I254" s="2">
        <v>1194</v>
      </c>
      <c r="J254" s="2">
        <v>52613</v>
      </c>
      <c r="K254" s="2">
        <v>179978</v>
      </c>
      <c r="L254" s="4">
        <v>9.7573036704486096E-2</v>
      </c>
      <c r="M254" t="s">
        <v>8</v>
      </c>
      <c r="N254" s="25" t="str">
        <f>_xlfn.XLOOKUP(Table4__2_1_1_138[[#This Row],[Campaign]],$R$2:$R$6,$U$2:$U$6)</f>
        <v>Brand Engagement</v>
      </c>
    </row>
    <row r="255" spans="1:14" x14ac:dyDescent="0.3">
      <c r="A255" t="s">
        <v>278</v>
      </c>
      <c r="B255" t="s">
        <v>10</v>
      </c>
      <c r="C255" s="1">
        <v>45671</v>
      </c>
      <c r="D255" t="s">
        <v>22</v>
      </c>
      <c r="E255" t="s">
        <v>38</v>
      </c>
      <c r="F255" s="2">
        <v>24350</v>
      </c>
      <c r="G255" s="2">
        <v>460</v>
      </c>
      <c r="H255" s="2">
        <v>666</v>
      </c>
      <c r="I255" s="2">
        <v>814</v>
      </c>
      <c r="J255" s="2">
        <v>21120</v>
      </c>
      <c r="K255" s="2">
        <v>76914</v>
      </c>
      <c r="L255" s="4">
        <v>0.33122708479600599</v>
      </c>
      <c r="M255" t="s">
        <v>4</v>
      </c>
      <c r="N255" s="25" t="str">
        <f>_xlfn.XLOOKUP(Table4__2_1_1_138[[#This Row],[Campaign]],$R$2:$R$6,$U$2:$U$6)</f>
        <v>Health &amp; Fitness Awareness</v>
      </c>
    </row>
    <row r="256" spans="1:14" x14ac:dyDescent="0.3">
      <c r="A256" t="s">
        <v>279</v>
      </c>
      <c r="B256" t="s">
        <v>10</v>
      </c>
      <c r="C256" s="1">
        <v>45750</v>
      </c>
      <c r="D256" t="s">
        <v>2</v>
      </c>
      <c r="E256" t="s">
        <v>103</v>
      </c>
      <c r="F256" s="2">
        <v>10837</v>
      </c>
      <c r="G256" s="2">
        <v>1004</v>
      </c>
      <c r="H256" s="2">
        <v>922</v>
      </c>
      <c r="I256" s="2">
        <v>1108</v>
      </c>
      <c r="J256" s="2">
        <v>36807</v>
      </c>
      <c r="K256" s="2">
        <v>150350</v>
      </c>
      <c r="L256" s="4">
        <v>8.4888593282341204E-2</v>
      </c>
      <c r="M256" t="s">
        <v>13</v>
      </c>
      <c r="N256" s="25" t="str">
        <f>_xlfn.XLOOKUP(Table4__2_1_1_138[[#This Row],[Campaign]],$R$2:$R$6,$U$2:$U$6)</f>
        <v>Sustainability Branding</v>
      </c>
    </row>
    <row r="257" spans="1:14" x14ac:dyDescent="0.3">
      <c r="A257" t="s">
        <v>280</v>
      </c>
      <c r="B257" t="s">
        <v>1</v>
      </c>
      <c r="C257" s="1">
        <v>45917</v>
      </c>
      <c r="D257" t="s">
        <v>22</v>
      </c>
      <c r="E257" t="s">
        <v>23</v>
      </c>
      <c r="F257" s="2">
        <v>2117</v>
      </c>
      <c r="G257" s="2">
        <v>1133</v>
      </c>
      <c r="H257" s="2">
        <v>203</v>
      </c>
      <c r="I257" s="2">
        <v>1173</v>
      </c>
      <c r="J257" s="2">
        <v>40125</v>
      </c>
      <c r="K257" s="2">
        <v>85379</v>
      </c>
      <c r="L257" s="4">
        <v>4.0443200318579502E-2</v>
      </c>
      <c r="M257" t="s">
        <v>8</v>
      </c>
      <c r="N257" s="25" t="str">
        <f>_xlfn.XLOOKUP(Table4__2_1_1_138[[#This Row],[Campaign]],$R$2:$R$6,$U$2:$U$6)</f>
        <v>Brand Engagement</v>
      </c>
    </row>
    <row r="258" spans="1:14" x14ac:dyDescent="0.3">
      <c r="A258" t="s">
        <v>281</v>
      </c>
      <c r="B258" t="s">
        <v>1</v>
      </c>
      <c r="C258" s="1">
        <v>45753</v>
      </c>
      <c r="D258" t="s">
        <v>22</v>
      </c>
      <c r="E258" t="s">
        <v>38</v>
      </c>
      <c r="F258" s="2">
        <v>15917</v>
      </c>
      <c r="G258" s="2">
        <v>1479</v>
      </c>
      <c r="H258" s="2">
        <v>196</v>
      </c>
      <c r="I258" s="2">
        <v>313</v>
      </c>
      <c r="J258" s="2">
        <v>48524</v>
      </c>
      <c r="K258" s="2">
        <v>249684</v>
      </c>
      <c r="L258" s="4">
        <v>7.0457057720959296E-2</v>
      </c>
      <c r="M258" t="s">
        <v>17</v>
      </c>
      <c r="N258" s="25" t="str">
        <f>_xlfn.XLOOKUP(Table4__2_1_1_138[[#This Row],[Campaign]],$R$2:$R$6,$U$2:$U$6)</f>
        <v>Product Launch</v>
      </c>
    </row>
    <row r="259" spans="1:14" x14ac:dyDescent="0.3">
      <c r="A259" t="s">
        <v>282</v>
      </c>
      <c r="B259" t="s">
        <v>28</v>
      </c>
      <c r="C259" s="1">
        <v>45509</v>
      </c>
      <c r="D259" t="s">
        <v>15</v>
      </c>
      <c r="E259" t="s">
        <v>3</v>
      </c>
      <c r="F259" s="2">
        <v>20935</v>
      </c>
      <c r="G259" s="2">
        <v>1104</v>
      </c>
      <c r="H259" s="2">
        <v>876</v>
      </c>
      <c r="I259" s="2">
        <v>1270</v>
      </c>
      <c r="J259" s="2">
        <v>21454</v>
      </c>
      <c r="K259" s="2">
        <v>208722</v>
      </c>
      <c r="L259" s="4">
        <v>0.10978718103506099</v>
      </c>
      <c r="M259" t="s">
        <v>13</v>
      </c>
      <c r="N259" s="25" t="str">
        <f>_xlfn.XLOOKUP(Table4__2_1_1_138[[#This Row],[Campaign]],$R$2:$R$6,$U$2:$U$6)</f>
        <v>Sustainability Branding</v>
      </c>
    </row>
    <row r="260" spans="1:14" x14ac:dyDescent="0.3">
      <c r="A260" t="s">
        <v>283</v>
      </c>
      <c r="B260" t="s">
        <v>6</v>
      </c>
      <c r="C260" s="1">
        <v>45698</v>
      </c>
      <c r="D260" t="s">
        <v>22</v>
      </c>
      <c r="E260" t="s">
        <v>7</v>
      </c>
      <c r="F260" s="2">
        <v>16309</v>
      </c>
      <c r="G260" s="2">
        <v>1449</v>
      </c>
      <c r="H260" s="2">
        <v>838</v>
      </c>
      <c r="I260" s="2">
        <v>2434</v>
      </c>
      <c r="J260" s="2">
        <v>2940</v>
      </c>
      <c r="K260" s="2">
        <v>217953</v>
      </c>
      <c r="L260" s="4">
        <v>8.5321147219813404E-2</v>
      </c>
      <c r="M260" t="s">
        <v>17</v>
      </c>
      <c r="N260" s="25" t="str">
        <f>_xlfn.XLOOKUP(Table4__2_1_1_138[[#This Row],[Campaign]],$R$2:$R$6,$U$2:$U$6)</f>
        <v>Product Launch</v>
      </c>
    </row>
    <row r="261" spans="1:14" x14ac:dyDescent="0.3">
      <c r="A261" t="s">
        <v>284</v>
      </c>
      <c r="B261" t="s">
        <v>1</v>
      </c>
      <c r="C261" s="1">
        <v>45700</v>
      </c>
      <c r="D261" t="s">
        <v>15</v>
      </c>
      <c r="E261" t="s">
        <v>7</v>
      </c>
      <c r="F261" s="2">
        <v>15234</v>
      </c>
      <c r="G261" s="2">
        <v>1276</v>
      </c>
      <c r="H261" s="2">
        <v>670</v>
      </c>
      <c r="I261" s="2">
        <v>1860</v>
      </c>
      <c r="J261" s="2">
        <v>60397</v>
      </c>
      <c r="K261" s="2">
        <v>86413</v>
      </c>
      <c r="L261" s="4">
        <v>0.19881267864788901</v>
      </c>
      <c r="M261" t="s">
        <v>33</v>
      </c>
      <c r="N261" s="25" t="str">
        <f>_xlfn.XLOOKUP(Table4__2_1_1_138[[#This Row],[Campaign]],$R$2:$R$6,$U$2:$U$6)</f>
        <v>Product Promotion</v>
      </c>
    </row>
    <row r="262" spans="1:14" x14ac:dyDescent="0.3">
      <c r="A262" t="s">
        <v>285</v>
      </c>
      <c r="B262" t="s">
        <v>10</v>
      </c>
      <c r="C262" s="1">
        <v>45592</v>
      </c>
      <c r="D262" t="s">
        <v>22</v>
      </c>
      <c r="E262" t="s">
        <v>3</v>
      </c>
      <c r="F262" s="2">
        <v>7560</v>
      </c>
      <c r="G262" s="2">
        <v>1139</v>
      </c>
      <c r="H262" s="2">
        <v>248</v>
      </c>
      <c r="I262" s="2">
        <v>1624</v>
      </c>
      <c r="J262" s="2">
        <v>72237</v>
      </c>
      <c r="K262" s="2">
        <v>177084</v>
      </c>
      <c r="L262" s="4">
        <v>5.0524045085947898E-2</v>
      </c>
      <c r="M262" t="s">
        <v>13</v>
      </c>
      <c r="N262" s="25" t="str">
        <f>_xlfn.XLOOKUP(Table4__2_1_1_138[[#This Row],[Campaign]],$R$2:$R$6,$U$2:$U$6)</f>
        <v>Sustainability Branding</v>
      </c>
    </row>
    <row r="263" spans="1:14" x14ac:dyDescent="0.3">
      <c r="A263" t="s">
        <v>286</v>
      </c>
      <c r="B263" t="s">
        <v>28</v>
      </c>
      <c r="C263" s="1">
        <v>45675</v>
      </c>
      <c r="D263" t="s">
        <v>11</v>
      </c>
      <c r="E263" t="s">
        <v>43</v>
      </c>
      <c r="F263" s="2">
        <v>22673</v>
      </c>
      <c r="G263" s="2">
        <v>1053</v>
      </c>
      <c r="H263" s="2">
        <v>169</v>
      </c>
      <c r="I263" s="2">
        <v>1566</v>
      </c>
      <c r="J263" s="2">
        <v>9417</v>
      </c>
      <c r="K263" s="2">
        <v>221187</v>
      </c>
      <c r="L263" s="4">
        <v>0.108030761301523</v>
      </c>
      <c r="M263" t="s">
        <v>17</v>
      </c>
      <c r="N263" s="25" t="str">
        <f>_xlfn.XLOOKUP(Table4__2_1_1_138[[#This Row],[Campaign]],$R$2:$R$6,$U$2:$U$6)</f>
        <v>Product Launch</v>
      </c>
    </row>
    <row r="264" spans="1:14" x14ac:dyDescent="0.3">
      <c r="A264" t="s">
        <v>287</v>
      </c>
      <c r="B264" t="s">
        <v>10</v>
      </c>
      <c r="C264" s="1">
        <v>45524</v>
      </c>
      <c r="D264" t="s">
        <v>11</v>
      </c>
      <c r="E264" t="s">
        <v>20</v>
      </c>
      <c r="F264" s="2">
        <v>2846</v>
      </c>
      <c r="G264" s="2">
        <v>792</v>
      </c>
      <c r="H264" s="2">
        <v>902</v>
      </c>
      <c r="I264" s="2">
        <v>2469</v>
      </c>
      <c r="J264" s="2">
        <v>12130</v>
      </c>
      <c r="K264" s="2">
        <v>47151</v>
      </c>
      <c r="L264" s="4">
        <v>9.6286399015927601E-2</v>
      </c>
      <c r="M264" t="s">
        <v>4</v>
      </c>
      <c r="N264" s="25" t="str">
        <f>_xlfn.XLOOKUP(Table4__2_1_1_138[[#This Row],[Campaign]],$R$2:$R$6,$U$2:$U$6)</f>
        <v>Health &amp; Fitness Awareness</v>
      </c>
    </row>
    <row r="265" spans="1:14" x14ac:dyDescent="0.3">
      <c r="A265" t="s">
        <v>288</v>
      </c>
      <c r="B265" t="s">
        <v>10</v>
      </c>
      <c r="C265" s="1">
        <v>45687</v>
      </c>
      <c r="D265" t="s">
        <v>11</v>
      </c>
      <c r="E265" t="s">
        <v>43</v>
      </c>
      <c r="F265" s="2">
        <v>12954</v>
      </c>
      <c r="G265" s="2">
        <v>913</v>
      </c>
      <c r="H265" s="2">
        <v>722</v>
      </c>
      <c r="I265" s="2">
        <v>1049</v>
      </c>
      <c r="J265" s="2">
        <v>475</v>
      </c>
      <c r="K265" s="2">
        <v>97716</v>
      </c>
      <c r="L265" s="4">
        <v>0.14930001228048601</v>
      </c>
      <c r="M265" t="s">
        <v>4</v>
      </c>
      <c r="N265" s="25" t="str">
        <f>_xlfn.XLOOKUP(Table4__2_1_1_138[[#This Row],[Campaign]],$R$2:$R$6,$U$2:$U$6)</f>
        <v>Health &amp; Fitness Awareness</v>
      </c>
    </row>
    <row r="266" spans="1:14" x14ac:dyDescent="0.3">
      <c r="A266" t="s">
        <v>289</v>
      </c>
      <c r="B266" t="s">
        <v>1</v>
      </c>
      <c r="C266" s="1">
        <v>45708</v>
      </c>
      <c r="D266" t="s">
        <v>22</v>
      </c>
      <c r="E266" t="s">
        <v>29</v>
      </c>
      <c r="F266" s="2">
        <v>15703</v>
      </c>
      <c r="G266" s="2">
        <v>1381</v>
      </c>
      <c r="H266" s="2">
        <v>639</v>
      </c>
      <c r="I266" s="2">
        <v>984</v>
      </c>
      <c r="J266" s="2">
        <v>10967</v>
      </c>
      <c r="K266" s="2">
        <v>133747</v>
      </c>
      <c r="L266" s="4">
        <v>0.132511383432899</v>
      </c>
      <c r="M266" t="s">
        <v>33</v>
      </c>
      <c r="N266" s="25" t="str">
        <f>_xlfn.XLOOKUP(Table4__2_1_1_138[[#This Row],[Campaign]],$R$2:$R$6,$U$2:$U$6)</f>
        <v>Product Promotion</v>
      </c>
    </row>
    <row r="267" spans="1:14" x14ac:dyDescent="0.3">
      <c r="A267" t="s">
        <v>290</v>
      </c>
      <c r="B267" t="s">
        <v>28</v>
      </c>
      <c r="C267" s="1">
        <v>45621</v>
      </c>
      <c r="D267" t="s">
        <v>15</v>
      </c>
      <c r="E267" t="s">
        <v>29</v>
      </c>
      <c r="F267" s="2">
        <v>17385</v>
      </c>
      <c r="G267" s="2">
        <v>831</v>
      </c>
      <c r="H267" s="2">
        <v>568</v>
      </c>
      <c r="I267" s="2">
        <v>2227</v>
      </c>
      <c r="J267" s="2">
        <v>49351</v>
      </c>
      <c r="K267" s="2">
        <v>207450</v>
      </c>
      <c r="L267" s="4">
        <v>9.0547119787900698E-2</v>
      </c>
      <c r="M267" t="s">
        <v>13</v>
      </c>
      <c r="N267" s="25" t="str">
        <f>_xlfn.XLOOKUP(Table4__2_1_1_138[[#This Row],[Campaign]],$R$2:$R$6,$U$2:$U$6)</f>
        <v>Sustainability Branding</v>
      </c>
    </row>
    <row r="268" spans="1:14" x14ac:dyDescent="0.3">
      <c r="A268" t="s">
        <v>291</v>
      </c>
      <c r="B268" t="s">
        <v>6</v>
      </c>
      <c r="C268" s="1">
        <v>45569</v>
      </c>
      <c r="D268" t="s">
        <v>15</v>
      </c>
      <c r="E268" t="s">
        <v>38</v>
      </c>
      <c r="F268" s="2">
        <v>15746</v>
      </c>
      <c r="G268" s="2">
        <v>258</v>
      </c>
      <c r="H268" s="2">
        <v>839</v>
      </c>
      <c r="I268" s="2">
        <v>2656</v>
      </c>
      <c r="J268" s="2">
        <v>66614</v>
      </c>
      <c r="K268" s="2">
        <v>213724</v>
      </c>
      <c r="L268" s="4">
        <v>7.8807246729426697E-2</v>
      </c>
      <c r="M268" t="s">
        <v>13</v>
      </c>
      <c r="N268" s="25" t="str">
        <f>_xlfn.XLOOKUP(Table4__2_1_1_138[[#This Row],[Campaign]],$R$2:$R$6,$U$2:$U$6)</f>
        <v>Sustainability Branding</v>
      </c>
    </row>
    <row r="269" spans="1:14" x14ac:dyDescent="0.3">
      <c r="A269" t="s">
        <v>292</v>
      </c>
      <c r="B269" t="s">
        <v>6</v>
      </c>
      <c r="C269" s="1">
        <v>45760</v>
      </c>
      <c r="D269" t="s">
        <v>22</v>
      </c>
      <c r="E269" t="s">
        <v>52</v>
      </c>
      <c r="F269" s="2">
        <v>24700</v>
      </c>
      <c r="G269" s="2">
        <v>327</v>
      </c>
      <c r="H269" s="2">
        <v>999</v>
      </c>
      <c r="I269" s="2">
        <v>994</v>
      </c>
      <c r="J269" s="2">
        <v>59400</v>
      </c>
      <c r="K269" s="2">
        <v>243502</v>
      </c>
      <c r="L269" s="4">
        <v>0.106882078997298</v>
      </c>
      <c r="M269" t="s">
        <v>13</v>
      </c>
      <c r="N269" s="25" t="str">
        <f>_xlfn.XLOOKUP(Table4__2_1_1_138[[#This Row],[Campaign]],$R$2:$R$6,$U$2:$U$6)</f>
        <v>Sustainability Branding</v>
      </c>
    </row>
    <row r="270" spans="1:14" x14ac:dyDescent="0.3">
      <c r="A270" t="s">
        <v>293</v>
      </c>
      <c r="B270" t="s">
        <v>1</v>
      </c>
      <c r="C270" s="1">
        <v>45601</v>
      </c>
      <c r="D270" t="s">
        <v>11</v>
      </c>
      <c r="E270" t="s">
        <v>52</v>
      </c>
      <c r="F270" s="2">
        <v>8469</v>
      </c>
      <c r="G270" s="2">
        <v>935</v>
      </c>
      <c r="H270" s="2">
        <v>211</v>
      </c>
      <c r="I270" s="2">
        <v>2635</v>
      </c>
      <c r="J270" s="2">
        <v>21890</v>
      </c>
      <c r="K270" s="2">
        <v>184539</v>
      </c>
      <c r="L270" s="4">
        <v>5.2102807536618299E-2</v>
      </c>
      <c r="M270" t="s">
        <v>33</v>
      </c>
      <c r="N270" s="25" t="str">
        <f>_xlfn.XLOOKUP(Table4__2_1_1_138[[#This Row],[Campaign]],$R$2:$R$6,$U$2:$U$6)</f>
        <v>Product Promotion</v>
      </c>
    </row>
    <row r="271" spans="1:14" x14ac:dyDescent="0.3">
      <c r="A271" t="s">
        <v>294</v>
      </c>
      <c r="B271" t="s">
        <v>1</v>
      </c>
      <c r="C271" s="1">
        <v>45672</v>
      </c>
      <c r="D271" t="s">
        <v>11</v>
      </c>
      <c r="E271" t="s">
        <v>7</v>
      </c>
      <c r="F271" s="2">
        <v>11333</v>
      </c>
      <c r="G271" s="2">
        <v>920</v>
      </c>
      <c r="H271" s="2">
        <v>294</v>
      </c>
      <c r="I271" s="2">
        <v>606</v>
      </c>
      <c r="J271" s="2">
        <v>59490</v>
      </c>
      <c r="K271" s="2">
        <v>202082</v>
      </c>
      <c r="L271" s="4">
        <v>6.2088657079799298E-2</v>
      </c>
      <c r="M271" t="s">
        <v>13</v>
      </c>
      <c r="N271" s="25" t="str">
        <f>_xlfn.XLOOKUP(Table4__2_1_1_138[[#This Row],[Campaign]],$R$2:$R$6,$U$2:$U$6)</f>
        <v>Sustainability Branding</v>
      </c>
    </row>
    <row r="272" spans="1:14" x14ac:dyDescent="0.3">
      <c r="A272" t="s">
        <v>295</v>
      </c>
      <c r="B272" t="s">
        <v>28</v>
      </c>
      <c r="C272" s="1">
        <v>45582</v>
      </c>
      <c r="D272" t="s">
        <v>15</v>
      </c>
      <c r="E272" t="s">
        <v>12</v>
      </c>
      <c r="F272" s="2">
        <v>18608</v>
      </c>
      <c r="G272" s="2">
        <v>1338</v>
      </c>
      <c r="H272" s="2">
        <v>365</v>
      </c>
      <c r="I272" s="2">
        <v>2289</v>
      </c>
      <c r="J272" s="2">
        <v>20785</v>
      </c>
      <c r="K272" s="2">
        <v>161999</v>
      </c>
      <c r="L272" s="4">
        <v>0.12537731714393299</v>
      </c>
      <c r="M272" t="s">
        <v>4</v>
      </c>
      <c r="N272" s="25" t="str">
        <f>_xlfn.XLOOKUP(Table4__2_1_1_138[[#This Row],[Campaign]],$R$2:$R$6,$U$2:$U$6)</f>
        <v>Health &amp; Fitness Awareness</v>
      </c>
    </row>
    <row r="273" spans="1:14" x14ac:dyDescent="0.3">
      <c r="A273" t="s">
        <v>296</v>
      </c>
      <c r="B273" t="s">
        <v>6</v>
      </c>
      <c r="C273" s="1">
        <v>45743</v>
      </c>
      <c r="D273" t="s">
        <v>11</v>
      </c>
      <c r="E273" t="s">
        <v>43</v>
      </c>
      <c r="F273" s="2">
        <v>14819</v>
      </c>
      <c r="G273" s="2">
        <v>1432</v>
      </c>
      <c r="H273" s="2">
        <v>152</v>
      </c>
      <c r="I273" s="2">
        <v>961</v>
      </c>
      <c r="J273" s="2">
        <v>39154</v>
      </c>
      <c r="K273" s="2">
        <v>154793</v>
      </c>
      <c r="L273" s="4">
        <v>0.105967324103803</v>
      </c>
      <c r="M273" t="s">
        <v>17</v>
      </c>
      <c r="N273" s="25" t="str">
        <f>_xlfn.XLOOKUP(Table4__2_1_1_138[[#This Row],[Campaign]],$R$2:$R$6,$U$2:$U$6)</f>
        <v>Product Launch</v>
      </c>
    </row>
    <row r="274" spans="1:14" x14ac:dyDescent="0.3">
      <c r="A274" t="s">
        <v>297</v>
      </c>
      <c r="B274" t="s">
        <v>6</v>
      </c>
      <c r="C274" s="1">
        <v>45577</v>
      </c>
      <c r="D274" t="s">
        <v>2</v>
      </c>
      <c r="E274" t="s">
        <v>103</v>
      </c>
      <c r="F274" s="2">
        <v>6208</v>
      </c>
      <c r="G274" s="2">
        <v>725</v>
      </c>
      <c r="H274" s="2">
        <v>309</v>
      </c>
      <c r="I274" s="2">
        <v>848</v>
      </c>
      <c r="J274" s="2">
        <v>39319</v>
      </c>
      <c r="K274" s="2">
        <v>225763</v>
      </c>
      <c r="L274" s="4">
        <v>3.2077886987681797E-2</v>
      </c>
      <c r="M274" t="s">
        <v>4</v>
      </c>
      <c r="N274" s="25" t="str">
        <f>_xlfn.XLOOKUP(Table4__2_1_1_138[[#This Row],[Campaign]],$R$2:$R$6,$U$2:$U$6)</f>
        <v>Health &amp; Fitness Awareness</v>
      </c>
    </row>
    <row r="275" spans="1:14" x14ac:dyDescent="0.3">
      <c r="A275" t="s">
        <v>298</v>
      </c>
      <c r="B275" t="s">
        <v>6</v>
      </c>
      <c r="C275" s="1">
        <v>45658</v>
      </c>
      <c r="D275" t="s">
        <v>15</v>
      </c>
      <c r="E275" t="s">
        <v>23</v>
      </c>
      <c r="F275" s="2">
        <v>8283</v>
      </c>
      <c r="G275" s="2">
        <v>720</v>
      </c>
      <c r="H275" s="2">
        <v>888</v>
      </c>
      <c r="I275" s="2">
        <v>611</v>
      </c>
      <c r="J275" s="2">
        <v>52791</v>
      </c>
      <c r="K275" s="2">
        <v>235229</v>
      </c>
      <c r="L275" s="4">
        <v>4.2048386891072098E-2</v>
      </c>
      <c r="M275" t="s">
        <v>4</v>
      </c>
      <c r="N275" s="25" t="str">
        <f>_xlfn.XLOOKUP(Table4__2_1_1_138[[#This Row],[Campaign]],$R$2:$R$6,$U$2:$U$6)</f>
        <v>Health &amp; Fitness Awareness</v>
      </c>
    </row>
    <row r="276" spans="1:14" x14ac:dyDescent="0.3">
      <c r="A276" t="s">
        <v>299</v>
      </c>
      <c r="B276" t="s">
        <v>10</v>
      </c>
      <c r="C276" s="1">
        <v>45509</v>
      </c>
      <c r="D276" t="s">
        <v>11</v>
      </c>
      <c r="E276" t="s">
        <v>25</v>
      </c>
      <c r="F276" s="2">
        <v>4048</v>
      </c>
      <c r="G276" s="2">
        <v>751</v>
      </c>
      <c r="H276" s="2">
        <v>930</v>
      </c>
      <c r="I276" s="2">
        <v>1382</v>
      </c>
      <c r="J276" s="2">
        <v>16844</v>
      </c>
      <c r="K276" s="2">
        <v>148177</v>
      </c>
      <c r="L276" s="4">
        <v>3.8663220337839199E-2</v>
      </c>
      <c r="M276" t="s">
        <v>17</v>
      </c>
      <c r="N276" s="25" t="str">
        <f>_xlfn.XLOOKUP(Table4__2_1_1_138[[#This Row],[Campaign]],$R$2:$R$6,$U$2:$U$6)</f>
        <v>Product Launch</v>
      </c>
    </row>
    <row r="277" spans="1:14" x14ac:dyDescent="0.3">
      <c r="A277" t="s">
        <v>300</v>
      </c>
      <c r="B277" t="s">
        <v>6</v>
      </c>
      <c r="C277" s="1">
        <v>45450</v>
      </c>
      <c r="D277" t="s">
        <v>15</v>
      </c>
      <c r="E277" t="s">
        <v>16</v>
      </c>
      <c r="F277" s="2">
        <v>8233</v>
      </c>
      <c r="G277" s="2">
        <v>436</v>
      </c>
      <c r="H277" s="2">
        <v>269</v>
      </c>
      <c r="I277" s="2">
        <v>2037</v>
      </c>
      <c r="J277" s="2">
        <v>8875</v>
      </c>
      <c r="K277" s="2">
        <v>52289</v>
      </c>
      <c r="L277" s="4">
        <v>0.17093461339861199</v>
      </c>
      <c r="M277" t="s">
        <v>4</v>
      </c>
      <c r="N277" s="25" t="str">
        <f>_xlfn.XLOOKUP(Table4__2_1_1_138[[#This Row],[Campaign]],$R$2:$R$6,$U$2:$U$6)</f>
        <v>Health &amp; Fitness Awareness</v>
      </c>
    </row>
    <row r="278" spans="1:14" x14ac:dyDescent="0.3">
      <c r="A278" t="s">
        <v>301</v>
      </c>
      <c r="B278" t="s">
        <v>10</v>
      </c>
      <c r="C278" s="1">
        <v>45753</v>
      </c>
      <c r="D278" t="s">
        <v>2</v>
      </c>
      <c r="E278" t="s">
        <v>52</v>
      </c>
      <c r="F278" s="2">
        <v>14941</v>
      </c>
      <c r="G278" s="2">
        <v>1424</v>
      </c>
      <c r="H278" s="2">
        <v>238</v>
      </c>
      <c r="I278" s="2">
        <v>1054</v>
      </c>
      <c r="J278" s="2">
        <v>20516</v>
      </c>
      <c r="K278" s="2">
        <v>216048</v>
      </c>
      <c r="L278" s="4">
        <v>7.6848663260016298E-2</v>
      </c>
      <c r="M278" t="s">
        <v>33</v>
      </c>
      <c r="N278" s="25" t="str">
        <f>_xlfn.XLOOKUP(Table4__2_1_1_138[[#This Row],[Campaign]],$R$2:$R$6,$U$2:$U$6)</f>
        <v>Product Promotion</v>
      </c>
    </row>
    <row r="279" spans="1:14" x14ac:dyDescent="0.3">
      <c r="A279" t="s">
        <v>302</v>
      </c>
      <c r="B279" t="s">
        <v>28</v>
      </c>
      <c r="C279" s="1">
        <v>45622</v>
      </c>
      <c r="D279" t="s">
        <v>15</v>
      </c>
      <c r="E279" t="s">
        <v>23</v>
      </c>
      <c r="F279" s="2">
        <v>14607</v>
      </c>
      <c r="G279" s="2">
        <v>1458</v>
      </c>
      <c r="H279" s="2">
        <v>478</v>
      </c>
      <c r="I279" s="2">
        <v>334</v>
      </c>
      <c r="J279" s="2">
        <v>49257</v>
      </c>
      <c r="K279" s="2">
        <v>214668</v>
      </c>
      <c r="L279" s="4">
        <v>7.7063185942944396E-2</v>
      </c>
      <c r="M279" t="s">
        <v>17</v>
      </c>
      <c r="N279" s="25" t="str">
        <f>_xlfn.XLOOKUP(Table4__2_1_1_138[[#This Row],[Campaign]],$R$2:$R$6,$U$2:$U$6)</f>
        <v>Product Launch</v>
      </c>
    </row>
    <row r="280" spans="1:14" x14ac:dyDescent="0.3">
      <c r="A280" t="s">
        <v>303</v>
      </c>
      <c r="B280" t="s">
        <v>10</v>
      </c>
      <c r="C280" s="1">
        <v>45537</v>
      </c>
      <c r="D280" t="s">
        <v>15</v>
      </c>
      <c r="E280" t="s">
        <v>16</v>
      </c>
      <c r="F280" s="2">
        <v>11765</v>
      </c>
      <c r="G280" s="2">
        <v>693</v>
      </c>
      <c r="H280" s="2">
        <v>729</v>
      </c>
      <c r="I280" s="2">
        <v>744</v>
      </c>
      <c r="J280" s="2">
        <v>97772</v>
      </c>
      <c r="K280" s="2">
        <v>194243</v>
      </c>
      <c r="L280" s="4">
        <v>6.7889190344053593E-2</v>
      </c>
      <c r="M280" t="s">
        <v>4</v>
      </c>
      <c r="N280" s="25" t="str">
        <f>_xlfn.XLOOKUP(Table4__2_1_1_138[[#This Row],[Campaign]],$R$2:$R$6,$U$2:$U$6)</f>
        <v>Health &amp; Fitness Awareness</v>
      </c>
    </row>
    <row r="281" spans="1:14" x14ac:dyDescent="0.3">
      <c r="A281" t="s">
        <v>304</v>
      </c>
      <c r="B281" t="s">
        <v>28</v>
      </c>
      <c r="C281" s="1">
        <v>45918</v>
      </c>
      <c r="D281" t="s">
        <v>15</v>
      </c>
      <c r="E281" t="s">
        <v>23</v>
      </c>
      <c r="F281" s="2">
        <v>3828</v>
      </c>
      <c r="G281" s="2">
        <v>203</v>
      </c>
      <c r="H281" s="2">
        <v>506</v>
      </c>
      <c r="I281" s="2">
        <v>2440</v>
      </c>
      <c r="J281" s="2">
        <v>63650</v>
      </c>
      <c r="K281" s="2">
        <v>126365</v>
      </c>
      <c r="L281" s="4">
        <v>3.5903929094290403E-2</v>
      </c>
      <c r="M281" t="s">
        <v>8</v>
      </c>
      <c r="N281" s="25" t="str">
        <f>_xlfn.XLOOKUP(Table4__2_1_1_138[[#This Row],[Campaign]],$R$2:$R$6,$U$2:$U$6)</f>
        <v>Brand Engagement</v>
      </c>
    </row>
    <row r="282" spans="1:14" x14ac:dyDescent="0.3">
      <c r="A282" t="s">
        <v>305</v>
      </c>
      <c r="B282" t="s">
        <v>6</v>
      </c>
      <c r="C282" s="1">
        <v>45738</v>
      </c>
      <c r="D282" t="s">
        <v>15</v>
      </c>
      <c r="E282" t="s">
        <v>38</v>
      </c>
      <c r="F282" s="2">
        <v>3917</v>
      </c>
      <c r="G282" s="2">
        <v>865</v>
      </c>
      <c r="H282" s="2">
        <v>759</v>
      </c>
      <c r="I282" s="2">
        <v>2282</v>
      </c>
      <c r="J282" s="2">
        <v>56125</v>
      </c>
      <c r="K282" s="2">
        <v>154014</v>
      </c>
      <c r="L282" s="4">
        <v>3.5977248821535697E-2</v>
      </c>
      <c r="M282" t="s">
        <v>4</v>
      </c>
      <c r="N282" s="25" t="str">
        <f>_xlfn.XLOOKUP(Table4__2_1_1_138[[#This Row],[Campaign]],$R$2:$R$6,$U$2:$U$6)</f>
        <v>Health &amp; Fitness Awareness</v>
      </c>
    </row>
    <row r="283" spans="1:14" x14ac:dyDescent="0.3">
      <c r="A283" t="s">
        <v>306</v>
      </c>
      <c r="B283" t="s">
        <v>6</v>
      </c>
      <c r="C283" s="1">
        <v>45568</v>
      </c>
      <c r="D283" t="s">
        <v>2</v>
      </c>
      <c r="E283" t="s">
        <v>16</v>
      </c>
      <c r="F283" s="2">
        <v>22618</v>
      </c>
      <c r="G283" s="2">
        <v>641</v>
      </c>
      <c r="H283" s="2">
        <v>416</v>
      </c>
      <c r="I283" s="2">
        <v>1530</v>
      </c>
      <c r="J283" s="2">
        <v>18395</v>
      </c>
      <c r="K283" s="2">
        <v>215211</v>
      </c>
      <c r="L283" s="4">
        <v>0.110008317418719</v>
      </c>
      <c r="M283" t="s">
        <v>33</v>
      </c>
      <c r="N283" s="25" t="str">
        <f>_xlfn.XLOOKUP(Table4__2_1_1_138[[#This Row],[Campaign]],$R$2:$R$6,$U$2:$U$6)</f>
        <v>Product Promotion</v>
      </c>
    </row>
    <row r="284" spans="1:14" x14ac:dyDescent="0.3">
      <c r="A284" t="s">
        <v>307</v>
      </c>
      <c r="B284" t="s">
        <v>28</v>
      </c>
      <c r="C284" s="1">
        <v>45786</v>
      </c>
      <c r="D284" t="s">
        <v>22</v>
      </c>
      <c r="E284" t="s">
        <v>25</v>
      </c>
      <c r="F284" s="2">
        <v>8988</v>
      </c>
      <c r="G284" s="2">
        <v>228</v>
      </c>
      <c r="H284" s="2">
        <v>766</v>
      </c>
      <c r="I284" s="2">
        <v>652</v>
      </c>
      <c r="J284" s="2">
        <v>63789</v>
      </c>
      <c r="K284" s="2">
        <v>219785</v>
      </c>
      <c r="L284" s="4">
        <v>4.5417112177810103E-2</v>
      </c>
      <c r="M284" t="s">
        <v>13</v>
      </c>
      <c r="N284" s="25" t="str">
        <f>_xlfn.XLOOKUP(Table4__2_1_1_138[[#This Row],[Campaign]],$R$2:$R$6,$U$2:$U$6)</f>
        <v>Sustainability Branding</v>
      </c>
    </row>
    <row r="285" spans="1:14" x14ac:dyDescent="0.3">
      <c r="A285" t="s">
        <v>308</v>
      </c>
      <c r="B285" t="s">
        <v>1</v>
      </c>
      <c r="C285" s="1">
        <v>45552</v>
      </c>
      <c r="D285" t="s">
        <v>15</v>
      </c>
      <c r="E285" t="s">
        <v>23</v>
      </c>
      <c r="F285" s="2">
        <v>20410</v>
      </c>
      <c r="G285" s="2">
        <v>1332</v>
      </c>
      <c r="H285" s="2">
        <v>472</v>
      </c>
      <c r="I285" s="2">
        <v>1202</v>
      </c>
      <c r="J285" s="2">
        <v>9418</v>
      </c>
      <c r="K285" s="2">
        <v>200806</v>
      </c>
      <c r="L285" s="4">
        <v>0.110624184536319</v>
      </c>
      <c r="M285" t="s">
        <v>4</v>
      </c>
      <c r="N285" s="25" t="str">
        <f>_xlfn.XLOOKUP(Table4__2_1_1_138[[#This Row],[Campaign]],$R$2:$R$6,$U$2:$U$6)</f>
        <v>Health &amp; Fitness Awareness</v>
      </c>
    </row>
    <row r="286" spans="1:14" x14ac:dyDescent="0.3">
      <c r="A286" t="s">
        <v>309</v>
      </c>
      <c r="B286" t="s">
        <v>28</v>
      </c>
      <c r="C286" s="1">
        <v>45491</v>
      </c>
      <c r="D286" t="s">
        <v>15</v>
      </c>
      <c r="E286" t="s">
        <v>3</v>
      </c>
      <c r="F286" s="2">
        <v>16594</v>
      </c>
      <c r="G286" s="2">
        <v>809</v>
      </c>
      <c r="H286" s="2">
        <v>784</v>
      </c>
      <c r="I286" s="2">
        <v>1655</v>
      </c>
      <c r="J286" s="2">
        <v>35505</v>
      </c>
      <c r="K286" s="2">
        <v>112588</v>
      </c>
      <c r="L286" s="4">
        <v>0.161535865278715</v>
      </c>
      <c r="M286" t="s">
        <v>13</v>
      </c>
      <c r="N286" s="25" t="str">
        <f>_xlfn.XLOOKUP(Table4__2_1_1_138[[#This Row],[Campaign]],$R$2:$R$6,$U$2:$U$6)</f>
        <v>Sustainability Branding</v>
      </c>
    </row>
    <row r="287" spans="1:14" x14ac:dyDescent="0.3">
      <c r="A287" t="s">
        <v>310</v>
      </c>
      <c r="B287" t="s">
        <v>1</v>
      </c>
      <c r="C287" s="1">
        <v>45919</v>
      </c>
      <c r="D287" t="s">
        <v>11</v>
      </c>
      <c r="E287" t="s">
        <v>25</v>
      </c>
      <c r="F287" s="2">
        <v>22128</v>
      </c>
      <c r="G287" s="2">
        <v>1004</v>
      </c>
      <c r="H287" s="2">
        <v>690</v>
      </c>
      <c r="I287" s="2">
        <v>2048</v>
      </c>
      <c r="J287" s="2">
        <v>19443</v>
      </c>
      <c r="K287" s="2">
        <v>103646</v>
      </c>
      <c r="L287" s="4">
        <v>0.22984003241803799</v>
      </c>
      <c r="M287" t="s">
        <v>8</v>
      </c>
      <c r="N287" s="25" t="str">
        <f>_xlfn.XLOOKUP(Table4__2_1_1_138[[#This Row],[Campaign]],$R$2:$R$6,$U$2:$U$6)</f>
        <v>Brand Engagement</v>
      </c>
    </row>
    <row r="288" spans="1:14" x14ac:dyDescent="0.3">
      <c r="A288" t="s">
        <v>311</v>
      </c>
      <c r="B288" t="s">
        <v>10</v>
      </c>
      <c r="C288" s="1">
        <v>45519</v>
      </c>
      <c r="D288" t="s">
        <v>15</v>
      </c>
      <c r="E288" t="s">
        <v>16</v>
      </c>
      <c r="F288" s="2">
        <v>14977</v>
      </c>
      <c r="G288" s="2">
        <v>274</v>
      </c>
      <c r="H288" s="2">
        <v>798</v>
      </c>
      <c r="I288" s="2">
        <v>458</v>
      </c>
      <c r="J288" s="2">
        <v>6636</v>
      </c>
      <c r="K288" s="2">
        <v>43654</v>
      </c>
      <c r="L288" s="4">
        <v>0.367640995097815</v>
      </c>
      <c r="M288" t="s">
        <v>4</v>
      </c>
      <c r="N288" s="25" t="str">
        <f>_xlfn.XLOOKUP(Table4__2_1_1_138[[#This Row],[Campaign]],$R$2:$R$6,$U$2:$U$6)</f>
        <v>Health &amp; Fitness Awareness</v>
      </c>
    </row>
    <row r="289" spans="1:14" x14ac:dyDescent="0.3">
      <c r="A289" t="s">
        <v>312</v>
      </c>
      <c r="B289" t="s">
        <v>10</v>
      </c>
      <c r="C289" s="1">
        <v>45764</v>
      </c>
      <c r="D289" t="s">
        <v>11</v>
      </c>
      <c r="E289" t="s">
        <v>25</v>
      </c>
      <c r="F289" s="2">
        <v>2009</v>
      </c>
      <c r="G289" s="2">
        <v>1037</v>
      </c>
      <c r="H289" s="2">
        <v>344</v>
      </c>
      <c r="I289" s="2">
        <v>2277</v>
      </c>
      <c r="J289" s="2">
        <v>85743</v>
      </c>
      <c r="K289" s="2">
        <v>58743</v>
      </c>
      <c r="L289" s="4">
        <v>5.7709003625963901E-2</v>
      </c>
      <c r="M289" t="s">
        <v>17</v>
      </c>
      <c r="N289" s="25" t="str">
        <f>_xlfn.XLOOKUP(Table4__2_1_1_138[[#This Row],[Campaign]],$R$2:$R$6,$U$2:$U$6)</f>
        <v>Product Launch</v>
      </c>
    </row>
    <row r="290" spans="1:14" x14ac:dyDescent="0.3">
      <c r="A290" t="s">
        <v>313</v>
      </c>
      <c r="B290" t="s">
        <v>10</v>
      </c>
      <c r="C290" s="1">
        <v>45624</v>
      </c>
      <c r="D290" t="s">
        <v>22</v>
      </c>
      <c r="E290" t="s">
        <v>23</v>
      </c>
      <c r="F290" s="2">
        <v>18644</v>
      </c>
      <c r="G290" s="2">
        <v>1369</v>
      </c>
      <c r="H290" s="2">
        <v>887</v>
      </c>
      <c r="I290" s="2">
        <v>1256</v>
      </c>
      <c r="J290" s="2">
        <v>43415</v>
      </c>
      <c r="K290" s="2">
        <v>88368</v>
      </c>
      <c r="L290" s="4">
        <v>0.23651095419156301</v>
      </c>
      <c r="M290" t="s">
        <v>13</v>
      </c>
      <c r="N290" s="25" t="str">
        <f>_xlfn.XLOOKUP(Table4__2_1_1_138[[#This Row],[Campaign]],$R$2:$R$6,$U$2:$U$6)</f>
        <v>Sustainability Branding</v>
      </c>
    </row>
    <row r="291" spans="1:14" x14ac:dyDescent="0.3">
      <c r="A291" t="s">
        <v>314</v>
      </c>
      <c r="B291" t="s">
        <v>6</v>
      </c>
      <c r="C291" s="1">
        <v>45920</v>
      </c>
      <c r="D291" t="s">
        <v>2</v>
      </c>
      <c r="E291" t="s">
        <v>20</v>
      </c>
      <c r="F291" s="2">
        <v>24422</v>
      </c>
      <c r="G291" s="2">
        <v>327</v>
      </c>
      <c r="H291" s="2">
        <v>481</v>
      </c>
      <c r="I291" s="2">
        <v>2371</v>
      </c>
      <c r="J291" s="2">
        <v>35340</v>
      </c>
      <c r="K291" s="2">
        <v>245244</v>
      </c>
      <c r="L291" s="4">
        <v>0.10287713460879799</v>
      </c>
      <c r="M291" t="s">
        <v>8</v>
      </c>
      <c r="N291" s="25" t="str">
        <f>_xlfn.XLOOKUP(Table4__2_1_1_138[[#This Row],[Campaign]],$R$2:$R$6,$U$2:$U$6)</f>
        <v>Brand Engagement</v>
      </c>
    </row>
    <row r="292" spans="1:14" x14ac:dyDescent="0.3">
      <c r="A292" t="s">
        <v>315</v>
      </c>
      <c r="B292" t="s">
        <v>10</v>
      </c>
      <c r="C292" s="1">
        <v>45602</v>
      </c>
      <c r="D292" t="s">
        <v>2</v>
      </c>
      <c r="E292" t="s">
        <v>23</v>
      </c>
      <c r="F292" s="2">
        <v>11865</v>
      </c>
      <c r="G292" s="2">
        <v>241</v>
      </c>
      <c r="H292" s="2">
        <v>319</v>
      </c>
      <c r="I292" s="2">
        <v>703</v>
      </c>
      <c r="J292" s="2">
        <v>69596</v>
      </c>
      <c r="K292" s="2">
        <v>177513</v>
      </c>
      <c r="L292" s="4">
        <v>6.9994873614890193E-2</v>
      </c>
      <c r="M292" t="s">
        <v>17</v>
      </c>
      <c r="N292" s="25" t="str">
        <f>_xlfn.XLOOKUP(Table4__2_1_1_138[[#This Row],[Campaign]],$R$2:$R$6,$U$2:$U$6)</f>
        <v>Product Launch</v>
      </c>
    </row>
    <row r="293" spans="1:14" x14ac:dyDescent="0.3">
      <c r="A293" t="s">
        <v>316</v>
      </c>
      <c r="B293" t="s">
        <v>1</v>
      </c>
      <c r="C293" s="1">
        <v>45613</v>
      </c>
      <c r="D293" t="s">
        <v>22</v>
      </c>
      <c r="E293" t="s">
        <v>23</v>
      </c>
      <c r="F293" s="2">
        <v>4219</v>
      </c>
      <c r="G293" s="2">
        <v>240</v>
      </c>
      <c r="H293" s="2">
        <v>670</v>
      </c>
      <c r="I293" s="2">
        <v>815</v>
      </c>
      <c r="J293" s="2">
        <v>11978</v>
      </c>
      <c r="K293" s="2">
        <v>159735</v>
      </c>
      <c r="L293" s="4">
        <v>3.2109431245500399E-2</v>
      </c>
      <c r="M293" t="s">
        <v>17</v>
      </c>
      <c r="N293" s="25" t="str">
        <f>_xlfn.XLOOKUP(Table4__2_1_1_138[[#This Row],[Campaign]],$R$2:$R$6,$U$2:$U$6)</f>
        <v>Product Launch</v>
      </c>
    </row>
    <row r="294" spans="1:14" x14ac:dyDescent="0.3">
      <c r="A294" t="s">
        <v>317</v>
      </c>
      <c r="B294" t="s">
        <v>10</v>
      </c>
      <c r="C294" s="1">
        <v>45791</v>
      </c>
      <c r="D294" t="s">
        <v>2</v>
      </c>
      <c r="E294" t="s">
        <v>38</v>
      </c>
      <c r="F294" s="2">
        <v>9041</v>
      </c>
      <c r="G294" s="2">
        <v>1133</v>
      </c>
      <c r="H294" s="2">
        <v>612</v>
      </c>
      <c r="I294" s="2">
        <v>1687</v>
      </c>
      <c r="J294" s="2">
        <v>28102</v>
      </c>
      <c r="K294" s="2">
        <v>195683</v>
      </c>
      <c r="L294" s="4">
        <v>5.5119760020032403E-2</v>
      </c>
      <c r="M294" t="s">
        <v>17</v>
      </c>
      <c r="N294" s="25" t="str">
        <f>_xlfn.XLOOKUP(Table4__2_1_1_138[[#This Row],[Campaign]],$R$2:$R$6,$U$2:$U$6)</f>
        <v>Product Launch</v>
      </c>
    </row>
    <row r="295" spans="1:14" x14ac:dyDescent="0.3">
      <c r="A295" t="s">
        <v>318</v>
      </c>
      <c r="B295" t="s">
        <v>28</v>
      </c>
      <c r="C295" s="1">
        <v>45462</v>
      </c>
      <c r="D295" t="s">
        <v>22</v>
      </c>
      <c r="E295" t="s">
        <v>43</v>
      </c>
      <c r="F295" s="2">
        <v>20444</v>
      </c>
      <c r="G295" s="2">
        <v>233</v>
      </c>
      <c r="H295" s="2">
        <v>189</v>
      </c>
      <c r="I295" s="2">
        <v>2879</v>
      </c>
      <c r="J295" s="2">
        <v>28185</v>
      </c>
      <c r="K295" s="2">
        <v>159891</v>
      </c>
      <c r="L295" s="4">
        <v>0.13050140408153099</v>
      </c>
      <c r="M295" t="s">
        <v>17</v>
      </c>
      <c r="N295" s="25" t="str">
        <f>_xlfn.XLOOKUP(Table4__2_1_1_138[[#This Row],[Campaign]],$R$2:$R$6,$U$2:$U$6)</f>
        <v>Product Launch</v>
      </c>
    </row>
    <row r="296" spans="1:14" x14ac:dyDescent="0.3">
      <c r="A296" t="s">
        <v>319</v>
      </c>
      <c r="B296" t="s">
        <v>28</v>
      </c>
      <c r="C296" s="1">
        <v>45783</v>
      </c>
      <c r="D296" t="s">
        <v>22</v>
      </c>
      <c r="E296" t="s">
        <v>3</v>
      </c>
      <c r="F296" s="2">
        <v>7287</v>
      </c>
      <c r="G296" s="2">
        <v>1240</v>
      </c>
      <c r="H296" s="2">
        <v>686</v>
      </c>
      <c r="I296" s="2">
        <v>1255</v>
      </c>
      <c r="J296" s="2">
        <v>15403</v>
      </c>
      <c r="K296" s="2">
        <v>147971</v>
      </c>
      <c r="L296" s="4">
        <v>6.2262200025680697E-2</v>
      </c>
      <c r="M296" t="s">
        <v>4</v>
      </c>
      <c r="N296" s="25" t="str">
        <f>_xlfn.XLOOKUP(Table4__2_1_1_138[[#This Row],[Campaign]],$R$2:$R$6,$U$2:$U$6)</f>
        <v>Health &amp; Fitness Awareness</v>
      </c>
    </row>
    <row r="297" spans="1:14" x14ac:dyDescent="0.3">
      <c r="A297" t="s">
        <v>320</v>
      </c>
      <c r="B297" t="s">
        <v>6</v>
      </c>
      <c r="C297" s="1">
        <v>45699</v>
      </c>
      <c r="D297" t="s">
        <v>22</v>
      </c>
      <c r="E297" t="s">
        <v>103</v>
      </c>
      <c r="F297" s="2">
        <v>3619</v>
      </c>
      <c r="G297" s="2">
        <v>1376</v>
      </c>
      <c r="H297" s="2">
        <v>410</v>
      </c>
      <c r="I297" s="2">
        <v>2499</v>
      </c>
      <c r="J297" s="2">
        <v>58146</v>
      </c>
      <c r="K297" s="2">
        <v>52149</v>
      </c>
      <c r="L297" s="4">
        <v>0.103645323975532</v>
      </c>
      <c r="M297" t="s">
        <v>4</v>
      </c>
      <c r="N297" s="25" t="str">
        <f>_xlfn.XLOOKUP(Table4__2_1_1_138[[#This Row],[Campaign]],$R$2:$R$6,$U$2:$U$6)</f>
        <v>Health &amp; Fitness Awareness</v>
      </c>
    </row>
    <row r="298" spans="1:14" x14ac:dyDescent="0.3">
      <c r="A298" t="s">
        <v>321</v>
      </c>
      <c r="B298" t="s">
        <v>28</v>
      </c>
      <c r="C298" s="1">
        <v>45650</v>
      </c>
      <c r="D298" t="s">
        <v>2</v>
      </c>
      <c r="E298" t="s">
        <v>52</v>
      </c>
      <c r="F298" s="2">
        <v>10512</v>
      </c>
      <c r="G298" s="2">
        <v>1197</v>
      </c>
      <c r="H298" s="2">
        <v>544</v>
      </c>
      <c r="I298" s="2">
        <v>2012</v>
      </c>
      <c r="J298" s="2">
        <v>10245</v>
      </c>
      <c r="K298" s="2">
        <v>140102</v>
      </c>
      <c r="L298" s="4">
        <v>8.7457709383163704E-2</v>
      </c>
      <c r="M298" t="s">
        <v>4</v>
      </c>
      <c r="N298" s="25" t="str">
        <f>_xlfn.XLOOKUP(Table4__2_1_1_138[[#This Row],[Campaign]],$R$2:$R$6,$U$2:$U$6)</f>
        <v>Health &amp; Fitness Awareness</v>
      </c>
    </row>
    <row r="299" spans="1:14" x14ac:dyDescent="0.3">
      <c r="A299" t="s">
        <v>322</v>
      </c>
      <c r="B299" t="s">
        <v>1</v>
      </c>
      <c r="C299" s="1">
        <v>45924</v>
      </c>
      <c r="D299" t="s">
        <v>11</v>
      </c>
      <c r="E299" t="s">
        <v>29</v>
      </c>
      <c r="F299" s="2">
        <v>3342</v>
      </c>
      <c r="G299" s="2">
        <v>787</v>
      </c>
      <c r="H299" s="2">
        <v>375</v>
      </c>
      <c r="I299" s="2">
        <v>907</v>
      </c>
      <c r="J299" s="2">
        <v>85823</v>
      </c>
      <c r="K299" s="2">
        <v>99189</v>
      </c>
      <c r="L299" s="4">
        <v>4.5408260996683103E-2</v>
      </c>
      <c r="M299" t="s">
        <v>8</v>
      </c>
      <c r="N299" s="25" t="str">
        <f>_xlfn.XLOOKUP(Table4__2_1_1_138[[#This Row],[Campaign]],$R$2:$R$6,$U$2:$U$6)</f>
        <v>Brand Engagement</v>
      </c>
    </row>
    <row r="300" spans="1:14" x14ac:dyDescent="0.3">
      <c r="A300" t="s">
        <v>323</v>
      </c>
      <c r="B300" t="s">
        <v>10</v>
      </c>
      <c r="C300" s="1">
        <v>45925</v>
      </c>
      <c r="D300" t="s">
        <v>22</v>
      </c>
      <c r="E300" t="s">
        <v>43</v>
      </c>
      <c r="F300" s="2">
        <v>12568</v>
      </c>
      <c r="G300" s="2">
        <v>541</v>
      </c>
      <c r="H300" s="2">
        <v>273</v>
      </c>
      <c r="I300" s="2">
        <v>2767</v>
      </c>
      <c r="J300" s="2">
        <v>22331</v>
      </c>
      <c r="K300" s="2">
        <v>192747</v>
      </c>
      <c r="L300" s="4">
        <v>6.94277991356545E-2</v>
      </c>
      <c r="M300" t="s">
        <v>8</v>
      </c>
      <c r="N300" s="25" t="str">
        <f>_xlfn.XLOOKUP(Table4__2_1_1_138[[#This Row],[Campaign]],$R$2:$R$6,$U$2:$U$6)</f>
        <v>Brand Engagement</v>
      </c>
    </row>
    <row r="301" spans="1:14" x14ac:dyDescent="0.3">
      <c r="A301" t="s">
        <v>324</v>
      </c>
      <c r="B301" t="s">
        <v>6</v>
      </c>
      <c r="C301" s="1">
        <v>45926</v>
      </c>
      <c r="D301" t="s">
        <v>15</v>
      </c>
      <c r="E301" t="s">
        <v>29</v>
      </c>
      <c r="F301" s="2">
        <v>21216</v>
      </c>
      <c r="G301" s="2">
        <v>226</v>
      </c>
      <c r="H301" s="2">
        <v>187</v>
      </c>
      <c r="I301" s="2">
        <v>1573</v>
      </c>
      <c r="J301" s="2">
        <v>62688</v>
      </c>
      <c r="K301" s="2">
        <v>111031</v>
      </c>
      <c r="L301" s="4">
        <v>0.19480145184678199</v>
      </c>
      <c r="M301" t="s">
        <v>8</v>
      </c>
      <c r="N301" s="25" t="str">
        <f>_xlfn.XLOOKUP(Table4__2_1_1_138[[#This Row],[Campaign]],$R$2:$R$6,$U$2:$U$6)</f>
        <v>Brand Engagement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25D3-76E5-4711-9EC2-B74DADA50187}">
  <dimension ref="A1:M201"/>
  <sheetViews>
    <sheetView topLeftCell="G1" workbookViewId="0">
      <selection activeCell="M6" sqref="M6"/>
    </sheetView>
  </sheetViews>
  <sheetFormatPr defaultRowHeight="14.4" x14ac:dyDescent="0.3"/>
  <cols>
    <col min="1" max="1" width="17.5546875" bestFit="1" customWidth="1"/>
    <col min="2" max="2" width="10.44140625" bestFit="1" customWidth="1"/>
    <col min="3" max="3" width="15.77734375" bestFit="1" customWidth="1"/>
    <col min="4" max="4" width="11.33203125" bestFit="1" customWidth="1"/>
    <col min="5" max="5" width="16.21875" bestFit="1" customWidth="1"/>
    <col min="6" max="6" width="21" bestFit="1" customWidth="1"/>
    <col min="7" max="7" width="18" bestFit="1" customWidth="1"/>
    <col min="8" max="8" width="11.5546875" bestFit="1" customWidth="1"/>
    <col min="10" max="10" width="56.44140625" bestFit="1" customWidth="1"/>
    <col min="12" max="12" width="12.44140625" bestFit="1" customWidth="1"/>
    <col min="13" max="13" width="27.77734375" bestFit="1" customWidth="1"/>
  </cols>
  <sheetData>
    <row r="1" spans="1:13" x14ac:dyDescent="0.3">
      <c r="A1" t="s">
        <v>344</v>
      </c>
      <c r="B1" t="s">
        <v>326</v>
      </c>
      <c r="C1" t="s">
        <v>345</v>
      </c>
      <c r="D1" t="s">
        <v>346</v>
      </c>
      <c r="E1" t="s">
        <v>347</v>
      </c>
      <c r="F1" t="s">
        <v>366</v>
      </c>
      <c r="G1" t="s">
        <v>348</v>
      </c>
      <c r="H1" t="s">
        <v>349</v>
      </c>
    </row>
    <row r="2" spans="1:13" ht="15.6" x14ac:dyDescent="0.3">
      <c r="A2" s="21">
        <v>45446</v>
      </c>
      <c r="B2" t="s">
        <v>10</v>
      </c>
      <c r="C2" s="2">
        <v>4138</v>
      </c>
      <c r="D2" s="2">
        <v>361</v>
      </c>
      <c r="E2" s="2">
        <v>103777</v>
      </c>
      <c r="F2" s="4">
        <v>3.6395347716738802E-2</v>
      </c>
      <c r="G2">
        <v>56.637790647253247</v>
      </c>
      <c r="H2" s="22">
        <v>23944</v>
      </c>
      <c r="J2" s="5" t="s">
        <v>341</v>
      </c>
    </row>
    <row r="3" spans="1:13" x14ac:dyDescent="0.3">
      <c r="A3" s="21">
        <v>45446</v>
      </c>
      <c r="B3" t="s">
        <v>28</v>
      </c>
      <c r="C3" s="2">
        <v>8693</v>
      </c>
      <c r="D3" s="2">
        <v>1261</v>
      </c>
      <c r="E3" s="2">
        <v>111209</v>
      </c>
      <c r="F3" s="4">
        <v>6.6829123542159405E-2</v>
      </c>
      <c r="G3">
        <v>69.475492091467416</v>
      </c>
      <c r="H3" s="22">
        <v>29873</v>
      </c>
      <c r="L3" s="17" t="s">
        <v>360</v>
      </c>
      <c r="M3" t="s">
        <v>367</v>
      </c>
    </row>
    <row r="4" spans="1:13" x14ac:dyDescent="0.3">
      <c r="A4" s="21">
        <v>45446</v>
      </c>
      <c r="B4" t="s">
        <v>1</v>
      </c>
      <c r="C4" s="2">
        <v>9264</v>
      </c>
      <c r="D4" s="2">
        <v>1141</v>
      </c>
      <c r="E4" s="2">
        <v>119332</v>
      </c>
      <c r="F4" s="4">
        <v>6.8070592967519203E-2</v>
      </c>
      <c r="G4">
        <v>92.312204605638044</v>
      </c>
      <c r="H4" s="22">
        <v>50372</v>
      </c>
      <c r="J4" s="6" t="s">
        <v>365</v>
      </c>
      <c r="L4" s="18" t="s">
        <v>1</v>
      </c>
      <c r="M4" s="20">
        <v>1.4194033565547484E-2</v>
      </c>
    </row>
    <row r="5" spans="1:13" x14ac:dyDescent="0.3">
      <c r="A5" s="21">
        <v>45446</v>
      </c>
      <c r="B5" t="s">
        <v>1</v>
      </c>
      <c r="C5" s="2">
        <v>8842</v>
      </c>
      <c r="D5" s="2">
        <v>971</v>
      </c>
      <c r="E5" s="2">
        <v>127203</v>
      </c>
      <c r="F5" s="4">
        <v>6.1877471443283601E-2</v>
      </c>
      <c r="G5">
        <v>16.351815601833291</v>
      </c>
      <c r="H5" s="22">
        <v>33928</v>
      </c>
      <c r="L5" s="18" t="s">
        <v>28</v>
      </c>
      <c r="M5" s="20">
        <v>1.3764361711969261E-2</v>
      </c>
    </row>
    <row r="6" spans="1:13" x14ac:dyDescent="0.3">
      <c r="A6" s="21">
        <v>45453</v>
      </c>
      <c r="B6" t="s">
        <v>10</v>
      </c>
      <c r="C6" s="2">
        <v>7721</v>
      </c>
      <c r="D6" s="2">
        <v>506</v>
      </c>
      <c r="E6" s="2">
        <v>134418</v>
      </c>
      <c r="F6" s="4">
        <v>5.3675846984778799E-2</v>
      </c>
      <c r="G6">
        <v>35.577824398518047</v>
      </c>
      <c r="H6" s="22">
        <v>25379</v>
      </c>
      <c r="J6" s="7" t="s">
        <v>409</v>
      </c>
      <c r="L6" s="18" t="s">
        <v>10</v>
      </c>
      <c r="M6" s="20">
        <v>1.2030686217981614E-2</v>
      </c>
    </row>
    <row r="7" spans="1:13" x14ac:dyDescent="0.3">
      <c r="A7" s="21">
        <v>45453</v>
      </c>
      <c r="B7" t="s">
        <v>1</v>
      </c>
      <c r="C7" s="2">
        <v>8002</v>
      </c>
      <c r="D7" s="2">
        <v>524</v>
      </c>
      <c r="E7" s="2">
        <v>141896</v>
      </c>
      <c r="F7" s="4">
        <v>5.2700569431132702E-2</v>
      </c>
      <c r="G7">
        <v>52.064892597395271</v>
      </c>
      <c r="H7" s="22">
        <v>46751</v>
      </c>
      <c r="J7" s="7" t="s">
        <v>368</v>
      </c>
      <c r="L7" s="18" t="s">
        <v>6</v>
      </c>
      <c r="M7" s="20">
        <v>9.4286447506565681E-3</v>
      </c>
    </row>
    <row r="8" spans="1:13" x14ac:dyDescent="0.3">
      <c r="A8" s="21">
        <v>45453</v>
      </c>
      <c r="B8" t="s">
        <v>28</v>
      </c>
      <c r="C8" s="2">
        <v>5225</v>
      </c>
      <c r="D8" s="2">
        <v>291</v>
      </c>
      <c r="E8" s="2">
        <v>146830</v>
      </c>
      <c r="F8" s="4">
        <v>3.3603487025812201E-2</v>
      </c>
      <c r="G8">
        <v>19.551862698358651</v>
      </c>
      <c r="H8" s="22">
        <v>44546</v>
      </c>
      <c r="J8" s="7" t="s">
        <v>369</v>
      </c>
      <c r="L8" s="18" t="s">
        <v>361</v>
      </c>
      <c r="M8" s="20">
        <v>1.2218035026624956E-2</v>
      </c>
    </row>
    <row r="9" spans="1:13" x14ac:dyDescent="0.3">
      <c r="A9" s="21">
        <v>45453</v>
      </c>
      <c r="B9" t="s">
        <v>28</v>
      </c>
      <c r="C9" s="2">
        <v>3978</v>
      </c>
      <c r="D9" s="2">
        <v>543</v>
      </c>
      <c r="E9" s="2">
        <v>150265</v>
      </c>
      <c r="F9" s="4">
        <v>2.2859614680730701E-2</v>
      </c>
      <c r="G9">
        <v>49.159817655475329</v>
      </c>
      <c r="H9" s="22">
        <v>34286</v>
      </c>
      <c r="J9" s="7" t="s">
        <v>370</v>
      </c>
    </row>
    <row r="10" spans="1:13" x14ac:dyDescent="0.3">
      <c r="A10" s="21">
        <v>45460</v>
      </c>
      <c r="B10" t="s">
        <v>10</v>
      </c>
      <c r="C10" s="2">
        <v>8373</v>
      </c>
      <c r="D10" s="2">
        <v>921</v>
      </c>
      <c r="E10" s="2">
        <v>157717</v>
      </c>
      <c r="F10" s="4">
        <v>4.7249186834646899E-2</v>
      </c>
      <c r="G10">
        <v>12.2263294381709</v>
      </c>
      <c r="H10" s="22">
        <v>15110</v>
      </c>
      <c r="J10" s="7" t="s">
        <v>338</v>
      </c>
    </row>
    <row r="11" spans="1:13" x14ac:dyDescent="0.3">
      <c r="A11" s="21">
        <v>45460</v>
      </c>
      <c r="B11" t="s">
        <v>28</v>
      </c>
      <c r="C11" s="2">
        <v>6907</v>
      </c>
      <c r="D11" s="2">
        <v>834</v>
      </c>
      <c r="E11" s="2">
        <v>163790</v>
      </c>
      <c r="F11" s="4">
        <v>3.70779656877709E-2</v>
      </c>
      <c r="G11">
        <v>54.158984064961238</v>
      </c>
      <c r="H11" s="22">
        <v>22087</v>
      </c>
    </row>
    <row r="12" spans="1:13" x14ac:dyDescent="0.3">
      <c r="A12" s="21">
        <v>45460</v>
      </c>
      <c r="B12" t="s">
        <v>6</v>
      </c>
      <c r="C12" s="2">
        <v>7097</v>
      </c>
      <c r="D12" s="2">
        <v>369</v>
      </c>
      <c r="E12" s="2">
        <v>170518</v>
      </c>
      <c r="F12" s="4">
        <v>3.9456245088495101E-2</v>
      </c>
      <c r="G12">
        <v>9.2506362964613711</v>
      </c>
      <c r="H12" s="22">
        <v>33762</v>
      </c>
      <c r="J12" s="7" t="s">
        <v>339</v>
      </c>
    </row>
    <row r="13" spans="1:13" x14ac:dyDescent="0.3">
      <c r="A13" s="21">
        <v>45460</v>
      </c>
      <c r="B13" t="s">
        <v>10</v>
      </c>
      <c r="C13" s="2">
        <v>6656</v>
      </c>
      <c r="D13" s="2">
        <v>978</v>
      </c>
      <c r="E13" s="2">
        <v>176196</v>
      </c>
      <c r="F13" s="4">
        <v>3.2225476174260498E-2</v>
      </c>
      <c r="G13">
        <v>60.425889350496043</v>
      </c>
      <c r="H13" s="22">
        <v>27081</v>
      </c>
      <c r="J13" s="7" t="s">
        <v>371</v>
      </c>
    </row>
    <row r="14" spans="1:13" x14ac:dyDescent="0.3">
      <c r="A14" s="21">
        <v>45467</v>
      </c>
      <c r="B14" t="s">
        <v>28</v>
      </c>
      <c r="C14" s="2">
        <v>9984</v>
      </c>
      <c r="D14" s="2">
        <v>1330</v>
      </c>
      <c r="E14" s="2">
        <v>184850</v>
      </c>
      <c r="F14" s="4">
        <v>4.6816337571003501E-2</v>
      </c>
      <c r="G14">
        <v>57.524479307546663</v>
      </c>
      <c r="H14" s="22">
        <v>44947</v>
      </c>
      <c r="J14" s="7" t="s">
        <v>340</v>
      </c>
    </row>
    <row r="15" spans="1:13" x14ac:dyDescent="0.3">
      <c r="A15" s="21">
        <v>45467</v>
      </c>
      <c r="B15" t="s">
        <v>10</v>
      </c>
      <c r="C15" s="2">
        <v>5259</v>
      </c>
      <c r="D15" s="2">
        <v>374</v>
      </c>
      <c r="E15" s="2">
        <v>189735</v>
      </c>
      <c r="F15" s="4">
        <v>2.5746435818378301E-2</v>
      </c>
      <c r="G15">
        <v>14.827522597306769</v>
      </c>
      <c r="H15" s="22">
        <v>19596</v>
      </c>
    </row>
    <row r="16" spans="1:13" x14ac:dyDescent="0.3">
      <c r="A16" s="21">
        <v>45467</v>
      </c>
      <c r="B16" t="s">
        <v>1</v>
      </c>
      <c r="C16" s="2">
        <v>9286</v>
      </c>
      <c r="D16" s="2">
        <v>633</v>
      </c>
      <c r="E16" s="2">
        <v>198388</v>
      </c>
      <c r="F16" s="4">
        <v>4.3616549388067798E-2</v>
      </c>
      <c r="G16">
        <v>5.4343004617214756</v>
      </c>
      <c r="H16" s="22">
        <v>48019</v>
      </c>
    </row>
    <row r="17" spans="1:8" x14ac:dyDescent="0.3">
      <c r="A17" s="21">
        <v>45467</v>
      </c>
      <c r="B17" t="s">
        <v>28</v>
      </c>
      <c r="C17" s="2">
        <v>6901</v>
      </c>
      <c r="D17" s="2">
        <v>471</v>
      </c>
      <c r="E17" s="2">
        <v>204818</v>
      </c>
      <c r="F17" s="4">
        <v>3.1393725160874499E-2</v>
      </c>
      <c r="G17">
        <v>60.827661631301943</v>
      </c>
      <c r="H17" s="22">
        <v>52003</v>
      </c>
    </row>
    <row r="18" spans="1:8" x14ac:dyDescent="0.3">
      <c r="A18" s="21">
        <v>45474</v>
      </c>
      <c r="B18" t="s">
        <v>6</v>
      </c>
      <c r="C18" s="2">
        <v>5917</v>
      </c>
      <c r="D18" s="2">
        <v>475</v>
      </c>
      <c r="E18" s="2">
        <v>210260</v>
      </c>
      <c r="F18" s="4">
        <v>2.5882241034909201E-2</v>
      </c>
      <c r="G18">
        <v>17.894035955483691</v>
      </c>
      <c r="H18" s="22">
        <v>28313</v>
      </c>
    </row>
    <row r="19" spans="1:8" x14ac:dyDescent="0.3">
      <c r="A19" s="21">
        <v>45474</v>
      </c>
      <c r="B19" t="s">
        <v>28</v>
      </c>
      <c r="C19" s="2">
        <v>9429</v>
      </c>
      <c r="D19" s="2">
        <v>966</v>
      </c>
      <c r="E19" s="2">
        <v>218723</v>
      </c>
      <c r="F19" s="4">
        <v>3.8692775794040901E-2</v>
      </c>
      <c r="G19">
        <v>7.6914636320825887</v>
      </c>
      <c r="H19" s="22">
        <v>57639</v>
      </c>
    </row>
    <row r="20" spans="1:8" x14ac:dyDescent="0.3">
      <c r="A20" s="21">
        <v>45474</v>
      </c>
      <c r="B20" t="s">
        <v>10</v>
      </c>
      <c r="C20" s="2">
        <v>3530</v>
      </c>
      <c r="D20" s="2">
        <v>328</v>
      </c>
      <c r="E20" s="2">
        <v>221925</v>
      </c>
      <c r="F20" s="4">
        <v>1.44282978483722E-2</v>
      </c>
      <c r="G20">
        <v>12.8372197814577</v>
      </c>
      <c r="H20" s="22">
        <v>11013</v>
      </c>
    </row>
    <row r="21" spans="1:8" x14ac:dyDescent="0.3">
      <c r="A21" s="21">
        <v>45474</v>
      </c>
      <c r="B21" t="s">
        <v>10</v>
      </c>
      <c r="C21" s="2">
        <v>2960</v>
      </c>
      <c r="D21" s="2">
        <v>234</v>
      </c>
      <c r="E21" s="2">
        <v>224651</v>
      </c>
      <c r="F21" s="4">
        <v>1.21343773230478E-2</v>
      </c>
      <c r="G21">
        <v>17.41278694508371</v>
      </c>
      <c r="H21" s="22">
        <v>59378</v>
      </c>
    </row>
    <row r="22" spans="1:8" x14ac:dyDescent="0.3">
      <c r="A22" s="21">
        <v>45481</v>
      </c>
      <c r="B22" t="s">
        <v>28</v>
      </c>
      <c r="C22" s="2">
        <v>8045</v>
      </c>
      <c r="D22" s="2">
        <v>894</v>
      </c>
      <c r="E22" s="2">
        <v>231802</v>
      </c>
      <c r="F22" s="4">
        <v>3.0849604403758401E-2</v>
      </c>
      <c r="G22">
        <v>47.634187798207087</v>
      </c>
      <c r="H22" s="22">
        <v>33705</v>
      </c>
    </row>
    <row r="23" spans="1:8" x14ac:dyDescent="0.3">
      <c r="A23" s="21">
        <v>45481</v>
      </c>
      <c r="B23" t="s">
        <v>6</v>
      </c>
      <c r="C23" s="2">
        <v>2048</v>
      </c>
      <c r="D23" s="2">
        <v>130</v>
      </c>
      <c r="E23" s="2">
        <v>233720</v>
      </c>
      <c r="F23" s="4">
        <v>8.2064008214958097E-3</v>
      </c>
      <c r="G23">
        <v>39.284614068115687</v>
      </c>
      <c r="H23" s="22">
        <v>11828</v>
      </c>
    </row>
    <row r="24" spans="1:8" x14ac:dyDescent="0.3">
      <c r="A24" s="21">
        <v>45481</v>
      </c>
      <c r="B24" t="s">
        <v>6</v>
      </c>
      <c r="C24" s="2">
        <v>6772</v>
      </c>
      <c r="D24" s="2">
        <v>536</v>
      </c>
      <c r="E24" s="2">
        <v>239956</v>
      </c>
      <c r="F24" s="4">
        <v>2.5988097817933299E-2</v>
      </c>
      <c r="G24">
        <v>9.8205504342462788</v>
      </c>
      <c r="H24" s="22">
        <v>17909</v>
      </c>
    </row>
    <row r="25" spans="1:8" x14ac:dyDescent="0.3">
      <c r="A25" s="21">
        <v>45481</v>
      </c>
      <c r="B25" t="s">
        <v>6</v>
      </c>
      <c r="C25" s="2">
        <v>3529</v>
      </c>
      <c r="D25" s="2">
        <v>305</v>
      </c>
      <c r="E25" s="2">
        <v>243180</v>
      </c>
      <c r="F25" s="4">
        <v>1.3257669216218401E-2</v>
      </c>
      <c r="G25">
        <v>41.606628834608109</v>
      </c>
      <c r="H25" s="22">
        <v>48356</v>
      </c>
    </row>
    <row r="26" spans="1:8" x14ac:dyDescent="0.3">
      <c r="A26" s="21">
        <v>45488</v>
      </c>
      <c r="B26" t="s">
        <v>10</v>
      </c>
      <c r="C26" s="2">
        <v>3964</v>
      </c>
      <c r="D26" s="2">
        <v>378</v>
      </c>
      <c r="E26" s="2">
        <v>246766</v>
      </c>
      <c r="F26" s="4">
        <v>1.45319857678935E-2</v>
      </c>
      <c r="G26">
        <v>13.6355899921383</v>
      </c>
      <c r="H26" s="22">
        <v>23109</v>
      </c>
    </row>
    <row r="27" spans="1:8" x14ac:dyDescent="0.3">
      <c r="A27" s="21">
        <v>45488</v>
      </c>
      <c r="B27" t="s">
        <v>28</v>
      </c>
      <c r="C27" s="2">
        <v>8137</v>
      </c>
      <c r="D27" s="2">
        <v>1045</v>
      </c>
      <c r="E27" s="2">
        <v>253858</v>
      </c>
      <c r="F27" s="4">
        <v>2.79368780972039E-2</v>
      </c>
      <c r="G27">
        <v>20.47246886054408</v>
      </c>
      <c r="H27" s="22">
        <v>12023</v>
      </c>
    </row>
    <row r="28" spans="1:8" x14ac:dyDescent="0.3">
      <c r="A28" s="21">
        <v>45488</v>
      </c>
      <c r="B28" t="s">
        <v>1</v>
      </c>
      <c r="C28" s="2">
        <v>1963</v>
      </c>
      <c r="D28" s="2">
        <v>137</v>
      </c>
      <c r="E28" s="2">
        <v>255684</v>
      </c>
      <c r="F28" s="4">
        <v>7.1416279469970799E-3</v>
      </c>
      <c r="G28">
        <v>11.2083665774941</v>
      </c>
      <c r="H28" s="22">
        <v>24537</v>
      </c>
    </row>
    <row r="29" spans="1:8" x14ac:dyDescent="0.3">
      <c r="A29" s="21">
        <v>45488</v>
      </c>
      <c r="B29" t="s">
        <v>10</v>
      </c>
      <c r="C29" s="2">
        <v>1536</v>
      </c>
      <c r="D29" s="2">
        <v>155</v>
      </c>
      <c r="E29" s="2">
        <v>257065</v>
      </c>
      <c r="F29" s="4">
        <v>5.3721821329235798E-3</v>
      </c>
      <c r="G29">
        <v>12.15762550327738</v>
      </c>
      <c r="H29" s="22">
        <v>36661</v>
      </c>
    </row>
    <row r="30" spans="1:8" x14ac:dyDescent="0.3">
      <c r="A30" s="21">
        <v>45495</v>
      </c>
      <c r="B30" t="s">
        <v>6</v>
      </c>
      <c r="C30" s="2">
        <v>8340</v>
      </c>
      <c r="D30" s="2">
        <v>911</v>
      </c>
      <c r="E30" s="2">
        <v>264494</v>
      </c>
      <c r="F30" s="4">
        <v>2.8087593669421599E-2</v>
      </c>
      <c r="G30">
        <v>37.302925586213682</v>
      </c>
      <c r="H30" s="22">
        <v>48659</v>
      </c>
    </row>
    <row r="31" spans="1:8" x14ac:dyDescent="0.3">
      <c r="A31" s="21">
        <v>45495</v>
      </c>
      <c r="B31" t="s">
        <v>28</v>
      </c>
      <c r="C31" s="2">
        <v>8179</v>
      </c>
      <c r="D31" s="2">
        <v>446</v>
      </c>
      <c r="E31" s="2">
        <v>272227</v>
      </c>
      <c r="F31" s="4">
        <v>2.84064402134983E-2</v>
      </c>
      <c r="G31">
        <v>41.82171496581897</v>
      </c>
      <c r="H31" s="22">
        <v>43848</v>
      </c>
    </row>
    <row r="32" spans="1:8" x14ac:dyDescent="0.3">
      <c r="A32" s="21">
        <v>45495</v>
      </c>
      <c r="B32" t="s">
        <v>6</v>
      </c>
      <c r="C32" s="2">
        <v>8967</v>
      </c>
      <c r="D32" s="2">
        <v>993</v>
      </c>
      <c r="E32" s="2">
        <v>280201</v>
      </c>
      <c r="F32" s="4">
        <v>2.8458142547671102E-2</v>
      </c>
      <c r="G32">
        <v>52.792102811910027</v>
      </c>
      <c r="H32" s="22">
        <v>47804</v>
      </c>
    </row>
    <row r="33" spans="1:8" x14ac:dyDescent="0.3">
      <c r="A33" s="21">
        <v>45495</v>
      </c>
      <c r="B33" t="s">
        <v>1</v>
      </c>
      <c r="C33" s="2">
        <v>9734</v>
      </c>
      <c r="D33" s="2">
        <v>652</v>
      </c>
      <c r="E33" s="2">
        <v>289283</v>
      </c>
      <c r="F33" s="4">
        <v>3.1394862470314498E-2</v>
      </c>
      <c r="G33">
        <v>49.647922622483861</v>
      </c>
      <c r="H33" s="22">
        <v>25379</v>
      </c>
    </row>
    <row r="34" spans="1:8" x14ac:dyDescent="0.3">
      <c r="A34" s="21">
        <v>45502</v>
      </c>
      <c r="B34" t="s">
        <v>6</v>
      </c>
      <c r="C34" s="2">
        <v>1845</v>
      </c>
      <c r="D34" s="2">
        <v>104</v>
      </c>
      <c r="E34" s="2">
        <v>291024</v>
      </c>
      <c r="F34" s="4">
        <v>5.9823244818296801E-3</v>
      </c>
      <c r="G34">
        <v>28.158158777282971</v>
      </c>
      <c r="H34" s="22">
        <v>37766</v>
      </c>
    </row>
    <row r="35" spans="1:8" x14ac:dyDescent="0.3">
      <c r="A35" s="21">
        <v>45502</v>
      </c>
      <c r="B35" t="s">
        <v>6</v>
      </c>
      <c r="C35" s="2">
        <v>6777</v>
      </c>
      <c r="D35" s="2">
        <v>981</v>
      </c>
      <c r="E35" s="2">
        <v>296820</v>
      </c>
      <c r="F35" s="4">
        <v>1.9526986052152799E-2</v>
      </c>
      <c r="G35">
        <v>23.920557913887201</v>
      </c>
      <c r="H35" s="22">
        <v>53590</v>
      </c>
    </row>
    <row r="36" spans="1:8" x14ac:dyDescent="0.3">
      <c r="A36" s="21">
        <v>45502</v>
      </c>
      <c r="B36" t="s">
        <v>1</v>
      </c>
      <c r="C36" s="2">
        <v>4036</v>
      </c>
      <c r="D36" s="2">
        <v>591</v>
      </c>
      <c r="E36" s="2">
        <v>300265</v>
      </c>
      <c r="F36" s="4">
        <v>1.1473198674504199E-2</v>
      </c>
      <c r="G36">
        <v>44.219272975538267</v>
      </c>
      <c r="H36" s="22">
        <v>12563</v>
      </c>
    </row>
    <row r="37" spans="1:8" x14ac:dyDescent="0.3">
      <c r="A37" s="21">
        <v>45502</v>
      </c>
      <c r="B37" t="s">
        <v>28</v>
      </c>
      <c r="C37" s="2">
        <v>6947</v>
      </c>
      <c r="D37" s="2">
        <v>908</v>
      </c>
      <c r="E37" s="2">
        <v>306304</v>
      </c>
      <c r="F37" s="4">
        <v>1.9715707271207701E-2</v>
      </c>
      <c r="G37">
        <v>14.117673944839121</v>
      </c>
      <c r="H37" s="22">
        <v>46060</v>
      </c>
    </row>
    <row r="38" spans="1:8" x14ac:dyDescent="0.3">
      <c r="A38" s="21">
        <v>45509</v>
      </c>
      <c r="B38" t="s">
        <v>10</v>
      </c>
      <c r="C38" s="2">
        <v>3494</v>
      </c>
      <c r="D38" s="2">
        <v>281</v>
      </c>
      <c r="E38" s="2">
        <v>309517</v>
      </c>
      <c r="F38" s="4">
        <v>1.03806899136396E-2</v>
      </c>
      <c r="G38">
        <v>27.765518533715429</v>
      </c>
      <c r="H38" s="22">
        <v>39197</v>
      </c>
    </row>
    <row r="39" spans="1:8" x14ac:dyDescent="0.3">
      <c r="A39" s="21">
        <v>45509</v>
      </c>
      <c r="B39" t="s">
        <v>28</v>
      </c>
      <c r="C39" s="2">
        <v>3719</v>
      </c>
      <c r="D39" s="2">
        <v>222</v>
      </c>
      <c r="E39" s="2">
        <v>313014</v>
      </c>
      <c r="F39" s="4">
        <v>1.11720242545062E-2</v>
      </c>
      <c r="G39">
        <v>21.669318305251519</v>
      </c>
      <c r="H39" s="22">
        <v>13586</v>
      </c>
    </row>
    <row r="40" spans="1:8" x14ac:dyDescent="0.3">
      <c r="A40" s="21">
        <v>45509</v>
      </c>
      <c r="B40" t="s">
        <v>1</v>
      </c>
      <c r="C40" s="2">
        <v>2884</v>
      </c>
      <c r="D40" s="2">
        <v>341</v>
      </c>
      <c r="E40" s="2">
        <v>315557</v>
      </c>
      <c r="F40" s="4">
        <v>8.0587659281841292E-3</v>
      </c>
      <c r="G40">
        <v>46.999749649033298</v>
      </c>
      <c r="H40" s="22">
        <v>26087</v>
      </c>
    </row>
    <row r="41" spans="1:8" x14ac:dyDescent="0.3">
      <c r="A41" s="21">
        <v>45509</v>
      </c>
      <c r="B41" t="s">
        <v>6</v>
      </c>
      <c r="C41" s="2">
        <v>5349</v>
      </c>
      <c r="D41" s="2">
        <v>502</v>
      </c>
      <c r="E41" s="2">
        <v>320404</v>
      </c>
      <c r="F41" s="4">
        <v>1.51277761825695E-2</v>
      </c>
      <c r="G41">
        <v>5.2152906954969351</v>
      </c>
      <c r="H41" s="22">
        <v>58868</v>
      </c>
    </row>
    <row r="42" spans="1:8" x14ac:dyDescent="0.3">
      <c r="A42" s="21">
        <v>45516</v>
      </c>
      <c r="B42" t="s">
        <v>28</v>
      </c>
      <c r="C42" s="2">
        <v>6179</v>
      </c>
      <c r="D42" s="2">
        <v>384</v>
      </c>
      <c r="E42" s="2">
        <v>326199</v>
      </c>
      <c r="F42" s="4">
        <v>1.7765229200580001E-2</v>
      </c>
      <c r="G42">
        <v>14.71218489327067</v>
      </c>
      <c r="H42" s="22">
        <v>33225</v>
      </c>
    </row>
    <row r="43" spans="1:8" x14ac:dyDescent="0.3">
      <c r="A43" s="21">
        <v>45516</v>
      </c>
      <c r="B43" t="s">
        <v>10</v>
      </c>
      <c r="C43" s="2">
        <v>7610</v>
      </c>
      <c r="D43" s="2">
        <v>757</v>
      </c>
      <c r="E43" s="2">
        <v>333052</v>
      </c>
      <c r="F43" s="4">
        <v>2.0576366453286601E-2</v>
      </c>
      <c r="G43">
        <v>44.450416151231643</v>
      </c>
      <c r="H43" s="22">
        <v>39750</v>
      </c>
    </row>
    <row r="44" spans="1:8" x14ac:dyDescent="0.3">
      <c r="A44" s="21">
        <v>45516</v>
      </c>
      <c r="B44" t="s">
        <v>1</v>
      </c>
      <c r="C44" s="2">
        <v>7430</v>
      </c>
      <c r="D44" s="2">
        <v>397</v>
      </c>
      <c r="E44" s="2">
        <v>340085</v>
      </c>
      <c r="F44" s="4">
        <v>2.0680124086625399E-2</v>
      </c>
      <c r="G44">
        <v>28.065042562888689</v>
      </c>
      <c r="H44" s="22">
        <v>16643</v>
      </c>
    </row>
    <row r="45" spans="1:8" x14ac:dyDescent="0.3">
      <c r="A45" s="21">
        <v>45516</v>
      </c>
      <c r="B45" t="s">
        <v>28</v>
      </c>
      <c r="C45" s="2">
        <v>8154</v>
      </c>
      <c r="D45" s="2">
        <v>1149</v>
      </c>
      <c r="E45" s="2">
        <v>347090</v>
      </c>
      <c r="F45" s="4">
        <v>2.0182085338096699E-2</v>
      </c>
      <c r="G45">
        <v>26.003918292085629</v>
      </c>
      <c r="H45" s="22">
        <v>37523</v>
      </c>
    </row>
    <row r="46" spans="1:8" x14ac:dyDescent="0.3">
      <c r="A46" s="21">
        <v>45523</v>
      </c>
      <c r="B46" t="s">
        <v>10</v>
      </c>
      <c r="C46" s="2">
        <v>7488</v>
      </c>
      <c r="D46" s="2">
        <v>568</v>
      </c>
      <c r="E46" s="2">
        <v>354010</v>
      </c>
      <c r="F46" s="4">
        <v>1.9547470410440401E-2</v>
      </c>
      <c r="G46">
        <v>13.47730290104799</v>
      </c>
      <c r="H46" s="22">
        <v>46727</v>
      </c>
    </row>
    <row r="47" spans="1:8" x14ac:dyDescent="0.3">
      <c r="A47" s="21">
        <v>45523</v>
      </c>
      <c r="B47" t="s">
        <v>1</v>
      </c>
      <c r="C47" s="2">
        <v>5737</v>
      </c>
      <c r="D47" s="2">
        <v>666</v>
      </c>
      <c r="E47" s="2">
        <v>359081</v>
      </c>
      <c r="F47" s="4">
        <v>1.4122161852061201E-2</v>
      </c>
      <c r="G47">
        <v>4.6034181702735593</v>
      </c>
      <c r="H47" s="22">
        <v>21005</v>
      </c>
    </row>
    <row r="48" spans="1:8" x14ac:dyDescent="0.3">
      <c r="A48" s="21">
        <v>45523</v>
      </c>
      <c r="B48" t="s">
        <v>10</v>
      </c>
      <c r="C48" s="2">
        <v>7525</v>
      </c>
      <c r="D48" s="2">
        <v>610</v>
      </c>
      <c r="E48" s="2">
        <v>365996</v>
      </c>
      <c r="F48" s="4">
        <v>1.8893649110919199E-2</v>
      </c>
      <c r="G48">
        <v>5.7694619613329108</v>
      </c>
      <c r="H48" s="22">
        <v>53543</v>
      </c>
    </row>
    <row r="49" spans="1:8" x14ac:dyDescent="0.3">
      <c r="A49" s="21">
        <v>45523</v>
      </c>
      <c r="B49" t="s">
        <v>1</v>
      </c>
      <c r="C49" s="2">
        <v>4850</v>
      </c>
      <c r="D49" s="2">
        <v>494</v>
      </c>
      <c r="E49" s="2">
        <v>370352</v>
      </c>
      <c r="F49" s="4">
        <v>1.1761783384455901E-2</v>
      </c>
      <c r="G49">
        <v>20.46539508359615</v>
      </c>
      <c r="H49" s="22">
        <v>10161</v>
      </c>
    </row>
    <row r="50" spans="1:8" x14ac:dyDescent="0.3">
      <c r="A50" s="21">
        <v>45530</v>
      </c>
      <c r="B50" t="s">
        <v>6</v>
      </c>
      <c r="C50" s="2">
        <v>1689</v>
      </c>
      <c r="D50" s="2">
        <v>176</v>
      </c>
      <c r="E50" s="2">
        <v>371865</v>
      </c>
      <c r="F50" s="4">
        <v>4.0686808384763299E-3</v>
      </c>
      <c r="G50">
        <v>38.012181840183942</v>
      </c>
      <c r="H50" s="22">
        <v>26029</v>
      </c>
    </row>
    <row r="51" spans="1:8" x14ac:dyDescent="0.3">
      <c r="A51" s="21">
        <v>45530</v>
      </c>
      <c r="B51" t="s">
        <v>28</v>
      </c>
      <c r="C51" s="2">
        <v>6175</v>
      </c>
      <c r="D51" s="2">
        <v>422</v>
      </c>
      <c r="E51" s="2">
        <v>377618</v>
      </c>
      <c r="F51" s="4">
        <v>1.5234972909130401E-2</v>
      </c>
      <c r="G51">
        <v>37.86101298137271</v>
      </c>
      <c r="H51" s="22">
        <v>59745</v>
      </c>
    </row>
    <row r="52" spans="1:8" x14ac:dyDescent="0.3">
      <c r="A52" s="21">
        <v>45530</v>
      </c>
      <c r="B52" t="s">
        <v>10</v>
      </c>
      <c r="C52" s="2">
        <v>9648</v>
      </c>
      <c r="D52" s="2">
        <v>1417</v>
      </c>
      <c r="E52" s="2">
        <v>385849</v>
      </c>
      <c r="F52" s="4">
        <v>2.13321791685348E-2</v>
      </c>
      <c r="G52">
        <v>3.6633501706626168</v>
      </c>
      <c r="H52" s="22">
        <v>24226</v>
      </c>
    </row>
    <row r="53" spans="1:8" x14ac:dyDescent="0.3">
      <c r="A53" s="21">
        <v>45530</v>
      </c>
      <c r="B53" t="s">
        <v>1</v>
      </c>
      <c r="C53" s="2">
        <v>6078</v>
      </c>
      <c r="D53" s="2">
        <v>775</v>
      </c>
      <c r="E53" s="2">
        <v>391152</v>
      </c>
      <c r="F53" s="4">
        <v>1.35573894547388E-2</v>
      </c>
      <c r="G53">
        <v>37.760512537325639</v>
      </c>
      <c r="H53" s="22">
        <v>38731</v>
      </c>
    </row>
    <row r="54" spans="1:8" x14ac:dyDescent="0.3">
      <c r="A54" s="21">
        <v>45537</v>
      </c>
      <c r="B54" t="s">
        <v>10</v>
      </c>
      <c r="C54" s="2">
        <v>6448</v>
      </c>
      <c r="D54" s="2">
        <v>928</v>
      </c>
      <c r="E54" s="2">
        <v>396672</v>
      </c>
      <c r="F54" s="4">
        <v>1.3915779283639899E-2</v>
      </c>
      <c r="G54">
        <v>30.118586640851881</v>
      </c>
      <c r="H54" s="22">
        <v>53922</v>
      </c>
    </row>
    <row r="55" spans="1:8" x14ac:dyDescent="0.3">
      <c r="A55" s="21">
        <v>45537</v>
      </c>
      <c r="B55" t="s">
        <v>10</v>
      </c>
      <c r="C55" s="2">
        <v>2179</v>
      </c>
      <c r="D55" s="2">
        <v>303</v>
      </c>
      <c r="E55" s="2">
        <v>398548</v>
      </c>
      <c r="F55" s="4">
        <v>4.7070867248110602E-3</v>
      </c>
      <c r="G55">
        <v>33.909842729106657</v>
      </c>
      <c r="H55" s="22">
        <v>54848</v>
      </c>
    </row>
    <row r="56" spans="1:8" x14ac:dyDescent="0.3">
      <c r="A56" s="21">
        <v>45537</v>
      </c>
      <c r="B56" t="s">
        <v>28</v>
      </c>
      <c r="C56" s="2">
        <v>7406</v>
      </c>
      <c r="D56" s="2">
        <v>813</v>
      </c>
      <c r="E56" s="2">
        <v>405141</v>
      </c>
      <c r="F56" s="4">
        <v>1.62733468101229E-2</v>
      </c>
      <c r="G56">
        <v>24.457411123534769</v>
      </c>
      <c r="H56" s="22">
        <v>13390</v>
      </c>
    </row>
    <row r="57" spans="1:8" x14ac:dyDescent="0.3">
      <c r="A57" s="21">
        <v>45537</v>
      </c>
      <c r="B57" t="s">
        <v>6</v>
      </c>
      <c r="C57" s="2">
        <v>9591</v>
      </c>
      <c r="D57" s="2">
        <v>1363</v>
      </c>
      <c r="E57" s="2">
        <v>413369</v>
      </c>
      <c r="F57" s="4">
        <v>1.9904734026983201E-2</v>
      </c>
      <c r="G57">
        <v>10.494255737609739</v>
      </c>
      <c r="H57" s="22">
        <v>15997</v>
      </c>
    </row>
    <row r="58" spans="1:8" x14ac:dyDescent="0.3">
      <c r="A58" s="21">
        <v>45544</v>
      </c>
      <c r="B58" t="s">
        <v>10</v>
      </c>
      <c r="C58" s="2">
        <v>7907</v>
      </c>
      <c r="D58" s="2">
        <v>465</v>
      </c>
      <c r="E58" s="2">
        <v>420811</v>
      </c>
      <c r="F58" s="4">
        <v>1.76848989213685E-2</v>
      </c>
      <c r="G58">
        <v>33.257448118038738</v>
      </c>
      <c r="H58" s="22">
        <v>22693</v>
      </c>
    </row>
    <row r="59" spans="1:8" x14ac:dyDescent="0.3">
      <c r="A59" s="21">
        <v>45544</v>
      </c>
      <c r="B59" t="s">
        <v>1</v>
      </c>
      <c r="C59" s="2">
        <v>9800</v>
      </c>
      <c r="D59" s="2">
        <v>682</v>
      </c>
      <c r="E59" s="2">
        <v>429929</v>
      </c>
      <c r="F59" s="4">
        <v>2.1208152974095701E-2</v>
      </c>
      <c r="G59">
        <v>6.2966210699906267</v>
      </c>
      <c r="H59" s="22">
        <v>59815</v>
      </c>
    </row>
    <row r="60" spans="1:8" x14ac:dyDescent="0.3">
      <c r="A60" s="21">
        <v>45544</v>
      </c>
      <c r="B60" t="s">
        <v>1</v>
      </c>
      <c r="C60" s="2">
        <v>2638</v>
      </c>
      <c r="D60" s="2">
        <v>143</v>
      </c>
      <c r="E60" s="2">
        <v>432424</v>
      </c>
      <c r="F60" s="4">
        <v>5.76980001110022E-3</v>
      </c>
      <c r="G60">
        <v>6.9547481175882924</v>
      </c>
      <c r="H60" s="22">
        <v>52092</v>
      </c>
    </row>
    <row r="61" spans="1:8" x14ac:dyDescent="0.3">
      <c r="A61" s="21">
        <v>45544</v>
      </c>
      <c r="B61" t="s">
        <v>6</v>
      </c>
      <c r="C61" s="2">
        <v>6671</v>
      </c>
      <c r="D61" s="2">
        <v>550</v>
      </c>
      <c r="E61" s="2">
        <v>438545</v>
      </c>
      <c r="F61" s="4">
        <v>1.3957518612685099E-2</v>
      </c>
      <c r="G61">
        <v>17.750287883797562</v>
      </c>
      <c r="H61" s="22">
        <v>10541</v>
      </c>
    </row>
    <row r="62" spans="1:8" x14ac:dyDescent="0.3">
      <c r="A62" s="21">
        <v>45551</v>
      </c>
      <c r="B62" t="s">
        <v>1</v>
      </c>
      <c r="C62" s="2">
        <v>7928</v>
      </c>
      <c r="D62" s="2">
        <v>704</v>
      </c>
      <c r="E62" s="2">
        <v>445769</v>
      </c>
      <c r="F62" s="4">
        <v>1.6205702953772001E-2</v>
      </c>
      <c r="G62">
        <v>11.194362999670229</v>
      </c>
      <c r="H62" s="22">
        <v>31817</v>
      </c>
    </row>
    <row r="63" spans="1:8" x14ac:dyDescent="0.3">
      <c r="A63" s="21">
        <v>45551</v>
      </c>
      <c r="B63" t="s">
        <v>6</v>
      </c>
      <c r="C63" s="2">
        <v>2382</v>
      </c>
      <c r="D63" s="2">
        <v>183</v>
      </c>
      <c r="E63" s="2">
        <v>447968</v>
      </c>
      <c r="F63" s="4">
        <v>4.9088327737695503E-3</v>
      </c>
      <c r="G63">
        <v>4.7335970426459033</v>
      </c>
      <c r="H63" s="22">
        <v>47861</v>
      </c>
    </row>
    <row r="64" spans="1:8" x14ac:dyDescent="0.3">
      <c r="A64" s="21">
        <v>45551</v>
      </c>
      <c r="B64" t="s">
        <v>1</v>
      </c>
      <c r="C64" s="2">
        <v>2403</v>
      </c>
      <c r="D64" s="2">
        <v>319</v>
      </c>
      <c r="E64" s="2">
        <v>450052</v>
      </c>
      <c r="F64" s="4">
        <v>4.63057602232631E-3</v>
      </c>
      <c r="G64">
        <v>29.92120910472568</v>
      </c>
      <c r="H64" s="22">
        <v>23428</v>
      </c>
    </row>
    <row r="65" spans="1:8" x14ac:dyDescent="0.3">
      <c r="A65" s="21">
        <v>45551</v>
      </c>
      <c r="B65" t="s">
        <v>28</v>
      </c>
      <c r="C65" s="2">
        <v>4292</v>
      </c>
      <c r="D65" s="2">
        <v>367</v>
      </c>
      <c r="E65" s="2">
        <v>453977</v>
      </c>
      <c r="F65" s="4">
        <v>8.6458124530537899E-3</v>
      </c>
      <c r="G65">
        <v>3.5037017293827661</v>
      </c>
      <c r="H65" s="22">
        <v>53934</v>
      </c>
    </row>
    <row r="66" spans="1:8" x14ac:dyDescent="0.3">
      <c r="A66" s="21">
        <v>45558</v>
      </c>
      <c r="B66" t="s">
        <v>10</v>
      </c>
      <c r="C66" s="2">
        <v>1419</v>
      </c>
      <c r="D66" s="2">
        <v>110</v>
      </c>
      <c r="E66" s="2">
        <v>455286</v>
      </c>
      <c r="F66" s="4">
        <v>2.8751158612388699E-3</v>
      </c>
      <c r="G66">
        <v>31.554451487636339</v>
      </c>
      <c r="H66" s="22">
        <v>58831</v>
      </c>
    </row>
    <row r="67" spans="1:8" x14ac:dyDescent="0.3">
      <c r="A67" s="21">
        <v>45558</v>
      </c>
      <c r="B67" t="s">
        <v>28</v>
      </c>
      <c r="C67" s="2">
        <v>5517</v>
      </c>
      <c r="D67" s="2">
        <v>575</v>
      </c>
      <c r="E67" s="2">
        <v>460228</v>
      </c>
      <c r="F67" s="4">
        <v>1.07381558705685E-2</v>
      </c>
      <c r="G67">
        <v>29.45844233727631</v>
      </c>
      <c r="H67" s="22">
        <v>20258</v>
      </c>
    </row>
    <row r="68" spans="1:8" x14ac:dyDescent="0.3">
      <c r="A68" s="21">
        <v>45558</v>
      </c>
      <c r="B68" t="s">
        <v>10</v>
      </c>
      <c r="C68" s="2">
        <v>4302</v>
      </c>
      <c r="D68" s="2">
        <v>275</v>
      </c>
      <c r="E68" s="2">
        <v>464255</v>
      </c>
      <c r="F68" s="4">
        <v>8.6741122874282404E-3</v>
      </c>
      <c r="G68">
        <v>15.72131694865968</v>
      </c>
      <c r="H68" s="22">
        <v>26044</v>
      </c>
    </row>
    <row r="69" spans="1:8" x14ac:dyDescent="0.3">
      <c r="A69" s="21">
        <v>45558</v>
      </c>
      <c r="B69" t="s">
        <v>10</v>
      </c>
      <c r="C69" s="2">
        <v>8857</v>
      </c>
      <c r="D69" s="2">
        <v>1153</v>
      </c>
      <c r="E69" s="2">
        <v>471959</v>
      </c>
      <c r="F69" s="4">
        <v>1.6323451825264498E-2</v>
      </c>
      <c r="G69">
        <v>19.214592793018038</v>
      </c>
      <c r="H69" s="22">
        <v>39411</v>
      </c>
    </row>
    <row r="70" spans="1:8" x14ac:dyDescent="0.3">
      <c r="A70" s="21">
        <v>45565</v>
      </c>
      <c r="B70" t="s">
        <v>10</v>
      </c>
      <c r="C70" s="2">
        <v>8870</v>
      </c>
      <c r="D70" s="2">
        <v>509</v>
      </c>
      <c r="E70" s="2">
        <v>480320</v>
      </c>
      <c r="F70" s="4">
        <v>1.7407145236508999E-2</v>
      </c>
      <c r="G70">
        <v>25.077864756828781</v>
      </c>
      <c r="H70" s="22">
        <v>15469</v>
      </c>
    </row>
    <row r="71" spans="1:8" x14ac:dyDescent="0.3">
      <c r="A71" s="21">
        <v>45565</v>
      </c>
      <c r="B71" t="s">
        <v>28</v>
      </c>
      <c r="C71" s="2">
        <v>6693</v>
      </c>
      <c r="D71" s="2">
        <v>995</v>
      </c>
      <c r="E71" s="2">
        <v>486018</v>
      </c>
      <c r="F71" s="4">
        <v>1.1723845618886499E-2</v>
      </c>
      <c r="G71">
        <v>23.761877132122681</v>
      </c>
      <c r="H71" s="22">
        <v>38854</v>
      </c>
    </row>
    <row r="72" spans="1:8" x14ac:dyDescent="0.3">
      <c r="A72" s="21">
        <v>45565</v>
      </c>
      <c r="B72" t="s">
        <v>10</v>
      </c>
      <c r="C72" s="2">
        <v>1767</v>
      </c>
      <c r="D72" s="2">
        <v>224</v>
      </c>
      <c r="E72" s="2">
        <v>487561</v>
      </c>
      <c r="F72" s="4">
        <v>3.1647322078673201E-3</v>
      </c>
      <c r="G72">
        <v>13.208603641390511</v>
      </c>
      <c r="H72" s="22">
        <v>16256</v>
      </c>
    </row>
    <row r="73" spans="1:8" x14ac:dyDescent="0.3">
      <c r="A73" s="21">
        <v>45565</v>
      </c>
      <c r="B73" t="s">
        <v>28</v>
      </c>
      <c r="C73" s="2">
        <v>3044</v>
      </c>
      <c r="D73" s="2">
        <v>212</v>
      </c>
      <c r="E73" s="2">
        <v>490393</v>
      </c>
      <c r="F73" s="4">
        <v>5.7749600830354396E-3</v>
      </c>
      <c r="G73">
        <v>8.5343795690395261</v>
      </c>
      <c r="H73" s="22">
        <v>20720</v>
      </c>
    </row>
    <row r="74" spans="1:8" x14ac:dyDescent="0.3">
      <c r="A74" s="21">
        <v>45572</v>
      </c>
      <c r="B74" t="s">
        <v>6</v>
      </c>
      <c r="C74" s="2">
        <v>2549</v>
      </c>
      <c r="D74" s="2">
        <v>128</v>
      </c>
      <c r="E74" s="2">
        <v>492814</v>
      </c>
      <c r="F74" s="4">
        <v>4.9126039438814597E-3</v>
      </c>
      <c r="G74">
        <v>12.734216154573531</v>
      </c>
      <c r="H74" s="22">
        <v>43937</v>
      </c>
    </row>
    <row r="75" spans="1:8" x14ac:dyDescent="0.3">
      <c r="A75" s="21">
        <v>45572</v>
      </c>
      <c r="B75" t="s">
        <v>1</v>
      </c>
      <c r="C75" s="2">
        <v>7140</v>
      </c>
      <c r="D75" s="2">
        <v>939</v>
      </c>
      <c r="E75" s="2">
        <v>499015</v>
      </c>
      <c r="F75" s="4">
        <v>1.2426480165926901E-2</v>
      </c>
      <c r="G75">
        <v>25.120888149654821</v>
      </c>
      <c r="H75" s="22">
        <v>43598</v>
      </c>
    </row>
    <row r="76" spans="1:8" x14ac:dyDescent="0.3">
      <c r="A76" s="21">
        <v>45572</v>
      </c>
      <c r="B76" t="s">
        <v>1</v>
      </c>
      <c r="C76" s="2">
        <v>4716</v>
      </c>
      <c r="D76" s="2">
        <v>569</v>
      </c>
      <c r="E76" s="2">
        <v>503162</v>
      </c>
      <c r="F76" s="4">
        <v>8.2418783612434997E-3</v>
      </c>
      <c r="G76">
        <v>25.64820077827817</v>
      </c>
      <c r="H76" s="22">
        <v>11651</v>
      </c>
    </row>
    <row r="77" spans="1:8" x14ac:dyDescent="0.3">
      <c r="A77" s="21">
        <v>45572</v>
      </c>
      <c r="B77" t="s">
        <v>10</v>
      </c>
      <c r="C77" s="2">
        <v>5481</v>
      </c>
      <c r="D77" s="2">
        <v>673</v>
      </c>
      <c r="E77" s="2">
        <v>507970</v>
      </c>
      <c r="F77" s="4">
        <v>9.4651258932614106E-3</v>
      </c>
      <c r="G77">
        <v>13.08758391243577</v>
      </c>
      <c r="H77" s="22">
        <v>29194</v>
      </c>
    </row>
    <row r="78" spans="1:8" x14ac:dyDescent="0.3">
      <c r="A78" s="21">
        <v>45579</v>
      </c>
      <c r="B78" t="s">
        <v>28</v>
      </c>
      <c r="C78" s="2">
        <v>8898</v>
      </c>
      <c r="D78" s="2">
        <v>1131</v>
      </c>
      <c r="E78" s="2">
        <v>515737</v>
      </c>
      <c r="F78" s="4">
        <v>1.50600015123988E-2</v>
      </c>
      <c r="G78">
        <v>2.1877429775253669</v>
      </c>
      <c r="H78" s="22">
        <v>35051</v>
      </c>
    </row>
    <row r="79" spans="1:8" x14ac:dyDescent="0.3">
      <c r="A79" s="21">
        <v>45579</v>
      </c>
      <c r="B79" t="s">
        <v>1</v>
      </c>
      <c r="C79" s="2">
        <v>7548</v>
      </c>
      <c r="D79" s="2">
        <v>433</v>
      </c>
      <c r="E79" s="2">
        <v>522852</v>
      </c>
      <c r="F79" s="4">
        <v>1.36080573470122E-2</v>
      </c>
      <c r="G79">
        <v>8.3562843787534522</v>
      </c>
      <c r="H79" s="22">
        <v>37386</v>
      </c>
    </row>
    <row r="80" spans="1:8" x14ac:dyDescent="0.3">
      <c r="A80" s="21">
        <v>45579</v>
      </c>
      <c r="B80" t="s">
        <v>28</v>
      </c>
      <c r="C80" s="2">
        <v>3293</v>
      </c>
      <c r="D80" s="2">
        <v>282</v>
      </c>
      <c r="E80" s="2">
        <v>525863</v>
      </c>
      <c r="F80" s="4">
        <v>5.7258259280459E-3</v>
      </c>
      <c r="G80">
        <v>27.040693108281051</v>
      </c>
      <c r="H80" s="22">
        <v>19518</v>
      </c>
    </row>
    <row r="81" spans="1:8" x14ac:dyDescent="0.3">
      <c r="A81" s="21">
        <v>45579</v>
      </c>
      <c r="B81" t="s">
        <v>28</v>
      </c>
      <c r="C81" s="2">
        <v>5837</v>
      </c>
      <c r="D81" s="2">
        <v>359</v>
      </c>
      <c r="E81" s="2">
        <v>531341</v>
      </c>
      <c r="F81" s="4">
        <v>1.03097634099383E-2</v>
      </c>
      <c r="G81">
        <v>6.8073045370110723</v>
      </c>
      <c r="H81" s="22">
        <v>56026</v>
      </c>
    </row>
    <row r="82" spans="1:8" x14ac:dyDescent="0.3">
      <c r="A82" s="21">
        <v>45586</v>
      </c>
      <c r="B82" t="s">
        <v>10</v>
      </c>
      <c r="C82" s="2">
        <v>8758</v>
      </c>
      <c r="D82" s="2">
        <v>1193</v>
      </c>
      <c r="E82" s="2">
        <v>538906</v>
      </c>
      <c r="F82" s="4">
        <v>1.40376985967868E-2</v>
      </c>
      <c r="G82">
        <v>3.4213758985797149</v>
      </c>
      <c r="H82" s="22">
        <v>26184</v>
      </c>
    </row>
    <row r="83" spans="1:8" x14ac:dyDescent="0.3">
      <c r="A83" s="21">
        <v>45586</v>
      </c>
      <c r="B83" t="s">
        <v>1</v>
      </c>
      <c r="C83" s="2">
        <v>7793</v>
      </c>
      <c r="D83" s="2">
        <v>875</v>
      </c>
      <c r="E83" s="2">
        <v>545824</v>
      </c>
      <c r="F83" s="4">
        <v>1.26744151961072E-2</v>
      </c>
      <c r="G83">
        <v>5.5136820660139527</v>
      </c>
      <c r="H83" s="22">
        <v>43787</v>
      </c>
    </row>
    <row r="84" spans="1:8" x14ac:dyDescent="0.3">
      <c r="A84" s="21">
        <v>45586</v>
      </c>
      <c r="B84" t="s">
        <v>10</v>
      </c>
      <c r="C84" s="2">
        <v>8638</v>
      </c>
      <c r="D84" s="2">
        <v>717</v>
      </c>
      <c r="E84" s="2">
        <v>553745</v>
      </c>
      <c r="F84" s="4">
        <v>1.4304418098583301E-2</v>
      </c>
      <c r="G84">
        <v>26.921416897669499</v>
      </c>
      <c r="H84" s="22">
        <v>31621</v>
      </c>
    </row>
    <row r="85" spans="1:8" x14ac:dyDescent="0.3">
      <c r="A85" s="21">
        <v>45586</v>
      </c>
      <c r="B85" t="s">
        <v>10</v>
      </c>
      <c r="C85" s="2">
        <v>8993</v>
      </c>
      <c r="D85" s="2">
        <v>506</v>
      </c>
      <c r="E85" s="2">
        <v>562232</v>
      </c>
      <c r="F85" s="4">
        <v>1.5095192020375899E-2</v>
      </c>
      <c r="G85">
        <v>3.5131404829323132</v>
      </c>
      <c r="H85" s="22">
        <v>20028</v>
      </c>
    </row>
    <row r="86" spans="1:8" x14ac:dyDescent="0.3">
      <c r="A86" s="21">
        <v>45593</v>
      </c>
      <c r="B86" t="s">
        <v>1</v>
      </c>
      <c r="C86" s="2">
        <v>7007</v>
      </c>
      <c r="D86" s="2">
        <v>568</v>
      </c>
      <c r="E86" s="2">
        <v>568671</v>
      </c>
      <c r="F86" s="4">
        <v>1.13228914433829E-2</v>
      </c>
      <c r="G86">
        <v>11.50507059442103</v>
      </c>
      <c r="H86" s="22">
        <v>22448</v>
      </c>
    </row>
    <row r="87" spans="1:8" x14ac:dyDescent="0.3">
      <c r="A87" s="21">
        <v>45593</v>
      </c>
      <c r="B87" t="s">
        <v>1</v>
      </c>
      <c r="C87" s="2">
        <v>6542</v>
      </c>
      <c r="D87" s="2">
        <v>539</v>
      </c>
      <c r="E87" s="2">
        <v>574674</v>
      </c>
      <c r="F87" s="4">
        <v>1.04459223838211E-2</v>
      </c>
      <c r="G87">
        <v>6.4069368024305948</v>
      </c>
      <c r="H87" s="22">
        <v>55253</v>
      </c>
    </row>
    <row r="88" spans="1:8" x14ac:dyDescent="0.3">
      <c r="A88" s="21">
        <v>45593</v>
      </c>
      <c r="B88" t="s">
        <v>6</v>
      </c>
      <c r="C88" s="2">
        <v>7356</v>
      </c>
      <c r="D88" s="2">
        <v>904</v>
      </c>
      <c r="E88" s="2">
        <v>581126</v>
      </c>
      <c r="F88" s="4">
        <v>1.1102583604932501E-2</v>
      </c>
      <c r="G88">
        <v>17.560907617280929</v>
      </c>
      <c r="H88" s="22">
        <v>44051</v>
      </c>
    </row>
    <row r="89" spans="1:8" x14ac:dyDescent="0.3">
      <c r="A89" s="21">
        <v>45593</v>
      </c>
      <c r="B89" t="s">
        <v>6</v>
      </c>
      <c r="C89" s="2">
        <v>9433</v>
      </c>
      <c r="D89" s="2">
        <v>1073</v>
      </c>
      <c r="E89" s="2">
        <v>589486</v>
      </c>
      <c r="F89" s="4">
        <v>1.4181846557848699E-2</v>
      </c>
      <c r="G89">
        <v>7.2934726185185053</v>
      </c>
      <c r="H89" s="22">
        <v>59811</v>
      </c>
    </row>
    <row r="90" spans="1:8" x14ac:dyDescent="0.3">
      <c r="A90" s="21">
        <v>45600</v>
      </c>
      <c r="B90" t="s">
        <v>28</v>
      </c>
      <c r="C90" s="2">
        <v>8380</v>
      </c>
      <c r="D90" s="2">
        <v>1162</v>
      </c>
      <c r="E90" s="2">
        <v>596704</v>
      </c>
      <c r="F90" s="4">
        <v>1.2096449831072E-2</v>
      </c>
      <c r="G90">
        <v>18.05853488496809</v>
      </c>
      <c r="H90" s="22">
        <v>40447</v>
      </c>
    </row>
    <row r="91" spans="1:8" x14ac:dyDescent="0.3">
      <c r="A91" s="21">
        <v>45600</v>
      </c>
      <c r="B91" t="s">
        <v>1</v>
      </c>
      <c r="C91" s="2">
        <v>3385</v>
      </c>
      <c r="D91" s="2">
        <v>329</v>
      </c>
      <c r="E91" s="2">
        <v>599760</v>
      </c>
      <c r="F91" s="4">
        <v>5.0953714819261002E-3</v>
      </c>
      <c r="G91">
        <v>17.61788048552755</v>
      </c>
      <c r="H91" s="22">
        <v>28394</v>
      </c>
    </row>
    <row r="92" spans="1:8" x14ac:dyDescent="0.3">
      <c r="A92" s="21">
        <v>45600</v>
      </c>
      <c r="B92" t="s">
        <v>6</v>
      </c>
      <c r="C92" s="2">
        <v>5268</v>
      </c>
      <c r="D92" s="2">
        <v>326</v>
      </c>
      <c r="E92" s="2">
        <v>604702</v>
      </c>
      <c r="F92" s="4">
        <v>8.17262056351724E-3</v>
      </c>
      <c r="G92">
        <v>23.435841125050029</v>
      </c>
      <c r="H92" s="22">
        <v>44501</v>
      </c>
    </row>
    <row r="93" spans="1:8" x14ac:dyDescent="0.3">
      <c r="A93" s="21">
        <v>45600</v>
      </c>
      <c r="B93" t="s">
        <v>28</v>
      </c>
      <c r="C93" s="2">
        <v>1671</v>
      </c>
      <c r="D93" s="2">
        <v>202</v>
      </c>
      <c r="E93" s="2">
        <v>606171</v>
      </c>
      <c r="F93" s="4">
        <v>2.42340857612786E-3</v>
      </c>
      <c r="G93">
        <v>15.150015424690389</v>
      </c>
      <c r="H93" s="22">
        <v>40254</v>
      </c>
    </row>
    <row r="94" spans="1:8" x14ac:dyDescent="0.3">
      <c r="A94" s="21">
        <v>45607</v>
      </c>
      <c r="B94" t="s">
        <v>28</v>
      </c>
      <c r="C94" s="2">
        <v>1163</v>
      </c>
      <c r="D94" s="2">
        <v>146</v>
      </c>
      <c r="E94" s="2">
        <v>607188</v>
      </c>
      <c r="F94" s="4">
        <v>1.6749342872388799E-3</v>
      </c>
      <c r="G94">
        <v>21.77776899411715</v>
      </c>
      <c r="H94" s="22">
        <v>28509</v>
      </c>
    </row>
    <row r="95" spans="1:8" x14ac:dyDescent="0.3">
      <c r="A95" s="21">
        <v>45607</v>
      </c>
      <c r="B95" t="s">
        <v>28</v>
      </c>
      <c r="C95" s="2">
        <v>9656</v>
      </c>
      <c r="D95" s="2">
        <v>1024</v>
      </c>
      <c r="E95" s="2">
        <v>615820</v>
      </c>
      <c r="F95" s="4">
        <v>1.40170829138385E-2</v>
      </c>
      <c r="G95">
        <v>8.7252768666168681</v>
      </c>
      <c r="H95" s="22">
        <v>58998</v>
      </c>
    </row>
    <row r="96" spans="1:8" x14ac:dyDescent="0.3">
      <c r="A96" s="21">
        <v>45607</v>
      </c>
      <c r="B96" t="s">
        <v>6</v>
      </c>
      <c r="C96" s="2">
        <v>5592</v>
      </c>
      <c r="D96" s="2">
        <v>710</v>
      </c>
      <c r="E96" s="2">
        <v>620702</v>
      </c>
      <c r="F96" s="4">
        <v>7.86528801260508E-3</v>
      </c>
      <c r="G96">
        <v>9.07118069540617</v>
      </c>
      <c r="H96" s="22">
        <v>24472</v>
      </c>
    </row>
    <row r="97" spans="1:8" x14ac:dyDescent="0.3">
      <c r="A97" s="21">
        <v>45607</v>
      </c>
      <c r="B97" t="s">
        <v>1</v>
      </c>
      <c r="C97" s="2">
        <v>5795</v>
      </c>
      <c r="D97" s="2">
        <v>575</v>
      </c>
      <c r="E97" s="2">
        <v>625922</v>
      </c>
      <c r="F97" s="4">
        <v>8.3396972785746391E-3</v>
      </c>
      <c r="G97">
        <v>3.0908004511744269</v>
      </c>
      <c r="H97" s="22">
        <v>55657</v>
      </c>
    </row>
    <row r="98" spans="1:8" x14ac:dyDescent="0.3">
      <c r="A98" s="21">
        <v>45614</v>
      </c>
      <c r="B98" t="s">
        <v>10</v>
      </c>
      <c r="C98" s="2">
        <v>5798</v>
      </c>
      <c r="D98" s="2">
        <v>592</v>
      </c>
      <c r="E98" s="2">
        <v>631128</v>
      </c>
      <c r="F98" s="4">
        <v>8.2487229214992797E-3</v>
      </c>
      <c r="G98">
        <v>1.6774727155188811</v>
      </c>
      <c r="H98" s="22">
        <v>13471</v>
      </c>
    </row>
    <row r="99" spans="1:8" x14ac:dyDescent="0.3">
      <c r="A99" s="21">
        <v>45614</v>
      </c>
      <c r="B99" t="s">
        <v>28</v>
      </c>
      <c r="C99" s="2">
        <v>7036</v>
      </c>
      <c r="D99" s="2">
        <v>652</v>
      </c>
      <c r="E99" s="2">
        <v>637512</v>
      </c>
      <c r="F99" s="4">
        <v>1.00139291495689E-2</v>
      </c>
      <c r="G99">
        <v>3.5705994553828009</v>
      </c>
      <c r="H99" s="22">
        <v>51796</v>
      </c>
    </row>
    <row r="100" spans="1:8" x14ac:dyDescent="0.3">
      <c r="A100" s="21">
        <v>45614</v>
      </c>
      <c r="B100" t="s">
        <v>6</v>
      </c>
      <c r="C100" s="2">
        <v>3355</v>
      </c>
      <c r="D100" s="2">
        <v>176</v>
      </c>
      <c r="E100" s="2">
        <v>640691</v>
      </c>
      <c r="F100" s="4">
        <v>4.96183027387618E-3</v>
      </c>
      <c r="G100">
        <v>12.426427091999111</v>
      </c>
      <c r="H100" s="22">
        <v>40268</v>
      </c>
    </row>
    <row r="101" spans="1:8" x14ac:dyDescent="0.3">
      <c r="A101" s="21">
        <v>45614</v>
      </c>
      <c r="B101" t="s">
        <v>6</v>
      </c>
      <c r="C101" s="2">
        <v>6887</v>
      </c>
      <c r="D101" s="2">
        <v>418</v>
      </c>
      <c r="E101" s="2">
        <v>647160</v>
      </c>
      <c r="F101" s="4">
        <v>9.9959824463811096E-3</v>
      </c>
      <c r="G101">
        <v>20.240280610668151</v>
      </c>
      <c r="H101" s="22">
        <v>18329</v>
      </c>
    </row>
    <row r="102" spans="1:8" x14ac:dyDescent="0.3">
      <c r="A102" s="21">
        <v>45621</v>
      </c>
      <c r="B102" t="s">
        <v>10</v>
      </c>
      <c r="C102" s="2">
        <v>8961</v>
      </c>
      <c r="D102" s="2">
        <v>476</v>
      </c>
      <c r="E102" s="2">
        <v>655645</v>
      </c>
      <c r="F102" s="4">
        <v>1.29414545981438E-2</v>
      </c>
      <c r="G102">
        <v>15.458517947974901</v>
      </c>
      <c r="H102" s="22">
        <v>44865</v>
      </c>
    </row>
    <row r="103" spans="1:8" x14ac:dyDescent="0.3">
      <c r="A103" s="21">
        <v>45621</v>
      </c>
      <c r="B103" t="s">
        <v>10</v>
      </c>
      <c r="C103" s="2">
        <v>6827</v>
      </c>
      <c r="D103" s="2">
        <v>775</v>
      </c>
      <c r="E103" s="2">
        <v>661697</v>
      </c>
      <c r="F103" s="4">
        <v>9.1461802003031598E-3</v>
      </c>
      <c r="G103">
        <v>15.96622018839439</v>
      </c>
      <c r="H103" s="22">
        <v>56850</v>
      </c>
    </row>
    <row r="104" spans="1:8" x14ac:dyDescent="0.3">
      <c r="A104" s="21">
        <v>45621</v>
      </c>
      <c r="B104" t="s">
        <v>6</v>
      </c>
      <c r="C104" s="2">
        <v>9737</v>
      </c>
      <c r="D104" s="2">
        <v>792</v>
      </c>
      <c r="E104" s="2">
        <v>670642</v>
      </c>
      <c r="F104" s="4">
        <v>1.33379657104685E-2</v>
      </c>
      <c r="G104">
        <v>5.301785453341723</v>
      </c>
      <c r="H104" s="22">
        <v>56698</v>
      </c>
    </row>
    <row r="105" spans="1:8" x14ac:dyDescent="0.3">
      <c r="A105" s="21">
        <v>45621</v>
      </c>
      <c r="B105" t="s">
        <v>1</v>
      </c>
      <c r="C105" s="2">
        <v>5719</v>
      </c>
      <c r="D105" s="2">
        <v>576</v>
      </c>
      <c r="E105" s="2">
        <v>675785</v>
      </c>
      <c r="F105" s="4">
        <v>7.6104086358827197E-3</v>
      </c>
      <c r="G105">
        <v>10.21656296011305</v>
      </c>
      <c r="H105" s="22">
        <v>38272</v>
      </c>
    </row>
    <row r="106" spans="1:8" x14ac:dyDescent="0.3">
      <c r="A106" s="21">
        <v>45628</v>
      </c>
      <c r="B106" t="s">
        <v>10</v>
      </c>
      <c r="C106" s="2">
        <v>1593</v>
      </c>
      <c r="D106" s="2">
        <v>224</v>
      </c>
      <c r="E106" s="2">
        <v>677154</v>
      </c>
      <c r="F106" s="4">
        <v>2.0216966893793699E-3</v>
      </c>
      <c r="G106">
        <v>4.1495730660972248</v>
      </c>
      <c r="H106" s="22">
        <v>52845</v>
      </c>
    </row>
    <row r="107" spans="1:8" x14ac:dyDescent="0.3">
      <c r="A107" s="21">
        <v>45628</v>
      </c>
      <c r="B107" t="s">
        <v>6</v>
      </c>
      <c r="C107" s="2">
        <v>5839</v>
      </c>
      <c r="D107" s="2">
        <v>437</v>
      </c>
      <c r="E107" s="2">
        <v>682556</v>
      </c>
      <c r="F107" s="4">
        <v>7.9143689309009099E-3</v>
      </c>
      <c r="G107">
        <v>17.44750613869045</v>
      </c>
      <c r="H107" s="22">
        <v>16397</v>
      </c>
    </row>
    <row r="108" spans="1:8" x14ac:dyDescent="0.3">
      <c r="A108" s="21">
        <v>45628</v>
      </c>
      <c r="B108" t="s">
        <v>10</v>
      </c>
      <c r="C108" s="2">
        <v>8394</v>
      </c>
      <c r="D108" s="2">
        <v>764</v>
      </c>
      <c r="E108" s="2">
        <v>690186</v>
      </c>
      <c r="F108" s="4">
        <v>1.10549909734477E-2</v>
      </c>
      <c r="G108">
        <v>6.3556780346167558</v>
      </c>
      <c r="H108" s="22">
        <v>42373</v>
      </c>
    </row>
    <row r="109" spans="1:8" x14ac:dyDescent="0.3">
      <c r="A109" s="21">
        <v>45628</v>
      </c>
      <c r="B109" t="s">
        <v>1</v>
      </c>
      <c r="C109" s="2">
        <v>4493</v>
      </c>
      <c r="D109" s="2">
        <v>564</v>
      </c>
      <c r="E109" s="2">
        <v>694115</v>
      </c>
      <c r="F109" s="4">
        <v>5.6604453152575597E-3</v>
      </c>
      <c r="G109">
        <v>16.625487131094989</v>
      </c>
      <c r="H109" s="22">
        <v>45525</v>
      </c>
    </row>
    <row r="110" spans="1:8" x14ac:dyDescent="0.3">
      <c r="A110" s="21">
        <v>45635</v>
      </c>
      <c r="B110" t="s">
        <v>28</v>
      </c>
      <c r="C110" s="2">
        <v>7164</v>
      </c>
      <c r="D110" s="2">
        <v>522</v>
      </c>
      <c r="E110" s="2">
        <v>700757</v>
      </c>
      <c r="F110" s="4">
        <v>9.4783213011072308E-3</v>
      </c>
      <c r="G110">
        <v>13.449169969047761</v>
      </c>
      <c r="H110" s="22">
        <v>34570</v>
      </c>
    </row>
    <row r="111" spans="1:8" x14ac:dyDescent="0.3">
      <c r="A111" s="21">
        <v>45635</v>
      </c>
      <c r="B111" t="s">
        <v>10</v>
      </c>
      <c r="C111" s="2">
        <v>3672</v>
      </c>
      <c r="D111" s="2">
        <v>211</v>
      </c>
      <c r="E111" s="2">
        <v>704218</v>
      </c>
      <c r="F111" s="4">
        <v>4.9146713091684701E-3</v>
      </c>
      <c r="G111">
        <v>12.35057894004413</v>
      </c>
      <c r="H111" s="22">
        <v>28284</v>
      </c>
    </row>
    <row r="112" spans="1:8" x14ac:dyDescent="0.3">
      <c r="A112" s="21">
        <v>45635</v>
      </c>
      <c r="B112" t="s">
        <v>1</v>
      </c>
      <c r="C112" s="2">
        <v>5200</v>
      </c>
      <c r="D112" s="2">
        <v>410</v>
      </c>
      <c r="E112" s="2">
        <v>709008</v>
      </c>
      <c r="F112" s="4">
        <v>6.7559181278631598E-3</v>
      </c>
      <c r="G112">
        <v>12.913394489201821</v>
      </c>
      <c r="H112" s="22">
        <v>28994</v>
      </c>
    </row>
    <row r="113" spans="1:8" x14ac:dyDescent="0.3">
      <c r="A113" s="21">
        <v>45635</v>
      </c>
      <c r="B113" t="s">
        <v>6</v>
      </c>
      <c r="C113" s="2">
        <v>1016</v>
      </c>
      <c r="D113" s="2">
        <v>67</v>
      </c>
      <c r="E113" s="2">
        <v>709957</v>
      </c>
      <c r="F113" s="4">
        <v>1.3367006734210699E-3</v>
      </c>
      <c r="G113">
        <v>20.774215903216671</v>
      </c>
      <c r="H113" s="22">
        <v>33284</v>
      </c>
    </row>
    <row r="114" spans="1:8" x14ac:dyDescent="0.3">
      <c r="A114" s="21">
        <v>45642</v>
      </c>
      <c r="B114" t="s">
        <v>10</v>
      </c>
      <c r="C114" s="2">
        <v>4191</v>
      </c>
      <c r="D114" s="2">
        <v>599</v>
      </c>
      <c r="E114" s="2">
        <v>713549</v>
      </c>
      <c r="F114" s="4">
        <v>5.0339920594100803E-3</v>
      </c>
      <c r="G114">
        <v>11.56416728213479</v>
      </c>
      <c r="H114" s="22">
        <v>27833</v>
      </c>
    </row>
    <row r="115" spans="1:8" x14ac:dyDescent="0.3">
      <c r="A115" s="21">
        <v>45642</v>
      </c>
      <c r="B115" t="s">
        <v>10</v>
      </c>
      <c r="C115" s="2">
        <v>1392</v>
      </c>
      <c r="D115" s="2">
        <v>182</v>
      </c>
      <c r="E115" s="2">
        <v>714759</v>
      </c>
      <c r="F115" s="4">
        <v>1.69287829883919E-3</v>
      </c>
      <c r="G115">
        <v>5.9603306848881932</v>
      </c>
      <c r="H115" s="22">
        <v>35122</v>
      </c>
    </row>
    <row r="116" spans="1:8" x14ac:dyDescent="0.3">
      <c r="A116" s="21">
        <v>45642</v>
      </c>
      <c r="B116" t="s">
        <v>6</v>
      </c>
      <c r="C116" s="2">
        <v>9616</v>
      </c>
      <c r="D116" s="2">
        <v>1089</v>
      </c>
      <c r="E116" s="2">
        <v>723286</v>
      </c>
      <c r="F116" s="4">
        <v>1.17892507251627E-2</v>
      </c>
      <c r="G116">
        <v>19.25863351426683</v>
      </c>
      <c r="H116" s="22">
        <v>15017</v>
      </c>
    </row>
    <row r="117" spans="1:8" x14ac:dyDescent="0.3">
      <c r="A117" s="21">
        <v>45642</v>
      </c>
      <c r="B117" t="s">
        <v>28</v>
      </c>
      <c r="C117" s="2">
        <v>7272</v>
      </c>
      <c r="D117" s="2">
        <v>997</v>
      </c>
      <c r="E117" s="2">
        <v>729561</v>
      </c>
      <c r="F117" s="4">
        <v>8.6010628309353201E-3</v>
      </c>
      <c r="G117">
        <v>13.428486445958599</v>
      </c>
      <c r="H117" s="22">
        <v>26370</v>
      </c>
    </row>
    <row r="118" spans="1:8" x14ac:dyDescent="0.3">
      <c r="A118" s="21">
        <v>45649</v>
      </c>
      <c r="B118" t="s">
        <v>6</v>
      </c>
      <c r="C118" s="2">
        <v>1571</v>
      </c>
      <c r="D118" s="2">
        <v>204</v>
      </c>
      <c r="E118" s="2">
        <v>730928</v>
      </c>
      <c r="F118" s="4">
        <v>1.8702252479040301E-3</v>
      </c>
      <c r="G118">
        <v>19.449384891535139</v>
      </c>
      <c r="H118" s="22">
        <v>39252</v>
      </c>
    </row>
    <row r="119" spans="1:8" x14ac:dyDescent="0.3">
      <c r="A119" s="21">
        <v>45649</v>
      </c>
      <c r="B119" t="s">
        <v>10</v>
      </c>
      <c r="C119" s="2">
        <v>4631</v>
      </c>
      <c r="D119" s="2">
        <v>317</v>
      </c>
      <c r="E119" s="2">
        <v>735242</v>
      </c>
      <c r="F119" s="4">
        <v>5.8674558852731496E-3</v>
      </c>
      <c r="G119">
        <v>1.381177897889402</v>
      </c>
      <c r="H119" s="22">
        <v>17999</v>
      </c>
    </row>
    <row r="120" spans="1:8" x14ac:dyDescent="0.3">
      <c r="A120" s="21">
        <v>45649</v>
      </c>
      <c r="B120" t="s">
        <v>6</v>
      </c>
      <c r="C120" s="2">
        <v>7172</v>
      </c>
      <c r="D120" s="2">
        <v>998</v>
      </c>
      <c r="E120" s="2">
        <v>741416</v>
      </c>
      <c r="F120" s="4">
        <v>8.32730882527488E-3</v>
      </c>
      <c r="G120">
        <v>18.0667803230575</v>
      </c>
      <c r="H120" s="22">
        <v>32436</v>
      </c>
    </row>
    <row r="121" spans="1:8" x14ac:dyDescent="0.3">
      <c r="A121" s="21">
        <v>45649</v>
      </c>
      <c r="B121" t="s">
        <v>1</v>
      </c>
      <c r="C121" s="2">
        <v>8177</v>
      </c>
      <c r="D121" s="2">
        <v>849</v>
      </c>
      <c r="E121" s="2">
        <v>748744</v>
      </c>
      <c r="F121" s="4">
        <v>9.78705672432768E-3</v>
      </c>
      <c r="G121">
        <v>10.34986590877523</v>
      </c>
      <c r="H121" s="22">
        <v>52963</v>
      </c>
    </row>
    <row r="122" spans="1:8" x14ac:dyDescent="0.3">
      <c r="A122" s="21">
        <v>45656</v>
      </c>
      <c r="B122" t="s">
        <v>6</v>
      </c>
      <c r="C122" s="2">
        <v>9433</v>
      </c>
      <c r="D122" s="2">
        <v>1233</v>
      </c>
      <c r="E122" s="2">
        <v>756944</v>
      </c>
      <c r="F122" s="4">
        <v>1.08330338836162E-2</v>
      </c>
      <c r="G122">
        <v>11.391727789638329</v>
      </c>
      <c r="H122" s="22">
        <v>12096</v>
      </c>
    </row>
    <row r="123" spans="1:8" x14ac:dyDescent="0.3">
      <c r="A123" s="21">
        <v>45656</v>
      </c>
      <c r="B123" t="s">
        <v>10</v>
      </c>
      <c r="C123" s="2">
        <v>4897</v>
      </c>
      <c r="D123" s="2">
        <v>683</v>
      </c>
      <c r="E123" s="2">
        <v>761158</v>
      </c>
      <c r="F123" s="4">
        <v>5.5363012672795904E-3</v>
      </c>
      <c r="G123">
        <v>15.06231294947961</v>
      </c>
      <c r="H123" s="22">
        <v>58201</v>
      </c>
    </row>
    <row r="124" spans="1:8" x14ac:dyDescent="0.3">
      <c r="A124" s="21">
        <v>45656</v>
      </c>
      <c r="B124" t="s">
        <v>6</v>
      </c>
      <c r="C124" s="2">
        <v>9123</v>
      </c>
      <c r="D124" s="2">
        <v>746</v>
      </c>
      <c r="E124" s="2">
        <v>769535</v>
      </c>
      <c r="F124" s="4">
        <v>1.0885794668208699E-2</v>
      </c>
      <c r="G124">
        <v>6.3086149427901264</v>
      </c>
      <c r="H124" s="22">
        <v>35279</v>
      </c>
    </row>
    <row r="125" spans="1:8" x14ac:dyDescent="0.3">
      <c r="A125" s="21">
        <v>45656</v>
      </c>
      <c r="B125" t="s">
        <v>28</v>
      </c>
      <c r="C125" s="2">
        <v>3279</v>
      </c>
      <c r="D125" s="2">
        <v>200</v>
      </c>
      <c r="E125" s="2">
        <v>772614</v>
      </c>
      <c r="F125" s="4">
        <v>3.9851724146857297E-3</v>
      </c>
      <c r="G125">
        <v>5.0212654702089274</v>
      </c>
      <c r="H125" s="22">
        <v>53363</v>
      </c>
    </row>
    <row r="126" spans="1:8" x14ac:dyDescent="0.3">
      <c r="A126" s="21">
        <v>45663</v>
      </c>
      <c r="B126" t="s">
        <v>6</v>
      </c>
      <c r="C126" s="2">
        <v>9980</v>
      </c>
      <c r="D126" s="2">
        <v>726</v>
      </c>
      <c r="E126" s="2">
        <v>781868</v>
      </c>
      <c r="F126" s="4">
        <v>1.18357574424327E-2</v>
      </c>
      <c r="G126">
        <v>4.0220344099003924</v>
      </c>
      <c r="H126" s="22">
        <v>58709</v>
      </c>
    </row>
    <row r="127" spans="1:8" x14ac:dyDescent="0.3">
      <c r="A127" s="21">
        <v>45663</v>
      </c>
      <c r="B127" t="s">
        <v>28</v>
      </c>
      <c r="C127" s="2">
        <v>8451</v>
      </c>
      <c r="D127" s="2">
        <v>783</v>
      </c>
      <c r="E127" s="2">
        <v>789536</v>
      </c>
      <c r="F127" s="4">
        <v>9.7120333968305408E-3</v>
      </c>
      <c r="G127">
        <v>12.407287318121019</v>
      </c>
      <c r="H127" s="22">
        <v>36201</v>
      </c>
    </row>
    <row r="128" spans="1:8" x14ac:dyDescent="0.3">
      <c r="A128" s="21">
        <v>45663</v>
      </c>
      <c r="B128" t="s">
        <v>1</v>
      </c>
      <c r="C128" s="2">
        <v>9906</v>
      </c>
      <c r="D128" s="2">
        <v>1305</v>
      </c>
      <c r="E128" s="2">
        <v>798137</v>
      </c>
      <c r="F128" s="4">
        <v>1.0776345414383701E-2</v>
      </c>
      <c r="G128">
        <v>9.1811305577864442</v>
      </c>
      <c r="H128" s="22">
        <v>29715</v>
      </c>
    </row>
    <row r="129" spans="1:8" x14ac:dyDescent="0.3">
      <c r="A129" s="21">
        <v>45663</v>
      </c>
      <c r="B129" t="s">
        <v>28</v>
      </c>
      <c r="C129" s="2">
        <v>1775</v>
      </c>
      <c r="D129" s="2">
        <v>241</v>
      </c>
      <c r="E129" s="2">
        <v>799671</v>
      </c>
      <c r="F129" s="4">
        <v>1.91828889630861E-3</v>
      </c>
      <c r="G129">
        <v>8.1379717408784362</v>
      </c>
      <c r="H129" s="22">
        <v>39309</v>
      </c>
    </row>
    <row r="130" spans="1:8" x14ac:dyDescent="0.3">
      <c r="A130" s="21">
        <v>45670</v>
      </c>
      <c r="B130" t="s">
        <v>6</v>
      </c>
      <c r="C130" s="2">
        <v>7869</v>
      </c>
      <c r="D130" s="2">
        <v>398</v>
      </c>
      <c r="E130" s="2">
        <v>807142</v>
      </c>
      <c r="F130" s="4">
        <v>9.2561160241940096E-3</v>
      </c>
      <c r="G130">
        <v>15.211945357818079</v>
      </c>
      <c r="H130" s="22">
        <v>25078</v>
      </c>
    </row>
    <row r="131" spans="1:8" x14ac:dyDescent="0.3">
      <c r="A131" s="21">
        <v>45670</v>
      </c>
      <c r="B131" t="s">
        <v>10</v>
      </c>
      <c r="C131" s="2">
        <v>3247</v>
      </c>
      <c r="D131" s="2">
        <v>328</v>
      </c>
      <c r="E131" s="2">
        <v>810061</v>
      </c>
      <c r="F131" s="4">
        <v>3.6034323341081701E-3</v>
      </c>
      <c r="G131">
        <v>13.941172331466399</v>
      </c>
      <c r="H131" s="22">
        <v>15105</v>
      </c>
    </row>
    <row r="132" spans="1:8" x14ac:dyDescent="0.3">
      <c r="A132" s="21">
        <v>45670</v>
      </c>
      <c r="B132" t="s">
        <v>28</v>
      </c>
      <c r="C132" s="2">
        <v>8088</v>
      </c>
      <c r="D132" s="2">
        <v>742</v>
      </c>
      <c r="E132" s="2">
        <v>817407</v>
      </c>
      <c r="F132" s="4">
        <v>8.9869550909155403E-3</v>
      </c>
      <c r="G132">
        <v>14.664542877660701</v>
      </c>
      <c r="H132" s="22">
        <v>39312</v>
      </c>
    </row>
    <row r="133" spans="1:8" x14ac:dyDescent="0.3">
      <c r="A133" s="21">
        <v>45670</v>
      </c>
      <c r="B133" t="s">
        <v>1</v>
      </c>
      <c r="C133" s="2">
        <v>1078</v>
      </c>
      <c r="D133" s="2">
        <v>77</v>
      </c>
      <c r="E133" s="2">
        <v>818408</v>
      </c>
      <c r="F133" s="4">
        <v>1.22310632349635E-3</v>
      </c>
      <c r="G133">
        <v>18.236747441373989</v>
      </c>
      <c r="H133" s="22">
        <v>12839</v>
      </c>
    </row>
    <row r="134" spans="1:8" x14ac:dyDescent="0.3">
      <c r="A134" s="21">
        <v>45677</v>
      </c>
      <c r="B134" t="s">
        <v>28</v>
      </c>
      <c r="C134" s="2">
        <v>9080</v>
      </c>
      <c r="D134" s="2">
        <v>562</v>
      </c>
      <c r="E134" s="2">
        <v>826926</v>
      </c>
      <c r="F134" s="4">
        <v>1.03008007971693E-2</v>
      </c>
      <c r="G134">
        <v>7.1083748727213809</v>
      </c>
      <c r="H134" s="22">
        <v>13384</v>
      </c>
    </row>
    <row r="135" spans="1:8" x14ac:dyDescent="0.3">
      <c r="A135" s="21">
        <v>45677</v>
      </c>
      <c r="B135" t="s">
        <v>28</v>
      </c>
      <c r="C135" s="2">
        <v>8099</v>
      </c>
      <c r="D135" s="2">
        <v>678</v>
      </c>
      <c r="E135" s="2">
        <v>834347</v>
      </c>
      <c r="F135" s="4">
        <v>8.8943808751035195E-3</v>
      </c>
      <c r="G135">
        <v>7.6464588474579518</v>
      </c>
      <c r="H135" s="22">
        <v>53619</v>
      </c>
    </row>
    <row r="136" spans="1:8" x14ac:dyDescent="0.3">
      <c r="A136" s="21">
        <v>45677</v>
      </c>
      <c r="B136" t="s">
        <v>28</v>
      </c>
      <c r="C136" s="2">
        <v>4926</v>
      </c>
      <c r="D136" s="2">
        <v>710</v>
      </c>
      <c r="E136" s="2">
        <v>838563</v>
      </c>
      <c r="F136" s="4">
        <v>5.0276484891415398E-3</v>
      </c>
      <c r="G136">
        <v>12.96217457722318</v>
      </c>
      <c r="H136" s="22">
        <v>52821</v>
      </c>
    </row>
    <row r="137" spans="1:8" x14ac:dyDescent="0.3">
      <c r="A137" s="21">
        <v>45677</v>
      </c>
      <c r="B137" t="s">
        <v>1</v>
      </c>
      <c r="C137" s="2">
        <v>8340</v>
      </c>
      <c r="D137" s="2">
        <v>686</v>
      </c>
      <c r="E137" s="2">
        <v>846217</v>
      </c>
      <c r="F137" s="4">
        <v>9.04496128061715E-3</v>
      </c>
      <c r="G137">
        <v>7.201344336027284</v>
      </c>
      <c r="H137" s="22">
        <v>23493</v>
      </c>
    </row>
    <row r="138" spans="1:8" x14ac:dyDescent="0.3">
      <c r="A138" s="21">
        <v>45684</v>
      </c>
      <c r="B138" t="s">
        <v>6</v>
      </c>
      <c r="C138" s="2">
        <v>8083</v>
      </c>
      <c r="D138" s="2">
        <v>823</v>
      </c>
      <c r="E138" s="2">
        <v>853477</v>
      </c>
      <c r="F138" s="4">
        <v>8.5063803711172108E-3</v>
      </c>
      <c r="G138">
        <v>4.6300017457998282</v>
      </c>
      <c r="H138" s="22">
        <v>27069</v>
      </c>
    </row>
    <row r="139" spans="1:8" x14ac:dyDescent="0.3">
      <c r="A139" s="21">
        <v>45684</v>
      </c>
      <c r="B139" t="s">
        <v>28</v>
      </c>
      <c r="C139" s="2">
        <v>7230</v>
      </c>
      <c r="D139" s="2">
        <v>869</v>
      </c>
      <c r="E139" s="2">
        <v>859838</v>
      </c>
      <c r="F139" s="4">
        <v>7.397905186791E-3</v>
      </c>
      <c r="G139">
        <v>7.0117859410726204</v>
      </c>
      <c r="H139" s="22">
        <v>56907</v>
      </c>
    </row>
    <row r="140" spans="1:8" x14ac:dyDescent="0.3">
      <c r="A140" s="21">
        <v>45684</v>
      </c>
      <c r="B140" t="s">
        <v>28</v>
      </c>
      <c r="C140" s="2">
        <v>5940</v>
      </c>
      <c r="D140" s="2">
        <v>512</v>
      </c>
      <c r="E140" s="2">
        <v>865266</v>
      </c>
      <c r="F140" s="4">
        <v>6.2732154042802997E-3</v>
      </c>
      <c r="G140">
        <v>15.7972230504839</v>
      </c>
      <c r="H140" s="22">
        <v>17531</v>
      </c>
    </row>
    <row r="141" spans="1:8" x14ac:dyDescent="0.3">
      <c r="A141" s="21">
        <v>45684</v>
      </c>
      <c r="B141" t="s">
        <v>10</v>
      </c>
      <c r="C141" s="2">
        <v>4271</v>
      </c>
      <c r="D141" s="2">
        <v>628</v>
      </c>
      <c r="E141" s="2">
        <v>868909</v>
      </c>
      <c r="F141" s="4">
        <v>4.1926139561219902E-3</v>
      </c>
      <c r="G141">
        <v>11.124410036033691</v>
      </c>
      <c r="H141" s="22">
        <v>47051</v>
      </c>
    </row>
    <row r="142" spans="1:8" x14ac:dyDescent="0.3">
      <c r="A142" s="21">
        <v>45691</v>
      </c>
      <c r="B142" t="s">
        <v>1</v>
      </c>
      <c r="C142" s="2">
        <v>4456</v>
      </c>
      <c r="D142" s="2">
        <v>651</v>
      </c>
      <c r="E142" s="2">
        <v>872714</v>
      </c>
      <c r="F142" s="4">
        <v>4.3599621410908996E-3</v>
      </c>
      <c r="G142">
        <v>9.5052903929580594</v>
      </c>
      <c r="H142" s="22">
        <v>17736</v>
      </c>
    </row>
    <row r="143" spans="1:8" x14ac:dyDescent="0.3">
      <c r="A143" s="21">
        <v>45691</v>
      </c>
      <c r="B143" t="s">
        <v>28</v>
      </c>
      <c r="C143" s="2">
        <v>8788</v>
      </c>
      <c r="D143" s="2">
        <v>660</v>
      </c>
      <c r="E143" s="2">
        <v>880842</v>
      </c>
      <c r="F143" s="4">
        <v>9.2275345635198999E-3</v>
      </c>
      <c r="G143">
        <v>3.7175793161543158</v>
      </c>
      <c r="H143" s="22">
        <v>17710</v>
      </c>
    </row>
    <row r="144" spans="1:8" x14ac:dyDescent="0.3">
      <c r="A144" s="21">
        <v>45691</v>
      </c>
      <c r="B144" t="s">
        <v>1</v>
      </c>
      <c r="C144" s="2">
        <v>9599</v>
      </c>
      <c r="D144" s="2">
        <v>957</v>
      </c>
      <c r="E144" s="2">
        <v>889484</v>
      </c>
      <c r="F144" s="4">
        <v>9.7157453085159502E-3</v>
      </c>
      <c r="G144">
        <v>8.768004820772493</v>
      </c>
      <c r="H144" s="22">
        <v>11619</v>
      </c>
    </row>
    <row r="145" spans="1:8" x14ac:dyDescent="0.3">
      <c r="A145" s="21">
        <v>45691</v>
      </c>
      <c r="B145" t="s">
        <v>28</v>
      </c>
      <c r="C145" s="2">
        <v>8650</v>
      </c>
      <c r="D145" s="2">
        <v>692</v>
      </c>
      <c r="E145" s="2">
        <v>897442</v>
      </c>
      <c r="F145" s="4">
        <v>8.8674254157928897E-3</v>
      </c>
      <c r="G145">
        <v>7.6673478620345374</v>
      </c>
      <c r="H145" s="22">
        <v>23975</v>
      </c>
    </row>
    <row r="146" spans="1:8" x14ac:dyDescent="0.3">
      <c r="A146" s="21">
        <v>45698</v>
      </c>
      <c r="B146" t="s">
        <v>6</v>
      </c>
      <c r="C146" s="2">
        <v>3711</v>
      </c>
      <c r="D146" s="2">
        <v>291</v>
      </c>
      <c r="E146" s="2">
        <v>900862</v>
      </c>
      <c r="F146" s="4">
        <v>3.7963639269943698E-3</v>
      </c>
      <c r="G146">
        <v>14.24879726306582</v>
      </c>
      <c r="H146" s="22">
        <v>55603</v>
      </c>
    </row>
    <row r="147" spans="1:8" x14ac:dyDescent="0.3">
      <c r="A147" s="21">
        <v>45698</v>
      </c>
      <c r="B147" t="s">
        <v>6</v>
      </c>
      <c r="C147" s="2">
        <v>2668</v>
      </c>
      <c r="D147" s="2">
        <v>143</v>
      </c>
      <c r="E147" s="2">
        <v>903387</v>
      </c>
      <c r="F147" s="4">
        <v>2.79503690002181E-3</v>
      </c>
      <c r="G147">
        <v>15.903372530266649</v>
      </c>
      <c r="H147" s="22">
        <v>33252</v>
      </c>
    </row>
    <row r="148" spans="1:8" x14ac:dyDescent="0.3">
      <c r="A148" s="21">
        <v>45698</v>
      </c>
      <c r="B148" t="s">
        <v>28</v>
      </c>
      <c r="C148" s="2">
        <v>1147</v>
      </c>
      <c r="D148" s="2">
        <v>127</v>
      </c>
      <c r="E148" s="2">
        <v>904407</v>
      </c>
      <c r="F148" s="4">
        <v>1.12781081968627E-3</v>
      </c>
      <c r="G148">
        <v>1.3997016829812241</v>
      </c>
      <c r="H148" s="22">
        <v>25261</v>
      </c>
    </row>
    <row r="149" spans="1:8" x14ac:dyDescent="0.3">
      <c r="A149" s="21">
        <v>45698</v>
      </c>
      <c r="B149" t="s">
        <v>6</v>
      </c>
      <c r="C149" s="2">
        <v>7420</v>
      </c>
      <c r="D149" s="2">
        <v>743</v>
      </c>
      <c r="E149" s="2">
        <v>911084</v>
      </c>
      <c r="F149" s="4">
        <v>7.3286327056561202E-3</v>
      </c>
      <c r="G149">
        <v>10.593534734448189</v>
      </c>
      <c r="H149" s="22">
        <v>11431</v>
      </c>
    </row>
    <row r="150" spans="1:8" x14ac:dyDescent="0.3">
      <c r="A150" s="21">
        <v>45705</v>
      </c>
      <c r="B150" t="s">
        <v>28</v>
      </c>
      <c r="C150" s="2">
        <v>1365</v>
      </c>
      <c r="D150" s="2">
        <v>75</v>
      </c>
      <c r="E150" s="2">
        <v>912374</v>
      </c>
      <c r="F150" s="4">
        <v>1.4138938637006299E-3</v>
      </c>
      <c r="G150">
        <v>9.2688963078737441</v>
      </c>
      <c r="H150" s="22">
        <v>19067</v>
      </c>
    </row>
    <row r="151" spans="1:8" x14ac:dyDescent="0.3">
      <c r="A151" s="21">
        <v>45705</v>
      </c>
      <c r="B151" t="s">
        <v>6</v>
      </c>
      <c r="C151" s="2">
        <v>5531</v>
      </c>
      <c r="D151" s="2">
        <v>430</v>
      </c>
      <c r="E151" s="2">
        <v>917475</v>
      </c>
      <c r="F151" s="4">
        <v>5.5598245183792498E-3</v>
      </c>
      <c r="G151">
        <v>2.7289026948963189</v>
      </c>
      <c r="H151" s="22">
        <v>47481</v>
      </c>
    </row>
    <row r="152" spans="1:8" x14ac:dyDescent="0.3">
      <c r="A152" s="21">
        <v>45705</v>
      </c>
      <c r="B152" t="s">
        <v>10</v>
      </c>
      <c r="C152" s="2">
        <v>6330</v>
      </c>
      <c r="D152" s="2">
        <v>891</v>
      </c>
      <c r="E152" s="2">
        <v>922914</v>
      </c>
      <c r="F152" s="4">
        <v>5.8932901657142503E-3</v>
      </c>
      <c r="G152">
        <v>14.789893749580139</v>
      </c>
      <c r="H152" s="22">
        <v>37037</v>
      </c>
    </row>
    <row r="153" spans="1:8" x14ac:dyDescent="0.3">
      <c r="A153" s="21">
        <v>45705</v>
      </c>
      <c r="B153" t="s">
        <v>10</v>
      </c>
      <c r="C153" s="2">
        <v>6510</v>
      </c>
      <c r="D153" s="2">
        <v>481</v>
      </c>
      <c r="E153" s="2">
        <v>928943</v>
      </c>
      <c r="F153" s="4">
        <v>6.4901721634158397E-3</v>
      </c>
      <c r="G153">
        <v>2.3800168578696428</v>
      </c>
      <c r="H153" s="22">
        <v>19557</v>
      </c>
    </row>
    <row r="154" spans="1:8" x14ac:dyDescent="0.3">
      <c r="A154" s="21">
        <v>45712</v>
      </c>
      <c r="B154" t="s">
        <v>10</v>
      </c>
      <c r="C154" s="2">
        <v>9754</v>
      </c>
      <c r="D154" s="2">
        <v>629</v>
      </c>
      <c r="E154" s="2">
        <v>938068</v>
      </c>
      <c r="F154" s="4">
        <v>9.7274398018054094E-3</v>
      </c>
      <c r="G154">
        <v>3.4123325814333292</v>
      </c>
      <c r="H154" s="22">
        <v>19435</v>
      </c>
    </row>
    <row r="155" spans="1:8" x14ac:dyDescent="0.3">
      <c r="A155" s="21">
        <v>45712</v>
      </c>
      <c r="B155" t="s">
        <v>1</v>
      </c>
      <c r="C155" s="2">
        <v>9964</v>
      </c>
      <c r="D155" s="2">
        <v>985</v>
      </c>
      <c r="E155" s="2">
        <v>947047</v>
      </c>
      <c r="F155" s="4">
        <v>9.4810500429228992E-3</v>
      </c>
      <c r="G155">
        <v>1.9837452629066989</v>
      </c>
      <c r="H155" s="22">
        <v>47766</v>
      </c>
    </row>
    <row r="156" spans="1:8" x14ac:dyDescent="0.3">
      <c r="A156" s="21">
        <v>45712</v>
      </c>
      <c r="B156" t="s">
        <v>1</v>
      </c>
      <c r="C156" s="2">
        <v>7493</v>
      </c>
      <c r="D156" s="2">
        <v>1113</v>
      </c>
      <c r="E156" s="2">
        <v>953427</v>
      </c>
      <c r="F156" s="4">
        <v>6.6916502259743004E-3</v>
      </c>
      <c r="G156">
        <v>15.684892498324469</v>
      </c>
      <c r="H156" s="22">
        <v>10162</v>
      </c>
    </row>
    <row r="157" spans="1:8" x14ac:dyDescent="0.3">
      <c r="A157" s="21">
        <v>45712</v>
      </c>
      <c r="B157" t="s">
        <v>10</v>
      </c>
      <c r="C157" s="2">
        <v>6439</v>
      </c>
      <c r="D157" s="2">
        <v>477</v>
      </c>
      <c r="E157" s="2">
        <v>959389</v>
      </c>
      <c r="F157" s="4">
        <v>6.2143718554204799E-3</v>
      </c>
      <c r="G157">
        <v>7.4744446725989153</v>
      </c>
      <c r="H157" s="22">
        <v>44742</v>
      </c>
    </row>
    <row r="158" spans="1:8" x14ac:dyDescent="0.3">
      <c r="A158" s="21">
        <v>45719</v>
      </c>
      <c r="B158" t="s">
        <v>1</v>
      </c>
      <c r="C158" s="2">
        <v>7511</v>
      </c>
      <c r="D158" s="2">
        <v>880</v>
      </c>
      <c r="E158" s="2">
        <v>966020</v>
      </c>
      <c r="F158" s="4">
        <v>6.8642471170369196E-3</v>
      </c>
      <c r="G158">
        <v>4.6083932009689246</v>
      </c>
      <c r="H158" s="22">
        <v>29675</v>
      </c>
    </row>
    <row r="159" spans="1:8" x14ac:dyDescent="0.3">
      <c r="A159" s="21">
        <v>45719</v>
      </c>
      <c r="B159" t="s">
        <v>6</v>
      </c>
      <c r="C159" s="2">
        <v>8504</v>
      </c>
      <c r="D159" s="2">
        <v>1072</v>
      </c>
      <c r="E159" s="2">
        <v>973452</v>
      </c>
      <c r="F159" s="4">
        <v>7.6346856342172E-3</v>
      </c>
      <c r="G159">
        <v>6.5651927367759271</v>
      </c>
      <c r="H159" s="22">
        <v>18461</v>
      </c>
    </row>
    <row r="160" spans="1:8" x14ac:dyDescent="0.3">
      <c r="A160" s="21">
        <v>45719</v>
      </c>
      <c r="B160" t="s">
        <v>28</v>
      </c>
      <c r="C160" s="2">
        <v>2246</v>
      </c>
      <c r="D160" s="2">
        <v>165</v>
      </c>
      <c r="E160" s="2">
        <v>975533</v>
      </c>
      <c r="F160" s="4">
        <v>2.1331928289458199E-3</v>
      </c>
      <c r="G160">
        <v>2.9062061457685191</v>
      </c>
      <c r="H160" s="22">
        <v>27015</v>
      </c>
    </row>
    <row r="161" spans="1:8" x14ac:dyDescent="0.3">
      <c r="A161" s="21">
        <v>45719</v>
      </c>
      <c r="B161" t="s">
        <v>28</v>
      </c>
      <c r="C161" s="2">
        <v>4839</v>
      </c>
      <c r="D161" s="2">
        <v>594</v>
      </c>
      <c r="E161" s="2">
        <v>979778</v>
      </c>
      <c r="F161" s="4">
        <v>4.3326141227910796E-3</v>
      </c>
      <c r="G161">
        <v>2.5803804535313102</v>
      </c>
      <c r="H161" s="22">
        <v>42591</v>
      </c>
    </row>
    <row r="162" spans="1:8" x14ac:dyDescent="0.3">
      <c r="A162" s="21">
        <v>45726</v>
      </c>
      <c r="B162" t="s">
        <v>28</v>
      </c>
      <c r="C162" s="2">
        <v>9551</v>
      </c>
      <c r="D162" s="2">
        <v>828</v>
      </c>
      <c r="E162" s="2">
        <v>988501</v>
      </c>
      <c r="F162" s="4">
        <v>8.8244726105487E-3</v>
      </c>
      <c r="G162">
        <v>1.525036393488727</v>
      </c>
      <c r="H162" s="22">
        <v>38047</v>
      </c>
    </row>
    <row r="163" spans="1:8" x14ac:dyDescent="0.3">
      <c r="A163" s="21">
        <v>45726</v>
      </c>
      <c r="B163" t="s">
        <v>10</v>
      </c>
      <c r="C163" s="2">
        <v>3376</v>
      </c>
      <c r="D163" s="2">
        <v>382</v>
      </c>
      <c r="E163" s="2">
        <v>991495</v>
      </c>
      <c r="F163" s="4">
        <v>3.0196823988018098E-3</v>
      </c>
      <c r="G163">
        <v>3.8694093263203548</v>
      </c>
      <c r="H163" s="22">
        <v>44782</v>
      </c>
    </row>
    <row r="164" spans="1:8" x14ac:dyDescent="0.3">
      <c r="A164" s="21">
        <v>45726</v>
      </c>
      <c r="B164" t="s">
        <v>1</v>
      </c>
      <c r="C164" s="2">
        <v>4009</v>
      </c>
      <c r="D164" s="2">
        <v>454</v>
      </c>
      <c r="E164" s="2">
        <v>995050</v>
      </c>
      <c r="F164" s="4">
        <v>3.5726847897090599E-3</v>
      </c>
      <c r="G164">
        <v>2.1106477061454201</v>
      </c>
      <c r="H164" s="22">
        <v>19833</v>
      </c>
    </row>
    <row r="165" spans="1:8" x14ac:dyDescent="0.3">
      <c r="A165" s="21">
        <v>45726</v>
      </c>
      <c r="B165" t="s">
        <v>6</v>
      </c>
      <c r="C165" s="2">
        <v>2827</v>
      </c>
      <c r="D165" s="2">
        <v>292</v>
      </c>
      <c r="E165" s="2">
        <v>997585</v>
      </c>
      <c r="F165" s="4">
        <v>2.5411368454818402E-3</v>
      </c>
      <c r="G165">
        <v>2.4004972007397871</v>
      </c>
      <c r="H165" s="22">
        <v>17896</v>
      </c>
    </row>
    <row r="166" spans="1:8" x14ac:dyDescent="0.3">
      <c r="A166" s="21">
        <v>45733</v>
      </c>
      <c r="B166" t="s">
        <v>6</v>
      </c>
      <c r="C166" s="2">
        <v>7979</v>
      </c>
      <c r="D166" s="2">
        <v>470</v>
      </c>
      <c r="E166" s="2">
        <v>1005094</v>
      </c>
      <c r="F166" s="4">
        <v>7.4709430162751E-3</v>
      </c>
      <c r="G166">
        <v>10.43086517280971</v>
      </c>
      <c r="H166" s="22">
        <v>42972</v>
      </c>
    </row>
    <row r="167" spans="1:8" x14ac:dyDescent="0.3">
      <c r="A167" s="21">
        <v>45733</v>
      </c>
      <c r="B167" t="s">
        <v>10</v>
      </c>
      <c r="C167" s="2">
        <v>9569</v>
      </c>
      <c r="D167" s="2">
        <v>1277</v>
      </c>
      <c r="E167" s="2">
        <v>1013386</v>
      </c>
      <c r="F167" s="4">
        <v>8.1824694637581408E-3</v>
      </c>
      <c r="G167">
        <v>12.45517502708741</v>
      </c>
      <c r="H167" s="22">
        <v>59733</v>
      </c>
    </row>
    <row r="168" spans="1:8" x14ac:dyDescent="0.3">
      <c r="A168" s="21">
        <v>45733</v>
      </c>
      <c r="B168" t="s">
        <v>6</v>
      </c>
      <c r="C168" s="2">
        <v>5285</v>
      </c>
      <c r="D168" s="2">
        <v>433</v>
      </c>
      <c r="E168" s="2">
        <v>1018238</v>
      </c>
      <c r="F168" s="4">
        <v>4.7650942117658203E-3</v>
      </c>
      <c r="G168">
        <v>8.7022876773406619</v>
      </c>
      <c r="H168" s="22">
        <v>51800</v>
      </c>
    </row>
    <row r="169" spans="1:8" x14ac:dyDescent="0.3">
      <c r="A169" s="21">
        <v>45733</v>
      </c>
      <c r="B169" t="s">
        <v>6</v>
      </c>
      <c r="C169" s="2">
        <v>7910</v>
      </c>
      <c r="D169" s="2">
        <v>543</v>
      </c>
      <c r="E169" s="2">
        <v>1025605</v>
      </c>
      <c r="F169" s="4">
        <v>7.1830773055903598E-3</v>
      </c>
      <c r="G169">
        <v>6.0590578244060822</v>
      </c>
      <c r="H169" s="22">
        <v>40508</v>
      </c>
    </row>
    <row r="170" spans="1:8" x14ac:dyDescent="0.3">
      <c r="A170" s="21">
        <v>45740</v>
      </c>
      <c r="B170" t="s">
        <v>6</v>
      </c>
      <c r="C170" s="2">
        <v>9561</v>
      </c>
      <c r="D170" s="2">
        <v>517</v>
      </c>
      <c r="E170" s="2">
        <v>1034649</v>
      </c>
      <c r="F170" s="4">
        <v>8.7411286339618595E-3</v>
      </c>
      <c r="G170">
        <v>6.4086467971263694</v>
      </c>
      <c r="H170" s="22">
        <v>15347</v>
      </c>
    </row>
    <row r="171" spans="1:8" x14ac:dyDescent="0.3">
      <c r="A171" s="21">
        <v>45740</v>
      </c>
      <c r="B171" t="s">
        <v>6</v>
      </c>
      <c r="C171" s="2">
        <v>3196</v>
      </c>
      <c r="D171" s="2">
        <v>348</v>
      </c>
      <c r="E171" s="2">
        <v>1037497</v>
      </c>
      <c r="F171" s="4">
        <v>2.7450681785103999E-3</v>
      </c>
      <c r="G171">
        <v>14.03040201562029</v>
      </c>
      <c r="H171" s="22">
        <v>40314</v>
      </c>
    </row>
    <row r="172" spans="1:8" x14ac:dyDescent="0.3">
      <c r="A172" s="21">
        <v>45740</v>
      </c>
      <c r="B172" t="s">
        <v>1</v>
      </c>
      <c r="C172" s="2">
        <v>4747</v>
      </c>
      <c r="D172" s="2">
        <v>558</v>
      </c>
      <c r="E172" s="2">
        <v>1041686</v>
      </c>
      <c r="F172" s="4">
        <v>4.0213653634588497E-3</v>
      </c>
      <c r="G172">
        <v>5.7680529449373434</v>
      </c>
      <c r="H172" s="22">
        <v>12643</v>
      </c>
    </row>
    <row r="173" spans="1:8" x14ac:dyDescent="0.3">
      <c r="A173" s="21">
        <v>45740</v>
      </c>
      <c r="B173" t="s">
        <v>6</v>
      </c>
      <c r="C173" s="2">
        <v>9843</v>
      </c>
      <c r="D173" s="2">
        <v>508</v>
      </c>
      <c r="E173" s="2">
        <v>1051021</v>
      </c>
      <c r="F173" s="4">
        <v>8.8818396587699005E-3</v>
      </c>
      <c r="G173">
        <v>4.2080986012648651</v>
      </c>
      <c r="H173" s="22">
        <v>50785</v>
      </c>
    </row>
    <row r="174" spans="1:8" x14ac:dyDescent="0.3">
      <c r="A174" s="21">
        <v>45747</v>
      </c>
      <c r="B174" t="s">
        <v>28</v>
      </c>
      <c r="C174" s="2">
        <v>6978</v>
      </c>
      <c r="D174" s="2">
        <v>706</v>
      </c>
      <c r="E174" s="2">
        <v>1057293</v>
      </c>
      <c r="F174" s="4">
        <v>5.9321304501212101E-3</v>
      </c>
      <c r="G174">
        <v>5.057443868445171</v>
      </c>
      <c r="H174" s="22">
        <v>28681</v>
      </c>
    </row>
    <row r="175" spans="1:8" x14ac:dyDescent="0.3">
      <c r="A175" s="21">
        <v>45747</v>
      </c>
      <c r="B175" t="s">
        <v>10</v>
      </c>
      <c r="C175" s="2">
        <v>6607</v>
      </c>
      <c r="D175" s="2">
        <v>479</v>
      </c>
      <c r="E175" s="2">
        <v>1063421</v>
      </c>
      <c r="F175" s="4">
        <v>5.7625343114345098E-3</v>
      </c>
      <c r="G175">
        <v>5.5892257158735816</v>
      </c>
      <c r="H175" s="22">
        <v>48328</v>
      </c>
    </row>
    <row r="176" spans="1:8" x14ac:dyDescent="0.3">
      <c r="A176" s="21">
        <v>45747</v>
      </c>
      <c r="B176" t="s">
        <v>1</v>
      </c>
      <c r="C176" s="2">
        <v>1769</v>
      </c>
      <c r="D176" s="2">
        <v>202</v>
      </c>
      <c r="E176" s="2">
        <v>1064988</v>
      </c>
      <c r="F176" s="4">
        <v>1.47137808125538E-3</v>
      </c>
      <c r="G176">
        <v>6.5457075572682513</v>
      </c>
      <c r="H176" s="22">
        <v>25892</v>
      </c>
    </row>
    <row r="177" spans="1:8" x14ac:dyDescent="0.3">
      <c r="A177" s="21">
        <v>45747</v>
      </c>
      <c r="B177" t="s">
        <v>6</v>
      </c>
      <c r="C177" s="2">
        <v>1780</v>
      </c>
      <c r="D177" s="2">
        <v>120</v>
      </c>
      <c r="E177" s="2">
        <v>1066648</v>
      </c>
      <c r="F177" s="4">
        <v>1.55627723485161E-3</v>
      </c>
      <c r="G177">
        <v>13.86474263299608</v>
      </c>
      <c r="H177" s="22">
        <v>57299</v>
      </c>
    </row>
    <row r="178" spans="1:8" x14ac:dyDescent="0.3">
      <c r="A178" s="21">
        <v>45754</v>
      </c>
      <c r="B178" t="s">
        <v>1</v>
      </c>
      <c r="C178" s="2">
        <v>7303</v>
      </c>
      <c r="D178" s="2">
        <v>869</v>
      </c>
      <c r="E178" s="2">
        <v>1073082</v>
      </c>
      <c r="F178" s="4">
        <v>5.9958139266151197E-3</v>
      </c>
      <c r="G178">
        <v>8.1237966902808925</v>
      </c>
      <c r="H178" s="22">
        <v>27073</v>
      </c>
    </row>
    <row r="179" spans="1:8" x14ac:dyDescent="0.3">
      <c r="A179" s="21">
        <v>45754</v>
      </c>
      <c r="B179" t="s">
        <v>6</v>
      </c>
      <c r="C179" s="2">
        <v>4983</v>
      </c>
      <c r="D179" s="2">
        <v>441</v>
      </c>
      <c r="E179" s="2">
        <v>1077624</v>
      </c>
      <c r="F179" s="4">
        <v>4.2148281775461604E-3</v>
      </c>
      <c r="G179">
        <v>6.8954477628560609</v>
      </c>
      <c r="H179" s="22">
        <v>46768</v>
      </c>
    </row>
    <row r="180" spans="1:8" x14ac:dyDescent="0.3">
      <c r="A180" s="21">
        <v>45754</v>
      </c>
      <c r="B180" t="s">
        <v>28</v>
      </c>
      <c r="C180" s="2">
        <v>9714</v>
      </c>
      <c r="D180" s="2">
        <v>1395</v>
      </c>
      <c r="E180" s="2">
        <v>1085943</v>
      </c>
      <c r="F180" s="4">
        <v>7.6606230713766798E-3</v>
      </c>
      <c r="G180">
        <v>5.2243073531483697</v>
      </c>
      <c r="H180" s="22">
        <v>40682</v>
      </c>
    </row>
    <row r="181" spans="1:8" x14ac:dyDescent="0.3">
      <c r="A181" s="21">
        <v>45754</v>
      </c>
      <c r="B181" t="s">
        <v>10</v>
      </c>
      <c r="C181" s="2">
        <v>1521</v>
      </c>
      <c r="D181" s="2">
        <v>96</v>
      </c>
      <c r="E181" s="2">
        <v>1087368</v>
      </c>
      <c r="F181" s="4">
        <v>1.31050389564526E-3</v>
      </c>
      <c r="G181">
        <v>12.709772588488899</v>
      </c>
      <c r="H181" s="22">
        <v>42262</v>
      </c>
    </row>
    <row r="182" spans="1:8" x14ac:dyDescent="0.3">
      <c r="A182" s="21">
        <v>45761</v>
      </c>
      <c r="B182" t="s">
        <v>6</v>
      </c>
      <c r="C182" s="2">
        <v>8569</v>
      </c>
      <c r="D182" s="2">
        <v>720</v>
      </c>
      <c r="E182" s="2">
        <v>1095217</v>
      </c>
      <c r="F182" s="4">
        <v>7.1666162961312703E-3</v>
      </c>
      <c r="G182">
        <v>9.589697749395782</v>
      </c>
      <c r="H182" s="22">
        <v>41358</v>
      </c>
    </row>
    <row r="183" spans="1:8" x14ac:dyDescent="0.3">
      <c r="A183" s="21">
        <v>45761</v>
      </c>
      <c r="B183" t="s">
        <v>6</v>
      </c>
      <c r="C183" s="2">
        <v>6784</v>
      </c>
      <c r="D183" s="2">
        <v>416</v>
      </c>
      <c r="E183" s="2">
        <v>1101585</v>
      </c>
      <c r="F183" s="4">
        <v>5.7807613574985097E-3</v>
      </c>
      <c r="G183">
        <v>9.3041390360253633</v>
      </c>
      <c r="H183" s="22">
        <v>24289</v>
      </c>
    </row>
    <row r="184" spans="1:8" x14ac:dyDescent="0.3">
      <c r="A184" s="21">
        <v>45761</v>
      </c>
      <c r="B184" t="s">
        <v>6</v>
      </c>
      <c r="C184" s="2">
        <v>5583</v>
      </c>
      <c r="D184" s="2">
        <v>795</v>
      </c>
      <c r="E184" s="2">
        <v>1106373</v>
      </c>
      <c r="F184" s="4">
        <v>4.3276544167292598E-3</v>
      </c>
      <c r="G184">
        <v>12.21550055903389</v>
      </c>
      <c r="H184" s="22">
        <v>59823</v>
      </c>
    </row>
    <row r="185" spans="1:8" x14ac:dyDescent="0.3">
      <c r="A185" s="21">
        <v>45761</v>
      </c>
      <c r="B185" t="s">
        <v>6</v>
      </c>
      <c r="C185" s="2">
        <v>6946</v>
      </c>
      <c r="D185" s="2">
        <v>956</v>
      </c>
      <c r="E185" s="2">
        <v>1112363</v>
      </c>
      <c r="F185" s="4">
        <v>5.3849327962185002E-3</v>
      </c>
      <c r="G185">
        <v>1.64146056637986</v>
      </c>
      <c r="H185" s="22">
        <v>17927</v>
      </c>
    </row>
    <row r="186" spans="1:8" x14ac:dyDescent="0.3">
      <c r="A186" s="21">
        <v>45768</v>
      </c>
      <c r="B186" t="s">
        <v>10</v>
      </c>
      <c r="C186" s="2">
        <v>5941</v>
      </c>
      <c r="D186" s="2">
        <v>450</v>
      </c>
      <c r="E186" s="2">
        <v>1117854</v>
      </c>
      <c r="F186" s="4">
        <v>4.9120904876665504E-3</v>
      </c>
      <c r="G186">
        <v>12.414411899944</v>
      </c>
      <c r="H186" s="22">
        <v>58330</v>
      </c>
    </row>
    <row r="187" spans="1:8" x14ac:dyDescent="0.3">
      <c r="A187" s="21">
        <v>45768</v>
      </c>
      <c r="B187" t="s">
        <v>10</v>
      </c>
      <c r="C187" s="2">
        <v>7267</v>
      </c>
      <c r="D187" s="2">
        <v>842</v>
      </c>
      <c r="E187" s="2">
        <v>1124279</v>
      </c>
      <c r="F187" s="4">
        <v>5.7147736460433796E-3</v>
      </c>
      <c r="G187">
        <v>2.2102165031989389</v>
      </c>
      <c r="H187" s="22">
        <v>11171</v>
      </c>
    </row>
    <row r="188" spans="1:8" x14ac:dyDescent="0.3">
      <c r="A188" s="21">
        <v>45768</v>
      </c>
      <c r="B188" t="s">
        <v>28</v>
      </c>
      <c r="C188" s="2">
        <v>8128</v>
      </c>
      <c r="D188" s="2">
        <v>1070</v>
      </c>
      <c r="E188" s="2">
        <v>1131337</v>
      </c>
      <c r="F188" s="4">
        <v>6.2386362330587603E-3</v>
      </c>
      <c r="G188">
        <v>8.1114645768679008</v>
      </c>
      <c r="H188" s="22">
        <v>21918</v>
      </c>
    </row>
    <row r="189" spans="1:8" x14ac:dyDescent="0.3">
      <c r="A189" s="21">
        <v>45768</v>
      </c>
      <c r="B189" t="s">
        <v>10</v>
      </c>
      <c r="C189" s="2">
        <v>3461</v>
      </c>
      <c r="D189" s="2">
        <v>365</v>
      </c>
      <c r="E189" s="2">
        <v>1134433</v>
      </c>
      <c r="F189" s="4">
        <v>2.7291166600407401E-3</v>
      </c>
      <c r="G189">
        <v>10.23489267325616</v>
      </c>
      <c r="H189" s="22">
        <v>51903</v>
      </c>
    </row>
    <row r="190" spans="1:8" x14ac:dyDescent="0.3">
      <c r="A190" s="21">
        <v>45775</v>
      </c>
      <c r="B190" t="s">
        <v>6</v>
      </c>
      <c r="C190" s="2">
        <v>1685</v>
      </c>
      <c r="D190" s="2">
        <v>173</v>
      </c>
      <c r="E190" s="2">
        <v>1135945</v>
      </c>
      <c r="F190" s="4">
        <v>1.33105035895224E-3</v>
      </c>
      <c r="G190">
        <v>8.7776256772995165</v>
      </c>
      <c r="H190" s="22">
        <v>49110</v>
      </c>
    </row>
    <row r="191" spans="1:8" x14ac:dyDescent="0.3">
      <c r="A191" s="21">
        <v>45775</v>
      </c>
      <c r="B191" t="s">
        <v>28</v>
      </c>
      <c r="C191" s="2">
        <v>3160</v>
      </c>
      <c r="D191" s="2">
        <v>234</v>
      </c>
      <c r="E191" s="2">
        <v>1138871</v>
      </c>
      <c r="F191" s="4">
        <v>2.5692110871204901E-3</v>
      </c>
      <c r="G191">
        <v>5.6959041015180816</v>
      </c>
      <c r="H191" s="22">
        <v>21929</v>
      </c>
    </row>
    <row r="192" spans="1:8" x14ac:dyDescent="0.3">
      <c r="A192" s="21">
        <v>45775</v>
      </c>
      <c r="B192" t="s">
        <v>28</v>
      </c>
      <c r="C192" s="2">
        <v>8031</v>
      </c>
      <c r="D192" s="2">
        <v>476</v>
      </c>
      <c r="E192" s="2">
        <v>1146426</v>
      </c>
      <c r="F192" s="4">
        <v>6.5900459340594202E-3</v>
      </c>
      <c r="G192">
        <v>11.940413075069831</v>
      </c>
      <c r="H192" s="22">
        <v>12539</v>
      </c>
    </row>
    <row r="193" spans="1:8" x14ac:dyDescent="0.3">
      <c r="A193" s="21">
        <v>45775</v>
      </c>
      <c r="B193" t="s">
        <v>28</v>
      </c>
      <c r="C193" s="2">
        <v>6341</v>
      </c>
      <c r="D193" s="2">
        <v>885</v>
      </c>
      <c r="E193" s="2">
        <v>1151882</v>
      </c>
      <c r="F193" s="4">
        <v>4.7365962832998498E-3</v>
      </c>
      <c r="G193">
        <v>6.3457020771224837</v>
      </c>
      <c r="H193" s="22">
        <v>46727</v>
      </c>
    </row>
    <row r="194" spans="1:8" x14ac:dyDescent="0.3">
      <c r="A194" s="21">
        <v>45782</v>
      </c>
      <c r="B194" t="s">
        <v>6</v>
      </c>
      <c r="C194" s="2">
        <v>1038</v>
      </c>
      <c r="D194" s="2">
        <v>145</v>
      </c>
      <c r="E194" s="2">
        <v>1152775</v>
      </c>
      <c r="F194" s="4">
        <v>7.7465246904209403E-4</v>
      </c>
      <c r="G194">
        <v>11.093752033137431</v>
      </c>
      <c r="H194" s="22">
        <v>55951</v>
      </c>
    </row>
    <row r="195" spans="1:8" x14ac:dyDescent="0.3">
      <c r="A195" s="21">
        <v>45782</v>
      </c>
      <c r="B195" t="s">
        <v>1</v>
      </c>
      <c r="C195" s="2">
        <v>5875</v>
      </c>
      <c r="D195" s="2">
        <v>665</v>
      </c>
      <c r="E195" s="2">
        <v>1157985</v>
      </c>
      <c r="F195" s="4">
        <v>4.4991947218659999E-3</v>
      </c>
      <c r="G195">
        <v>6.9871371390821126</v>
      </c>
      <c r="H195" s="22">
        <v>32669</v>
      </c>
    </row>
    <row r="196" spans="1:8" x14ac:dyDescent="0.3">
      <c r="A196" s="21">
        <v>45782</v>
      </c>
      <c r="B196" t="s">
        <v>6</v>
      </c>
      <c r="C196" s="2">
        <v>2256</v>
      </c>
      <c r="D196" s="2">
        <v>189</v>
      </c>
      <c r="E196" s="2">
        <v>1160052</v>
      </c>
      <c r="F196" s="4">
        <v>1.7818166771834401E-3</v>
      </c>
      <c r="G196">
        <v>2.8935771844710412</v>
      </c>
      <c r="H196" s="22">
        <v>15432</v>
      </c>
    </row>
    <row r="197" spans="1:8" x14ac:dyDescent="0.3">
      <c r="A197" s="21">
        <v>45782</v>
      </c>
      <c r="B197" t="s">
        <v>10</v>
      </c>
      <c r="C197" s="2">
        <v>8697</v>
      </c>
      <c r="D197" s="2">
        <v>738</v>
      </c>
      <c r="E197" s="2">
        <v>1168011</v>
      </c>
      <c r="F197" s="4">
        <v>6.8141481544266302E-3</v>
      </c>
      <c r="G197">
        <v>3.8777032065622672</v>
      </c>
      <c r="H197" s="22">
        <v>30644</v>
      </c>
    </row>
    <row r="198" spans="1:8" x14ac:dyDescent="0.3">
      <c r="A198" s="21">
        <v>45789</v>
      </c>
      <c r="B198" t="s">
        <v>10</v>
      </c>
      <c r="C198" s="2">
        <v>3196</v>
      </c>
      <c r="D198" s="2">
        <v>391</v>
      </c>
      <c r="E198" s="2">
        <v>1170816</v>
      </c>
      <c r="F198" s="4">
        <v>2.39576500491965E-3</v>
      </c>
      <c r="G198">
        <v>7.2439221876024931</v>
      </c>
      <c r="H198" s="22">
        <v>28745</v>
      </c>
    </row>
    <row r="199" spans="1:8" x14ac:dyDescent="0.3">
      <c r="A199" s="21">
        <v>45789</v>
      </c>
      <c r="B199" t="s">
        <v>6</v>
      </c>
      <c r="C199" s="2">
        <v>8165</v>
      </c>
      <c r="D199" s="2">
        <v>1140</v>
      </c>
      <c r="E199" s="2">
        <v>1177841</v>
      </c>
      <c r="F199" s="4">
        <v>5.9643024822535499E-3</v>
      </c>
      <c r="G199">
        <v>9.095964565675672</v>
      </c>
      <c r="H199" s="22">
        <v>38228</v>
      </c>
    </row>
    <row r="200" spans="1:8" x14ac:dyDescent="0.3">
      <c r="A200" s="21">
        <v>45789</v>
      </c>
      <c r="B200" t="s">
        <v>6</v>
      </c>
      <c r="C200" s="2">
        <v>1301</v>
      </c>
      <c r="D200" s="2">
        <v>180</v>
      </c>
      <c r="E200" s="2">
        <v>1178962</v>
      </c>
      <c r="F200" s="4">
        <v>9.5083641372665096E-4</v>
      </c>
      <c r="G200">
        <v>5.2275645864752214</v>
      </c>
      <c r="H200" s="22">
        <v>44521</v>
      </c>
    </row>
    <row r="201" spans="1:8" x14ac:dyDescent="0.3">
      <c r="A201" s="21">
        <v>45789</v>
      </c>
      <c r="B201" t="s">
        <v>28</v>
      </c>
      <c r="C201" s="2">
        <v>8527</v>
      </c>
      <c r="D201" s="2">
        <v>1091</v>
      </c>
      <c r="E201" s="2">
        <v>1186398</v>
      </c>
      <c r="F201" s="4">
        <v>6.2677111728104704E-3</v>
      </c>
      <c r="G201">
        <v>1.676081719625286</v>
      </c>
      <c r="H201" s="22">
        <v>41703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5422-40CE-4BA3-95B4-453D53B4FF5B}">
  <dimension ref="A1:V201"/>
  <sheetViews>
    <sheetView topLeftCell="M1" workbookViewId="0">
      <selection activeCell="M3" sqref="M3"/>
    </sheetView>
  </sheetViews>
  <sheetFormatPr defaultRowHeight="14.4" x14ac:dyDescent="0.3"/>
  <cols>
    <col min="1" max="1" width="15.33203125" bestFit="1" customWidth="1"/>
    <col min="2" max="2" width="9" bestFit="1" customWidth="1"/>
    <col min="3" max="3" width="13.5546875" bestFit="1" customWidth="1"/>
    <col min="4" max="4" width="9.109375" bestFit="1" customWidth="1"/>
    <col min="5" max="5" width="14" bestFit="1" customWidth="1"/>
    <col min="6" max="6" width="18.77734375" bestFit="1" customWidth="1"/>
    <col min="7" max="7" width="15.77734375" bestFit="1" customWidth="1"/>
    <col min="8" max="8" width="9.33203125" bestFit="1" customWidth="1"/>
    <col min="10" max="10" width="58" customWidth="1"/>
    <col min="12" max="12" width="12.44140625" bestFit="1" customWidth="1"/>
    <col min="13" max="13" width="18.33203125" bestFit="1" customWidth="1"/>
    <col min="14" max="14" width="24.77734375" bestFit="1" customWidth="1"/>
    <col min="15" max="15" width="20.88671875" bestFit="1" customWidth="1"/>
    <col min="16" max="16" width="9.109375" bestFit="1" customWidth="1"/>
    <col min="17" max="20" width="7.5546875" bestFit="1" customWidth="1"/>
    <col min="21" max="21" width="10.109375" customWidth="1"/>
    <col min="22" max="22" width="23.33203125" customWidth="1"/>
    <col min="23" max="212" width="7.5546875" bestFit="1" customWidth="1"/>
    <col min="213" max="213" width="10.5546875" bestFit="1" customWidth="1"/>
    <col min="214" max="214" width="10" bestFit="1" customWidth="1"/>
    <col min="215" max="215" width="7.5546875" bestFit="1" customWidth="1"/>
    <col min="216" max="216" width="10" bestFit="1" customWidth="1"/>
    <col min="217" max="217" width="7.5546875" bestFit="1" customWidth="1"/>
    <col min="218" max="218" width="10" bestFit="1" customWidth="1"/>
    <col min="219" max="219" width="7.5546875" bestFit="1" customWidth="1"/>
    <col min="220" max="220" width="10" bestFit="1" customWidth="1"/>
    <col min="221" max="221" width="7.5546875" bestFit="1" customWidth="1"/>
    <col min="222" max="222" width="10" bestFit="1" customWidth="1"/>
    <col min="223" max="223" width="7.5546875" bestFit="1" customWidth="1"/>
    <col min="224" max="224" width="10" bestFit="1" customWidth="1"/>
    <col min="225" max="225" width="7.5546875" bestFit="1" customWidth="1"/>
    <col min="226" max="226" width="10" bestFit="1" customWidth="1"/>
    <col min="227" max="227" width="7.5546875" bestFit="1" customWidth="1"/>
    <col min="228" max="228" width="10" bestFit="1" customWidth="1"/>
    <col min="229" max="229" width="7.5546875" bestFit="1" customWidth="1"/>
    <col min="230" max="230" width="10" bestFit="1" customWidth="1"/>
    <col min="231" max="231" width="7.5546875" bestFit="1" customWidth="1"/>
    <col min="232" max="232" width="10" bestFit="1" customWidth="1"/>
    <col min="233" max="233" width="7.5546875" bestFit="1" customWidth="1"/>
    <col min="234" max="234" width="10" bestFit="1" customWidth="1"/>
    <col min="235" max="235" width="7.5546875" bestFit="1" customWidth="1"/>
    <col min="236" max="236" width="10" bestFit="1" customWidth="1"/>
    <col min="237" max="237" width="7.5546875" bestFit="1" customWidth="1"/>
    <col min="238" max="238" width="10" bestFit="1" customWidth="1"/>
    <col min="239" max="239" width="7.5546875" bestFit="1" customWidth="1"/>
    <col min="240" max="240" width="10" bestFit="1" customWidth="1"/>
    <col min="241" max="241" width="7.5546875" bestFit="1" customWidth="1"/>
    <col min="242" max="242" width="10" bestFit="1" customWidth="1"/>
    <col min="243" max="243" width="7.5546875" bestFit="1" customWidth="1"/>
    <col min="244" max="244" width="10" bestFit="1" customWidth="1"/>
    <col min="245" max="245" width="7.5546875" bestFit="1" customWidth="1"/>
    <col min="246" max="246" width="10" bestFit="1" customWidth="1"/>
    <col min="247" max="247" width="7.5546875" bestFit="1" customWidth="1"/>
    <col min="248" max="248" width="10" bestFit="1" customWidth="1"/>
    <col min="249" max="249" width="7.5546875" bestFit="1" customWidth="1"/>
    <col min="250" max="250" width="10" bestFit="1" customWidth="1"/>
    <col min="251" max="251" width="7.5546875" bestFit="1" customWidth="1"/>
    <col min="252" max="252" width="10" bestFit="1" customWidth="1"/>
    <col min="253" max="253" width="7.5546875" bestFit="1" customWidth="1"/>
    <col min="254" max="254" width="10" bestFit="1" customWidth="1"/>
    <col min="255" max="255" width="7.5546875" bestFit="1" customWidth="1"/>
    <col min="256" max="256" width="10" bestFit="1" customWidth="1"/>
    <col min="257" max="257" width="7.5546875" bestFit="1" customWidth="1"/>
    <col min="258" max="258" width="10" bestFit="1" customWidth="1"/>
    <col min="259" max="259" width="7.5546875" bestFit="1" customWidth="1"/>
    <col min="260" max="260" width="10" bestFit="1" customWidth="1"/>
    <col min="261" max="261" width="7.5546875" bestFit="1" customWidth="1"/>
    <col min="262" max="262" width="10" bestFit="1" customWidth="1"/>
    <col min="263" max="263" width="7.5546875" bestFit="1" customWidth="1"/>
    <col min="264" max="264" width="10" bestFit="1" customWidth="1"/>
    <col min="265" max="265" width="7.5546875" bestFit="1" customWidth="1"/>
    <col min="266" max="266" width="10" bestFit="1" customWidth="1"/>
    <col min="267" max="267" width="7.5546875" bestFit="1" customWidth="1"/>
    <col min="268" max="268" width="10" bestFit="1" customWidth="1"/>
    <col min="269" max="269" width="7.5546875" bestFit="1" customWidth="1"/>
    <col min="270" max="270" width="10" bestFit="1" customWidth="1"/>
    <col min="271" max="271" width="7.5546875" bestFit="1" customWidth="1"/>
    <col min="272" max="272" width="10" bestFit="1" customWidth="1"/>
    <col min="273" max="273" width="7.5546875" bestFit="1" customWidth="1"/>
    <col min="274" max="274" width="10" bestFit="1" customWidth="1"/>
    <col min="275" max="275" width="7.5546875" bestFit="1" customWidth="1"/>
    <col min="276" max="276" width="10" bestFit="1" customWidth="1"/>
    <col min="277" max="277" width="7.5546875" bestFit="1" customWidth="1"/>
    <col min="278" max="278" width="10" bestFit="1" customWidth="1"/>
    <col min="279" max="279" width="7.5546875" bestFit="1" customWidth="1"/>
    <col min="280" max="280" width="10" bestFit="1" customWidth="1"/>
    <col min="281" max="281" width="7.5546875" bestFit="1" customWidth="1"/>
    <col min="282" max="282" width="10" bestFit="1" customWidth="1"/>
    <col min="283" max="283" width="7.5546875" bestFit="1" customWidth="1"/>
    <col min="284" max="284" width="10" bestFit="1" customWidth="1"/>
    <col min="285" max="285" width="7.5546875" bestFit="1" customWidth="1"/>
    <col min="286" max="286" width="10" bestFit="1" customWidth="1"/>
    <col min="287" max="287" width="7.5546875" bestFit="1" customWidth="1"/>
    <col min="288" max="288" width="10" bestFit="1" customWidth="1"/>
    <col min="289" max="289" width="7.5546875" bestFit="1" customWidth="1"/>
    <col min="290" max="290" width="10" bestFit="1" customWidth="1"/>
    <col min="291" max="291" width="7.5546875" bestFit="1" customWidth="1"/>
    <col min="292" max="292" width="10" bestFit="1" customWidth="1"/>
    <col min="293" max="293" width="7.5546875" bestFit="1" customWidth="1"/>
    <col min="294" max="294" width="10" bestFit="1" customWidth="1"/>
    <col min="295" max="295" width="7.5546875" bestFit="1" customWidth="1"/>
    <col min="296" max="296" width="10" bestFit="1" customWidth="1"/>
    <col min="297" max="297" width="7.5546875" bestFit="1" customWidth="1"/>
    <col min="298" max="298" width="10" bestFit="1" customWidth="1"/>
    <col min="299" max="299" width="7.5546875" bestFit="1" customWidth="1"/>
    <col min="300" max="300" width="10" bestFit="1" customWidth="1"/>
    <col min="301" max="301" width="7.5546875" bestFit="1" customWidth="1"/>
    <col min="302" max="302" width="10" bestFit="1" customWidth="1"/>
    <col min="303" max="303" width="7.5546875" bestFit="1" customWidth="1"/>
    <col min="304" max="304" width="10" bestFit="1" customWidth="1"/>
    <col min="305" max="305" width="7.5546875" bestFit="1" customWidth="1"/>
    <col min="306" max="306" width="10" bestFit="1" customWidth="1"/>
    <col min="307" max="307" width="7.5546875" bestFit="1" customWidth="1"/>
    <col min="308" max="308" width="10" bestFit="1" customWidth="1"/>
    <col min="309" max="309" width="7.5546875" bestFit="1" customWidth="1"/>
    <col min="310" max="310" width="10" bestFit="1" customWidth="1"/>
    <col min="311" max="311" width="7.5546875" bestFit="1" customWidth="1"/>
    <col min="312" max="312" width="10" bestFit="1" customWidth="1"/>
    <col min="313" max="313" width="7.5546875" bestFit="1" customWidth="1"/>
    <col min="314" max="314" width="10" bestFit="1" customWidth="1"/>
    <col min="315" max="315" width="7.5546875" bestFit="1" customWidth="1"/>
    <col min="316" max="316" width="10" bestFit="1" customWidth="1"/>
    <col min="317" max="317" width="7.5546875" bestFit="1" customWidth="1"/>
    <col min="318" max="318" width="10" bestFit="1" customWidth="1"/>
    <col min="319" max="319" width="7.5546875" bestFit="1" customWidth="1"/>
    <col min="320" max="320" width="10" bestFit="1" customWidth="1"/>
    <col min="321" max="321" width="7.5546875" bestFit="1" customWidth="1"/>
    <col min="322" max="322" width="10" bestFit="1" customWidth="1"/>
    <col min="323" max="323" width="7.5546875" bestFit="1" customWidth="1"/>
    <col min="324" max="324" width="10" bestFit="1" customWidth="1"/>
    <col min="325" max="325" width="7.5546875" bestFit="1" customWidth="1"/>
    <col min="326" max="326" width="10" bestFit="1" customWidth="1"/>
    <col min="327" max="327" width="7.5546875" bestFit="1" customWidth="1"/>
    <col min="328" max="328" width="10" bestFit="1" customWidth="1"/>
    <col min="329" max="329" width="7.5546875" bestFit="1" customWidth="1"/>
    <col min="330" max="330" width="10" bestFit="1" customWidth="1"/>
    <col min="331" max="331" width="7.5546875" bestFit="1" customWidth="1"/>
    <col min="332" max="332" width="10" bestFit="1" customWidth="1"/>
    <col min="333" max="333" width="7.5546875" bestFit="1" customWidth="1"/>
    <col min="334" max="334" width="10" bestFit="1" customWidth="1"/>
    <col min="335" max="335" width="7.5546875" bestFit="1" customWidth="1"/>
    <col min="336" max="336" width="10" bestFit="1" customWidth="1"/>
    <col min="337" max="337" width="7.5546875" bestFit="1" customWidth="1"/>
    <col min="338" max="338" width="10" bestFit="1" customWidth="1"/>
    <col min="339" max="339" width="7.5546875" bestFit="1" customWidth="1"/>
    <col min="340" max="340" width="10" bestFit="1" customWidth="1"/>
    <col min="341" max="341" width="7.5546875" bestFit="1" customWidth="1"/>
    <col min="342" max="342" width="10" bestFit="1" customWidth="1"/>
    <col min="343" max="343" width="7.5546875" bestFit="1" customWidth="1"/>
    <col min="344" max="344" width="10" bestFit="1" customWidth="1"/>
    <col min="345" max="345" width="7.5546875" bestFit="1" customWidth="1"/>
    <col min="346" max="346" width="10" bestFit="1" customWidth="1"/>
    <col min="347" max="347" width="7.5546875" bestFit="1" customWidth="1"/>
    <col min="348" max="348" width="10" bestFit="1" customWidth="1"/>
    <col min="349" max="349" width="7.5546875" bestFit="1" customWidth="1"/>
    <col min="350" max="350" width="10" bestFit="1" customWidth="1"/>
    <col min="351" max="351" width="7.5546875" bestFit="1" customWidth="1"/>
    <col min="352" max="352" width="10" bestFit="1" customWidth="1"/>
    <col min="353" max="353" width="7.5546875" bestFit="1" customWidth="1"/>
    <col min="354" max="354" width="10" bestFit="1" customWidth="1"/>
    <col min="355" max="355" width="7.5546875" bestFit="1" customWidth="1"/>
    <col min="356" max="356" width="10" bestFit="1" customWidth="1"/>
    <col min="357" max="357" width="7.5546875" bestFit="1" customWidth="1"/>
    <col min="358" max="358" width="10" bestFit="1" customWidth="1"/>
    <col min="359" max="359" width="7.5546875" bestFit="1" customWidth="1"/>
    <col min="360" max="360" width="10" bestFit="1" customWidth="1"/>
    <col min="361" max="361" width="7.5546875" bestFit="1" customWidth="1"/>
    <col min="362" max="362" width="10" bestFit="1" customWidth="1"/>
    <col min="363" max="363" width="7.5546875" bestFit="1" customWidth="1"/>
    <col min="364" max="364" width="10" bestFit="1" customWidth="1"/>
    <col min="365" max="365" width="7.5546875" bestFit="1" customWidth="1"/>
    <col min="366" max="366" width="10" bestFit="1" customWidth="1"/>
    <col min="367" max="367" width="7.5546875" bestFit="1" customWidth="1"/>
    <col min="368" max="368" width="10" bestFit="1" customWidth="1"/>
    <col min="369" max="369" width="7.5546875" bestFit="1" customWidth="1"/>
    <col min="370" max="370" width="10" bestFit="1" customWidth="1"/>
    <col min="371" max="371" width="7.5546875" bestFit="1" customWidth="1"/>
    <col min="372" max="372" width="10" bestFit="1" customWidth="1"/>
    <col min="373" max="373" width="7.5546875" bestFit="1" customWidth="1"/>
    <col min="374" max="374" width="10" bestFit="1" customWidth="1"/>
    <col min="375" max="375" width="7.5546875" bestFit="1" customWidth="1"/>
    <col min="376" max="376" width="10" bestFit="1" customWidth="1"/>
    <col min="377" max="377" width="7.5546875" bestFit="1" customWidth="1"/>
    <col min="378" max="378" width="10" bestFit="1" customWidth="1"/>
    <col min="379" max="379" width="7.5546875" bestFit="1" customWidth="1"/>
    <col min="380" max="380" width="10" bestFit="1" customWidth="1"/>
    <col min="381" max="381" width="7.5546875" bestFit="1" customWidth="1"/>
    <col min="382" max="382" width="10" bestFit="1" customWidth="1"/>
    <col min="383" max="383" width="7.5546875" bestFit="1" customWidth="1"/>
    <col min="384" max="384" width="10" bestFit="1" customWidth="1"/>
    <col min="385" max="385" width="7.5546875" bestFit="1" customWidth="1"/>
    <col min="386" max="386" width="10" bestFit="1" customWidth="1"/>
    <col min="387" max="387" width="7.5546875" bestFit="1" customWidth="1"/>
    <col min="388" max="388" width="10" bestFit="1" customWidth="1"/>
    <col min="389" max="389" width="7.5546875" bestFit="1" customWidth="1"/>
    <col min="390" max="390" width="10" bestFit="1" customWidth="1"/>
    <col min="391" max="391" width="7.5546875" bestFit="1" customWidth="1"/>
    <col min="392" max="392" width="10" bestFit="1" customWidth="1"/>
    <col min="393" max="393" width="7.5546875" bestFit="1" customWidth="1"/>
    <col min="394" max="394" width="10" bestFit="1" customWidth="1"/>
    <col min="395" max="395" width="7.5546875" bestFit="1" customWidth="1"/>
    <col min="396" max="396" width="10" bestFit="1" customWidth="1"/>
    <col min="397" max="397" width="7.5546875" bestFit="1" customWidth="1"/>
    <col min="398" max="398" width="10" bestFit="1" customWidth="1"/>
    <col min="399" max="399" width="7.5546875" bestFit="1" customWidth="1"/>
    <col min="400" max="400" width="10" bestFit="1" customWidth="1"/>
    <col min="401" max="401" width="7.5546875" bestFit="1" customWidth="1"/>
    <col min="402" max="402" width="10" bestFit="1" customWidth="1"/>
    <col min="403" max="403" width="7.5546875" bestFit="1" customWidth="1"/>
    <col min="404" max="404" width="10" bestFit="1" customWidth="1"/>
    <col min="405" max="405" width="7.5546875" bestFit="1" customWidth="1"/>
    <col min="406" max="406" width="10" bestFit="1" customWidth="1"/>
    <col min="407" max="407" width="7.5546875" bestFit="1" customWidth="1"/>
    <col min="408" max="408" width="10" bestFit="1" customWidth="1"/>
    <col min="409" max="409" width="7.5546875" bestFit="1" customWidth="1"/>
    <col min="410" max="410" width="10" bestFit="1" customWidth="1"/>
    <col min="411" max="411" width="7.5546875" bestFit="1" customWidth="1"/>
    <col min="412" max="412" width="10" bestFit="1" customWidth="1"/>
    <col min="413" max="413" width="10.5546875" bestFit="1" customWidth="1"/>
  </cols>
  <sheetData>
    <row r="1" spans="1:22" x14ac:dyDescent="0.3">
      <c r="A1" t="s">
        <v>344</v>
      </c>
      <c r="B1" t="s">
        <v>326</v>
      </c>
      <c r="C1" t="s">
        <v>345</v>
      </c>
      <c r="D1" t="s">
        <v>346</v>
      </c>
      <c r="E1" t="s">
        <v>347</v>
      </c>
      <c r="F1" t="s">
        <v>366</v>
      </c>
      <c r="G1" t="s">
        <v>348</v>
      </c>
      <c r="H1" t="s">
        <v>349</v>
      </c>
      <c r="L1" s="17" t="s">
        <v>360</v>
      </c>
      <c r="M1" t="s">
        <v>373</v>
      </c>
      <c r="N1" t="s">
        <v>363</v>
      </c>
      <c r="O1" t="s">
        <v>394</v>
      </c>
      <c r="U1" t="s">
        <v>326</v>
      </c>
      <c r="V1" t="s">
        <v>394</v>
      </c>
    </row>
    <row r="2" spans="1:22" ht="15.6" x14ac:dyDescent="0.3">
      <c r="A2" s="21">
        <v>45446</v>
      </c>
      <c r="B2" t="s">
        <v>10</v>
      </c>
      <c r="C2" s="2">
        <v>4138</v>
      </c>
      <c r="D2" s="2">
        <v>361</v>
      </c>
      <c r="E2" s="2">
        <v>103777</v>
      </c>
      <c r="F2" s="4">
        <v>3.6395347716738802E-2</v>
      </c>
      <c r="G2" s="19">
        <v>56.637790647253247</v>
      </c>
      <c r="H2" s="22">
        <v>23944</v>
      </c>
      <c r="J2" s="5" t="s">
        <v>341</v>
      </c>
      <c r="L2" s="18" t="s">
        <v>1</v>
      </c>
      <c r="M2" s="22">
        <v>31374.90243902439</v>
      </c>
      <c r="N2" s="19">
        <v>17.599262914182141</v>
      </c>
      <c r="O2" s="23">
        <f>M2/N2</f>
        <v>1782.7395722204551</v>
      </c>
      <c r="U2" s="18" t="s">
        <v>1</v>
      </c>
      <c r="V2" s="24">
        <v>1782.7395722204551</v>
      </c>
    </row>
    <row r="3" spans="1:22" x14ac:dyDescent="0.3">
      <c r="A3" s="21">
        <v>45446</v>
      </c>
      <c r="B3" t="s">
        <v>28</v>
      </c>
      <c r="C3" s="2">
        <v>8693</v>
      </c>
      <c r="D3" s="2">
        <v>1261</v>
      </c>
      <c r="E3" s="2">
        <v>111209</v>
      </c>
      <c r="F3" s="4">
        <v>6.6829123542159405E-2</v>
      </c>
      <c r="G3" s="19">
        <v>69.475492091467416</v>
      </c>
      <c r="H3" s="22">
        <v>29873</v>
      </c>
      <c r="L3" s="18" t="s">
        <v>28</v>
      </c>
      <c r="M3" s="22">
        <v>35360.056603773584</v>
      </c>
      <c r="N3" s="19">
        <v>17.480513118999934</v>
      </c>
      <c r="O3" s="23">
        <f t="shared" ref="O3:O5" si="0">M3/N3</f>
        <v>2022.8271540461819</v>
      </c>
      <c r="U3" s="18" t="s">
        <v>28</v>
      </c>
      <c r="V3" s="24">
        <v>2022.8271540461819</v>
      </c>
    </row>
    <row r="4" spans="1:22" x14ac:dyDescent="0.3">
      <c r="A4" s="21">
        <v>45446</v>
      </c>
      <c r="B4" t="s">
        <v>1</v>
      </c>
      <c r="C4" s="2">
        <v>9264</v>
      </c>
      <c r="D4" s="2">
        <v>1141</v>
      </c>
      <c r="E4" s="2">
        <v>119332</v>
      </c>
      <c r="F4" s="4">
        <v>6.8070592967519203E-2</v>
      </c>
      <c r="G4" s="19">
        <v>92.312204605638044</v>
      </c>
      <c r="H4" s="22">
        <v>50372</v>
      </c>
      <c r="J4" s="6" t="s">
        <v>372</v>
      </c>
      <c r="L4" s="18" t="s">
        <v>10</v>
      </c>
      <c r="M4" s="22">
        <v>34821.23529411765</v>
      </c>
      <c r="N4" s="19">
        <v>15.559291798886182</v>
      </c>
      <c r="O4" s="23">
        <f t="shared" si="0"/>
        <v>2237.9704516249476</v>
      </c>
      <c r="P4" s="23"/>
      <c r="S4" s="22"/>
      <c r="T4" s="19"/>
      <c r="U4" s="18" t="s">
        <v>10</v>
      </c>
      <c r="V4" s="24">
        <v>2237.9704516249476</v>
      </c>
    </row>
    <row r="5" spans="1:22" x14ac:dyDescent="0.3">
      <c r="A5" s="21">
        <v>45446</v>
      </c>
      <c r="B5" t="s">
        <v>1</v>
      </c>
      <c r="C5" s="2">
        <v>8842</v>
      </c>
      <c r="D5" s="2">
        <v>971</v>
      </c>
      <c r="E5" s="2">
        <v>127203</v>
      </c>
      <c r="F5" s="4">
        <v>6.1877471443283601E-2</v>
      </c>
      <c r="G5" s="19">
        <v>16.351815601833291</v>
      </c>
      <c r="H5" s="22">
        <v>33928</v>
      </c>
      <c r="L5" s="18" t="s">
        <v>6</v>
      </c>
      <c r="M5" s="22">
        <v>36191.327272727271</v>
      </c>
      <c r="N5" s="19">
        <v>14.067998324800023</v>
      </c>
      <c r="O5" s="23">
        <f t="shared" si="0"/>
        <v>2572.5996291118931</v>
      </c>
      <c r="P5" s="23"/>
      <c r="S5" s="22"/>
      <c r="T5" s="19"/>
      <c r="U5" s="18" t="s">
        <v>6</v>
      </c>
      <c r="V5" s="24">
        <v>2572.5996291118931</v>
      </c>
    </row>
    <row r="6" spans="1:22" x14ac:dyDescent="0.3">
      <c r="A6" s="21">
        <v>45453</v>
      </c>
      <c r="B6" t="s">
        <v>10</v>
      </c>
      <c r="C6" s="2">
        <v>7721</v>
      </c>
      <c r="D6" s="2">
        <v>506</v>
      </c>
      <c r="E6" s="2">
        <v>134418</v>
      </c>
      <c r="F6" s="4">
        <v>5.3675846984778799E-2</v>
      </c>
      <c r="G6" s="19">
        <v>35.577824398518047</v>
      </c>
      <c r="H6" s="22">
        <v>25379</v>
      </c>
      <c r="J6" s="7" t="s">
        <v>409</v>
      </c>
      <c r="P6" s="23"/>
      <c r="S6" s="22"/>
      <c r="T6" s="19"/>
      <c r="U6" s="23"/>
    </row>
    <row r="7" spans="1:22" x14ac:dyDescent="0.3">
      <c r="A7" s="21">
        <v>45453</v>
      </c>
      <c r="B7" t="s">
        <v>1</v>
      </c>
      <c r="C7" s="2">
        <v>8002</v>
      </c>
      <c r="D7" s="2">
        <v>524</v>
      </c>
      <c r="E7" s="2">
        <v>141896</v>
      </c>
      <c r="F7" s="4">
        <v>5.2700569431132702E-2</v>
      </c>
      <c r="G7" s="19">
        <v>52.064892597395271</v>
      </c>
      <c r="H7" s="22">
        <v>46751</v>
      </c>
      <c r="J7" s="7" t="s">
        <v>374</v>
      </c>
      <c r="P7" s="23"/>
      <c r="S7" s="22"/>
      <c r="T7" s="19"/>
      <c r="U7" s="23"/>
    </row>
    <row r="8" spans="1:22" x14ac:dyDescent="0.3">
      <c r="A8" s="21">
        <v>45453</v>
      </c>
      <c r="B8" t="s">
        <v>28</v>
      </c>
      <c r="C8" s="2">
        <v>5225</v>
      </c>
      <c r="D8" s="2">
        <v>291</v>
      </c>
      <c r="E8" s="2">
        <v>146830</v>
      </c>
      <c r="F8" s="4">
        <v>3.3603487025812201E-2</v>
      </c>
      <c r="G8" s="19">
        <v>19.551862698358651</v>
      </c>
      <c r="H8" s="22">
        <v>44546</v>
      </c>
      <c r="J8" s="7" t="s">
        <v>375</v>
      </c>
    </row>
    <row r="9" spans="1:22" x14ac:dyDescent="0.3">
      <c r="A9" s="21">
        <v>45453</v>
      </c>
      <c r="B9" t="s">
        <v>28</v>
      </c>
      <c r="C9" s="2">
        <v>3978</v>
      </c>
      <c r="D9" s="2">
        <v>543</v>
      </c>
      <c r="E9" s="2">
        <v>150265</v>
      </c>
      <c r="F9" s="4">
        <v>2.2859614680730701E-2</v>
      </c>
      <c r="G9" s="19">
        <v>49.159817655475329</v>
      </c>
      <c r="H9" s="22">
        <v>34286</v>
      </c>
      <c r="J9" s="7" t="s">
        <v>380</v>
      </c>
    </row>
    <row r="10" spans="1:22" x14ac:dyDescent="0.3">
      <c r="A10" s="21">
        <v>45460</v>
      </c>
      <c r="B10" t="s">
        <v>10</v>
      </c>
      <c r="C10" s="2">
        <v>8373</v>
      </c>
      <c r="D10" s="2">
        <v>921</v>
      </c>
      <c r="E10" s="2">
        <v>157717</v>
      </c>
      <c r="F10" s="4">
        <v>4.7249186834646899E-2</v>
      </c>
      <c r="G10" s="19">
        <v>12.2263294381709</v>
      </c>
      <c r="H10" s="22">
        <v>15110</v>
      </c>
      <c r="J10" s="7" t="s">
        <v>381</v>
      </c>
    </row>
    <row r="11" spans="1:22" x14ac:dyDescent="0.3">
      <c r="A11" s="21">
        <v>45460</v>
      </c>
      <c r="B11" t="s">
        <v>28</v>
      </c>
      <c r="C11" s="2">
        <v>6907</v>
      </c>
      <c r="D11" s="2">
        <v>834</v>
      </c>
      <c r="E11" s="2">
        <v>163790</v>
      </c>
      <c r="F11" s="4">
        <v>3.70779656877709E-2</v>
      </c>
      <c r="G11" s="19">
        <v>54.158984064961238</v>
      </c>
      <c r="H11" s="22">
        <v>22087</v>
      </c>
      <c r="J11" s="7" t="s">
        <v>376</v>
      </c>
    </row>
    <row r="12" spans="1:22" x14ac:dyDescent="0.3">
      <c r="A12" s="21">
        <v>45460</v>
      </c>
      <c r="B12" t="s">
        <v>6</v>
      </c>
      <c r="C12" s="2">
        <v>7097</v>
      </c>
      <c r="D12" s="2">
        <v>369</v>
      </c>
      <c r="E12" s="2">
        <v>170518</v>
      </c>
      <c r="F12" s="4">
        <v>3.9456245088495101E-2</v>
      </c>
      <c r="G12" s="19">
        <v>9.2506362964613711</v>
      </c>
      <c r="H12" s="22">
        <v>33762</v>
      </c>
    </row>
    <row r="13" spans="1:22" x14ac:dyDescent="0.3">
      <c r="A13" s="21">
        <v>45460</v>
      </c>
      <c r="B13" t="s">
        <v>10</v>
      </c>
      <c r="C13" s="2">
        <v>6656</v>
      </c>
      <c r="D13" s="2">
        <v>978</v>
      </c>
      <c r="E13" s="2">
        <v>176196</v>
      </c>
      <c r="F13" s="4">
        <v>3.2225476174260498E-2</v>
      </c>
      <c r="G13" s="19">
        <v>60.425889350496043</v>
      </c>
      <c r="H13" s="22">
        <v>27081</v>
      </c>
    </row>
    <row r="14" spans="1:22" x14ac:dyDescent="0.3">
      <c r="A14" s="21">
        <v>45467</v>
      </c>
      <c r="B14" t="s">
        <v>28</v>
      </c>
      <c r="C14" s="2">
        <v>9984</v>
      </c>
      <c r="D14" s="2">
        <v>1330</v>
      </c>
      <c r="E14" s="2">
        <v>184850</v>
      </c>
      <c r="F14" s="4">
        <v>4.6816337571003501E-2</v>
      </c>
      <c r="G14" s="19">
        <v>57.524479307546663</v>
      </c>
      <c r="H14" s="22">
        <v>44947</v>
      </c>
    </row>
    <row r="15" spans="1:22" x14ac:dyDescent="0.3">
      <c r="A15" s="21">
        <v>45467</v>
      </c>
      <c r="B15" t="s">
        <v>10</v>
      </c>
      <c r="C15" s="2">
        <v>5259</v>
      </c>
      <c r="D15" s="2">
        <v>374</v>
      </c>
      <c r="E15" s="2">
        <v>189735</v>
      </c>
      <c r="F15" s="4">
        <v>2.5746435818378301E-2</v>
      </c>
      <c r="G15" s="19">
        <v>14.827522597306769</v>
      </c>
      <c r="H15" s="22">
        <v>19596</v>
      </c>
    </row>
    <row r="16" spans="1:22" x14ac:dyDescent="0.3">
      <c r="A16" s="21">
        <v>45467</v>
      </c>
      <c r="B16" t="s">
        <v>1</v>
      </c>
      <c r="C16" s="2">
        <v>9286</v>
      </c>
      <c r="D16" s="2">
        <v>633</v>
      </c>
      <c r="E16" s="2">
        <v>198388</v>
      </c>
      <c r="F16" s="4">
        <v>4.3616549388067798E-2</v>
      </c>
      <c r="G16" s="19">
        <v>5.4343004617214756</v>
      </c>
      <c r="H16" s="22">
        <v>48019</v>
      </c>
    </row>
    <row r="17" spans="1:8" x14ac:dyDescent="0.3">
      <c r="A17" s="21">
        <v>45467</v>
      </c>
      <c r="B17" t="s">
        <v>28</v>
      </c>
      <c r="C17" s="2">
        <v>6901</v>
      </c>
      <c r="D17" s="2">
        <v>471</v>
      </c>
      <c r="E17" s="2">
        <v>204818</v>
      </c>
      <c r="F17" s="4">
        <v>3.1393725160874499E-2</v>
      </c>
      <c r="G17" s="19">
        <v>60.827661631301943</v>
      </c>
      <c r="H17" s="22">
        <v>52003</v>
      </c>
    </row>
    <row r="18" spans="1:8" x14ac:dyDescent="0.3">
      <c r="A18" s="21">
        <v>45474</v>
      </c>
      <c r="B18" t="s">
        <v>6</v>
      </c>
      <c r="C18" s="2">
        <v>5917</v>
      </c>
      <c r="D18" s="2">
        <v>475</v>
      </c>
      <c r="E18" s="2">
        <v>210260</v>
      </c>
      <c r="F18" s="4">
        <v>2.5882241034909201E-2</v>
      </c>
      <c r="G18" s="19">
        <v>17.894035955483691</v>
      </c>
      <c r="H18" s="22">
        <v>28313</v>
      </c>
    </row>
    <row r="19" spans="1:8" x14ac:dyDescent="0.3">
      <c r="A19" s="21">
        <v>45474</v>
      </c>
      <c r="B19" t="s">
        <v>28</v>
      </c>
      <c r="C19" s="2">
        <v>9429</v>
      </c>
      <c r="D19" s="2">
        <v>966</v>
      </c>
      <c r="E19" s="2">
        <v>218723</v>
      </c>
      <c r="F19" s="4">
        <v>3.8692775794040901E-2</v>
      </c>
      <c r="G19" s="19">
        <v>7.6914636320825887</v>
      </c>
      <c r="H19" s="22">
        <v>57639</v>
      </c>
    </row>
    <row r="20" spans="1:8" x14ac:dyDescent="0.3">
      <c r="A20" s="21">
        <v>45474</v>
      </c>
      <c r="B20" t="s">
        <v>10</v>
      </c>
      <c r="C20" s="2">
        <v>3530</v>
      </c>
      <c r="D20" s="2">
        <v>328</v>
      </c>
      <c r="E20" s="2">
        <v>221925</v>
      </c>
      <c r="F20" s="4">
        <v>1.44282978483722E-2</v>
      </c>
      <c r="G20" s="19">
        <v>12.8372197814577</v>
      </c>
      <c r="H20" s="22">
        <v>11013</v>
      </c>
    </row>
    <row r="21" spans="1:8" x14ac:dyDescent="0.3">
      <c r="A21" s="21">
        <v>45474</v>
      </c>
      <c r="B21" t="s">
        <v>10</v>
      </c>
      <c r="C21" s="2">
        <v>2960</v>
      </c>
      <c r="D21" s="2">
        <v>234</v>
      </c>
      <c r="E21" s="2">
        <v>224651</v>
      </c>
      <c r="F21" s="4">
        <v>1.21343773230478E-2</v>
      </c>
      <c r="G21" s="19">
        <v>17.41278694508371</v>
      </c>
      <c r="H21" s="22">
        <v>59378</v>
      </c>
    </row>
    <row r="22" spans="1:8" x14ac:dyDescent="0.3">
      <c r="A22" s="21">
        <v>45481</v>
      </c>
      <c r="B22" t="s">
        <v>28</v>
      </c>
      <c r="C22" s="2">
        <v>8045</v>
      </c>
      <c r="D22" s="2">
        <v>894</v>
      </c>
      <c r="E22" s="2">
        <v>231802</v>
      </c>
      <c r="F22" s="4">
        <v>3.0849604403758401E-2</v>
      </c>
      <c r="G22" s="19">
        <v>47.634187798207087</v>
      </c>
      <c r="H22" s="22">
        <v>33705</v>
      </c>
    </row>
    <row r="23" spans="1:8" x14ac:dyDescent="0.3">
      <c r="A23" s="21">
        <v>45481</v>
      </c>
      <c r="B23" t="s">
        <v>6</v>
      </c>
      <c r="C23" s="2">
        <v>2048</v>
      </c>
      <c r="D23" s="2">
        <v>130</v>
      </c>
      <c r="E23" s="2">
        <v>233720</v>
      </c>
      <c r="F23" s="4">
        <v>8.2064008214958097E-3</v>
      </c>
      <c r="G23" s="19">
        <v>39.284614068115687</v>
      </c>
      <c r="H23" s="22">
        <v>11828</v>
      </c>
    </row>
    <row r="24" spans="1:8" x14ac:dyDescent="0.3">
      <c r="A24" s="21">
        <v>45481</v>
      </c>
      <c r="B24" t="s">
        <v>6</v>
      </c>
      <c r="C24" s="2">
        <v>6772</v>
      </c>
      <c r="D24" s="2">
        <v>536</v>
      </c>
      <c r="E24" s="2">
        <v>239956</v>
      </c>
      <c r="F24" s="4">
        <v>2.5988097817933299E-2</v>
      </c>
      <c r="G24" s="19">
        <v>9.8205504342462788</v>
      </c>
      <c r="H24" s="22">
        <v>17909</v>
      </c>
    </row>
    <row r="25" spans="1:8" x14ac:dyDescent="0.3">
      <c r="A25" s="21">
        <v>45481</v>
      </c>
      <c r="B25" t="s">
        <v>6</v>
      </c>
      <c r="C25" s="2">
        <v>3529</v>
      </c>
      <c r="D25" s="2">
        <v>305</v>
      </c>
      <c r="E25" s="2">
        <v>243180</v>
      </c>
      <c r="F25" s="4">
        <v>1.3257669216218401E-2</v>
      </c>
      <c r="G25" s="19">
        <v>41.606628834608109</v>
      </c>
      <c r="H25" s="22">
        <v>48356</v>
      </c>
    </row>
    <row r="26" spans="1:8" x14ac:dyDescent="0.3">
      <c r="A26" s="21">
        <v>45488</v>
      </c>
      <c r="B26" t="s">
        <v>10</v>
      </c>
      <c r="C26" s="2">
        <v>3964</v>
      </c>
      <c r="D26" s="2">
        <v>378</v>
      </c>
      <c r="E26" s="2">
        <v>246766</v>
      </c>
      <c r="F26" s="4">
        <v>1.45319857678935E-2</v>
      </c>
      <c r="G26" s="19">
        <v>13.6355899921383</v>
      </c>
      <c r="H26" s="22">
        <v>23109</v>
      </c>
    </row>
    <row r="27" spans="1:8" x14ac:dyDescent="0.3">
      <c r="A27" s="21">
        <v>45488</v>
      </c>
      <c r="B27" t="s">
        <v>28</v>
      </c>
      <c r="C27" s="2">
        <v>8137</v>
      </c>
      <c r="D27" s="2">
        <v>1045</v>
      </c>
      <c r="E27" s="2">
        <v>253858</v>
      </c>
      <c r="F27" s="4">
        <v>2.79368780972039E-2</v>
      </c>
      <c r="G27" s="19">
        <v>20.47246886054408</v>
      </c>
      <c r="H27" s="22">
        <v>12023</v>
      </c>
    </row>
    <row r="28" spans="1:8" x14ac:dyDescent="0.3">
      <c r="A28" s="21">
        <v>45488</v>
      </c>
      <c r="B28" t="s">
        <v>1</v>
      </c>
      <c r="C28" s="2">
        <v>1963</v>
      </c>
      <c r="D28" s="2">
        <v>137</v>
      </c>
      <c r="E28" s="2">
        <v>255684</v>
      </c>
      <c r="F28" s="4">
        <v>7.1416279469970799E-3</v>
      </c>
      <c r="G28" s="19">
        <v>11.2083665774941</v>
      </c>
      <c r="H28" s="22">
        <v>24537</v>
      </c>
    </row>
    <row r="29" spans="1:8" x14ac:dyDescent="0.3">
      <c r="A29" s="21">
        <v>45488</v>
      </c>
      <c r="B29" t="s">
        <v>10</v>
      </c>
      <c r="C29" s="2">
        <v>1536</v>
      </c>
      <c r="D29" s="2">
        <v>155</v>
      </c>
      <c r="E29" s="2">
        <v>257065</v>
      </c>
      <c r="F29" s="4">
        <v>5.3721821329235798E-3</v>
      </c>
      <c r="G29" s="19">
        <v>12.15762550327738</v>
      </c>
      <c r="H29" s="22">
        <v>36661</v>
      </c>
    </row>
    <row r="30" spans="1:8" x14ac:dyDescent="0.3">
      <c r="A30" s="21">
        <v>45495</v>
      </c>
      <c r="B30" t="s">
        <v>6</v>
      </c>
      <c r="C30" s="2">
        <v>8340</v>
      </c>
      <c r="D30" s="2">
        <v>911</v>
      </c>
      <c r="E30" s="2">
        <v>264494</v>
      </c>
      <c r="F30" s="4">
        <v>2.8087593669421599E-2</v>
      </c>
      <c r="G30" s="19">
        <v>37.302925586213682</v>
      </c>
      <c r="H30" s="22">
        <v>48659</v>
      </c>
    </row>
    <row r="31" spans="1:8" x14ac:dyDescent="0.3">
      <c r="A31" s="21">
        <v>45495</v>
      </c>
      <c r="B31" t="s">
        <v>28</v>
      </c>
      <c r="C31" s="2">
        <v>8179</v>
      </c>
      <c r="D31" s="2">
        <v>446</v>
      </c>
      <c r="E31" s="2">
        <v>272227</v>
      </c>
      <c r="F31" s="4">
        <v>2.84064402134983E-2</v>
      </c>
      <c r="G31" s="19">
        <v>41.82171496581897</v>
      </c>
      <c r="H31" s="22">
        <v>43848</v>
      </c>
    </row>
    <row r="32" spans="1:8" x14ac:dyDescent="0.3">
      <c r="A32" s="21">
        <v>45495</v>
      </c>
      <c r="B32" t="s">
        <v>6</v>
      </c>
      <c r="C32" s="2">
        <v>8967</v>
      </c>
      <c r="D32" s="2">
        <v>993</v>
      </c>
      <c r="E32" s="2">
        <v>280201</v>
      </c>
      <c r="F32" s="4">
        <v>2.8458142547671102E-2</v>
      </c>
      <c r="G32" s="19">
        <v>52.792102811910027</v>
      </c>
      <c r="H32" s="22">
        <v>47804</v>
      </c>
    </row>
    <row r="33" spans="1:8" x14ac:dyDescent="0.3">
      <c r="A33" s="21">
        <v>45495</v>
      </c>
      <c r="B33" t="s">
        <v>1</v>
      </c>
      <c r="C33" s="2">
        <v>9734</v>
      </c>
      <c r="D33" s="2">
        <v>652</v>
      </c>
      <c r="E33" s="2">
        <v>289283</v>
      </c>
      <c r="F33" s="4">
        <v>3.1394862470314498E-2</v>
      </c>
      <c r="G33" s="19">
        <v>49.647922622483861</v>
      </c>
      <c r="H33" s="22">
        <v>25379</v>
      </c>
    </row>
    <row r="34" spans="1:8" x14ac:dyDescent="0.3">
      <c r="A34" s="21">
        <v>45502</v>
      </c>
      <c r="B34" t="s">
        <v>6</v>
      </c>
      <c r="C34" s="2">
        <v>1845</v>
      </c>
      <c r="D34" s="2">
        <v>104</v>
      </c>
      <c r="E34" s="2">
        <v>291024</v>
      </c>
      <c r="F34" s="4">
        <v>5.9823244818296801E-3</v>
      </c>
      <c r="G34" s="19">
        <v>28.158158777282971</v>
      </c>
      <c r="H34" s="22">
        <v>37766</v>
      </c>
    </row>
    <row r="35" spans="1:8" x14ac:dyDescent="0.3">
      <c r="A35" s="21">
        <v>45502</v>
      </c>
      <c r="B35" t="s">
        <v>6</v>
      </c>
      <c r="C35" s="2">
        <v>6777</v>
      </c>
      <c r="D35" s="2">
        <v>981</v>
      </c>
      <c r="E35" s="2">
        <v>296820</v>
      </c>
      <c r="F35" s="4">
        <v>1.9526986052152799E-2</v>
      </c>
      <c r="G35" s="19">
        <v>23.920557913887201</v>
      </c>
      <c r="H35" s="22">
        <v>53590</v>
      </c>
    </row>
    <row r="36" spans="1:8" x14ac:dyDescent="0.3">
      <c r="A36" s="21">
        <v>45502</v>
      </c>
      <c r="B36" t="s">
        <v>1</v>
      </c>
      <c r="C36" s="2">
        <v>4036</v>
      </c>
      <c r="D36" s="2">
        <v>591</v>
      </c>
      <c r="E36" s="2">
        <v>300265</v>
      </c>
      <c r="F36" s="4">
        <v>1.1473198674504199E-2</v>
      </c>
      <c r="G36" s="19">
        <v>44.219272975538267</v>
      </c>
      <c r="H36" s="22">
        <v>12563</v>
      </c>
    </row>
    <row r="37" spans="1:8" x14ac:dyDescent="0.3">
      <c r="A37" s="21">
        <v>45502</v>
      </c>
      <c r="B37" t="s">
        <v>28</v>
      </c>
      <c r="C37" s="2">
        <v>6947</v>
      </c>
      <c r="D37" s="2">
        <v>908</v>
      </c>
      <c r="E37" s="2">
        <v>306304</v>
      </c>
      <c r="F37" s="4">
        <v>1.9715707271207701E-2</v>
      </c>
      <c r="G37" s="19">
        <v>14.117673944839121</v>
      </c>
      <c r="H37" s="22">
        <v>46060</v>
      </c>
    </row>
    <row r="38" spans="1:8" x14ac:dyDescent="0.3">
      <c r="A38" s="21">
        <v>45509</v>
      </c>
      <c r="B38" t="s">
        <v>10</v>
      </c>
      <c r="C38" s="2">
        <v>3494</v>
      </c>
      <c r="D38" s="2">
        <v>281</v>
      </c>
      <c r="E38" s="2">
        <v>309517</v>
      </c>
      <c r="F38" s="4">
        <v>1.03806899136396E-2</v>
      </c>
      <c r="G38" s="19">
        <v>27.765518533715429</v>
      </c>
      <c r="H38" s="22">
        <v>39197</v>
      </c>
    </row>
    <row r="39" spans="1:8" x14ac:dyDescent="0.3">
      <c r="A39" s="21">
        <v>45509</v>
      </c>
      <c r="B39" t="s">
        <v>28</v>
      </c>
      <c r="C39" s="2">
        <v>3719</v>
      </c>
      <c r="D39" s="2">
        <v>222</v>
      </c>
      <c r="E39" s="2">
        <v>313014</v>
      </c>
      <c r="F39" s="4">
        <v>1.11720242545062E-2</v>
      </c>
      <c r="G39" s="19">
        <v>21.669318305251519</v>
      </c>
      <c r="H39" s="22">
        <v>13586</v>
      </c>
    </row>
    <row r="40" spans="1:8" x14ac:dyDescent="0.3">
      <c r="A40" s="21">
        <v>45509</v>
      </c>
      <c r="B40" t="s">
        <v>1</v>
      </c>
      <c r="C40" s="2">
        <v>2884</v>
      </c>
      <c r="D40" s="2">
        <v>341</v>
      </c>
      <c r="E40" s="2">
        <v>315557</v>
      </c>
      <c r="F40" s="4">
        <v>8.0587659281841292E-3</v>
      </c>
      <c r="G40" s="19">
        <v>46.999749649033298</v>
      </c>
      <c r="H40" s="22">
        <v>26087</v>
      </c>
    </row>
    <row r="41" spans="1:8" x14ac:dyDescent="0.3">
      <c r="A41" s="21">
        <v>45509</v>
      </c>
      <c r="B41" t="s">
        <v>6</v>
      </c>
      <c r="C41" s="2">
        <v>5349</v>
      </c>
      <c r="D41" s="2">
        <v>502</v>
      </c>
      <c r="E41" s="2">
        <v>320404</v>
      </c>
      <c r="F41" s="4">
        <v>1.51277761825695E-2</v>
      </c>
      <c r="G41" s="19">
        <v>5.2152906954969351</v>
      </c>
      <c r="H41" s="22">
        <v>58868</v>
      </c>
    </row>
    <row r="42" spans="1:8" x14ac:dyDescent="0.3">
      <c r="A42" s="21">
        <v>45516</v>
      </c>
      <c r="B42" t="s">
        <v>28</v>
      </c>
      <c r="C42" s="2">
        <v>6179</v>
      </c>
      <c r="D42" s="2">
        <v>384</v>
      </c>
      <c r="E42" s="2">
        <v>326199</v>
      </c>
      <c r="F42" s="4">
        <v>1.7765229200580001E-2</v>
      </c>
      <c r="G42" s="19">
        <v>14.71218489327067</v>
      </c>
      <c r="H42" s="22">
        <v>33225</v>
      </c>
    </row>
    <row r="43" spans="1:8" x14ac:dyDescent="0.3">
      <c r="A43" s="21">
        <v>45516</v>
      </c>
      <c r="B43" t="s">
        <v>10</v>
      </c>
      <c r="C43" s="2">
        <v>7610</v>
      </c>
      <c r="D43" s="2">
        <v>757</v>
      </c>
      <c r="E43" s="2">
        <v>333052</v>
      </c>
      <c r="F43" s="4">
        <v>2.0576366453286601E-2</v>
      </c>
      <c r="G43" s="19">
        <v>44.450416151231643</v>
      </c>
      <c r="H43" s="22">
        <v>39750</v>
      </c>
    </row>
    <row r="44" spans="1:8" x14ac:dyDescent="0.3">
      <c r="A44" s="21">
        <v>45516</v>
      </c>
      <c r="B44" t="s">
        <v>1</v>
      </c>
      <c r="C44" s="2">
        <v>7430</v>
      </c>
      <c r="D44" s="2">
        <v>397</v>
      </c>
      <c r="E44" s="2">
        <v>340085</v>
      </c>
      <c r="F44" s="4">
        <v>2.0680124086625399E-2</v>
      </c>
      <c r="G44" s="19">
        <v>28.065042562888689</v>
      </c>
      <c r="H44" s="22">
        <v>16643</v>
      </c>
    </row>
    <row r="45" spans="1:8" x14ac:dyDescent="0.3">
      <c r="A45" s="21">
        <v>45516</v>
      </c>
      <c r="B45" t="s">
        <v>28</v>
      </c>
      <c r="C45" s="2">
        <v>8154</v>
      </c>
      <c r="D45" s="2">
        <v>1149</v>
      </c>
      <c r="E45" s="2">
        <v>347090</v>
      </c>
      <c r="F45" s="4">
        <v>2.0182085338096699E-2</v>
      </c>
      <c r="G45" s="19">
        <v>26.003918292085629</v>
      </c>
      <c r="H45" s="22">
        <v>37523</v>
      </c>
    </row>
    <row r="46" spans="1:8" x14ac:dyDescent="0.3">
      <c r="A46" s="21">
        <v>45523</v>
      </c>
      <c r="B46" t="s">
        <v>10</v>
      </c>
      <c r="C46" s="2">
        <v>7488</v>
      </c>
      <c r="D46" s="2">
        <v>568</v>
      </c>
      <c r="E46" s="2">
        <v>354010</v>
      </c>
      <c r="F46" s="4">
        <v>1.9547470410440401E-2</v>
      </c>
      <c r="G46" s="19">
        <v>13.47730290104799</v>
      </c>
      <c r="H46" s="22">
        <v>46727</v>
      </c>
    </row>
    <row r="47" spans="1:8" x14ac:dyDescent="0.3">
      <c r="A47" s="21">
        <v>45523</v>
      </c>
      <c r="B47" t="s">
        <v>1</v>
      </c>
      <c r="C47" s="2">
        <v>5737</v>
      </c>
      <c r="D47" s="2">
        <v>666</v>
      </c>
      <c r="E47" s="2">
        <v>359081</v>
      </c>
      <c r="F47" s="4">
        <v>1.4122161852061201E-2</v>
      </c>
      <c r="G47" s="19">
        <v>4.6034181702735593</v>
      </c>
      <c r="H47" s="22">
        <v>21005</v>
      </c>
    </row>
    <row r="48" spans="1:8" x14ac:dyDescent="0.3">
      <c r="A48" s="21">
        <v>45523</v>
      </c>
      <c r="B48" t="s">
        <v>10</v>
      </c>
      <c r="C48" s="2">
        <v>7525</v>
      </c>
      <c r="D48" s="2">
        <v>610</v>
      </c>
      <c r="E48" s="2">
        <v>365996</v>
      </c>
      <c r="F48" s="4">
        <v>1.8893649110919199E-2</v>
      </c>
      <c r="G48" s="19">
        <v>5.7694619613329108</v>
      </c>
      <c r="H48" s="22">
        <v>53543</v>
      </c>
    </row>
    <row r="49" spans="1:8" x14ac:dyDescent="0.3">
      <c r="A49" s="21">
        <v>45523</v>
      </c>
      <c r="B49" t="s">
        <v>1</v>
      </c>
      <c r="C49" s="2">
        <v>4850</v>
      </c>
      <c r="D49" s="2">
        <v>494</v>
      </c>
      <c r="E49" s="2">
        <v>370352</v>
      </c>
      <c r="F49" s="4">
        <v>1.1761783384455901E-2</v>
      </c>
      <c r="G49" s="19">
        <v>20.46539508359615</v>
      </c>
      <c r="H49" s="22">
        <v>10161</v>
      </c>
    </row>
    <row r="50" spans="1:8" x14ac:dyDescent="0.3">
      <c r="A50" s="21">
        <v>45530</v>
      </c>
      <c r="B50" t="s">
        <v>6</v>
      </c>
      <c r="C50" s="2">
        <v>1689</v>
      </c>
      <c r="D50" s="2">
        <v>176</v>
      </c>
      <c r="E50" s="2">
        <v>371865</v>
      </c>
      <c r="F50" s="4">
        <v>4.0686808384763299E-3</v>
      </c>
      <c r="G50" s="19">
        <v>38.012181840183942</v>
      </c>
      <c r="H50" s="22">
        <v>26029</v>
      </c>
    </row>
    <row r="51" spans="1:8" x14ac:dyDescent="0.3">
      <c r="A51" s="21">
        <v>45530</v>
      </c>
      <c r="B51" t="s">
        <v>28</v>
      </c>
      <c r="C51" s="2">
        <v>6175</v>
      </c>
      <c r="D51" s="2">
        <v>422</v>
      </c>
      <c r="E51" s="2">
        <v>377618</v>
      </c>
      <c r="F51" s="4">
        <v>1.5234972909130401E-2</v>
      </c>
      <c r="G51" s="19">
        <v>37.86101298137271</v>
      </c>
      <c r="H51" s="22">
        <v>59745</v>
      </c>
    </row>
    <row r="52" spans="1:8" x14ac:dyDescent="0.3">
      <c r="A52" s="21">
        <v>45530</v>
      </c>
      <c r="B52" t="s">
        <v>10</v>
      </c>
      <c r="C52" s="2">
        <v>9648</v>
      </c>
      <c r="D52" s="2">
        <v>1417</v>
      </c>
      <c r="E52" s="2">
        <v>385849</v>
      </c>
      <c r="F52" s="4">
        <v>2.13321791685348E-2</v>
      </c>
      <c r="G52" s="19">
        <v>3.6633501706626168</v>
      </c>
      <c r="H52" s="22">
        <v>24226</v>
      </c>
    </row>
    <row r="53" spans="1:8" x14ac:dyDescent="0.3">
      <c r="A53" s="21">
        <v>45530</v>
      </c>
      <c r="B53" t="s">
        <v>1</v>
      </c>
      <c r="C53" s="2">
        <v>6078</v>
      </c>
      <c r="D53" s="2">
        <v>775</v>
      </c>
      <c r="E53" s="2">
        <v>391152</v>
      </c>
      <c r="F53" s="4">
        <v>1.35573894547388E-2</v>
      </c>
      <c r="G53" s="19">
        <v>37.760512537325639</v>
      </c>
      <c r="H53" s="22">
        <v>38731</v>
      </c>
    </row>
    <row r="54" spans="1:8" x14ac:dyDescent="0.3">
      <c r="A54" s="21">
        <v>45537</v>
      </c>
      <c r="B54" t="s">
        <v>10</v>
      </c>
      <c r="C54" s="2">
        <v>6448</v>
      </c>
      <c r="D54" s="2">
        <v>928</v>
      </c>
      <c r="E54" s="2">
        <v>396672</v>
      </c>
      <c r="F54" s="4">
        <v>1.3915779283639899E-2</v>
      </c>
      <c r="G54" s="19">
        <v>30.118586640851881</v>
      </c>
      <c r="H54" s="22">
        <v>53922</v>
      </c>
    </row>
    <row r="55" spans="1:8" x14ac:dyDescent="0.3">
      <c r="A55" s="21">
        <v>45537</v>
      </c>
      <c r="B55" t="s">
        <v>10</v>
      </c>
      <c r="C55" s="2">
        <v>2179</v>
      </c>
      <c r="D55" s="2">
        <v>303</v>
      </c>
      <c r="E55" s="2">
        <v>398548</v>
      </c>
      <c r="F55" s="4">
        <v>4.7070867248110602E-3</v>
      </c>
      <c r="G55" s="19">
        <v>33.909842729106657</v>
      </c>
      <c r="H55" s="22">
        <v>54848</v>
      </c>
    </row>
    <row r="56" spans="1:8" x14ac:dyDescent="0.3">
      <c r="A56" s="21">
        <v>45537</v>
      </c>
      <c r="B56" t="s">
        <v>28</v>
      </c>
      <c r="C56" s="2">
        <v>7406</v>
      </c>
      <c r="D56" s="2">
        <v>813</v>
      </c>
      <c r="E56" s="2">
        <v>405141</v>
      </c>
      <c r="F56" s="4">
        <v>1.62733468101229E-2</v>
      </c>
      <c r="G56" s="19">
        <v>24.457411123534769</v>
      </c>
      <c r="H56" s="22">
        <v>13390</v>
      </c>
    </row>
    <row r="57" spans="1:8" x14ac:dyDescent="0.3">
      <c r="A57" s="21">
        <v>45537</v>
      </c>
      <c r="B57" t="s">
        <v>6</v>
      </c>
      <c r="C57" s="2">
        <v>9591</v>
      </c>
      <c r="D57" s="2">
        <v>1363</v>
      </c>
      <c r="E57" s="2">
        <v>413369</v>
      </c>
      <c r="F57" s="4">
        <v>1.9904734026983201E-2</v>
      </c>
      <c r="G57" s="19">
        <v>10.494255737609739</v>
      </c>
      <c r="H57" s="22">
        <v>15997</v>
      </c>
    </row>
    <row r="58" spans="1:8" x14ac:dyDescent="0.3">
      <c r="A58" s="21">
        <v>45544</v>
      </c>
      <c r="B58" t="s">
        <v>10</v>
      </c>
      <c r="C58" s="2">
        <v>7907</v>
      </c>
      <c r="D58" s="2">
        <v>465</v>
      </c>
      <c r="E58" s="2">
        <v>420811</v>
      </c>
      <c r="F58" s="4">
        <v>1.76848989213685E-2</v>
      </c>
      <c r="G58" s="19">
        <v>33.257448118038738</v>
      </c>
      <c r="H58" s="22">
        <v>22693</v>
      </c>
    </row>
    <row r="59" spans="1:8" x14ac:dyDescent="0.3">
      <c r="A59" s="21">
        <v>45544</v>
      </c>
      <c r="B59" t="s">
        <v>1</v>
      </c>
      <c r="C59" s="2">
        <v>9800</v>
      </c>
      <c r="D59" s="2">
        <v>682</v>
      </c>
      <c r="E59" s="2">
        <v>429929</v>
      </c>
      <c r="F59" s="4">
        <v>2.1208152974095701E-2</v>
      </c>
      <c r="G59" s="19">
        <v>6.2966210699906267</v>
      </c>
      <c r="H59" s="22">
        <v>59815</v>
      </c>
    </row>
    <row r="60" spans="1:8" x14ac:dyDescent="0.3">
      <c r="A60" s="21">
        <v>45544</v>
      </c>
      <c r="B60" t="s">
        <v>1</v>
      </c>
      <c r="C60" s="2">
        <v>2638</v>
      </c>
      <c r="D60" s="2">
        <v>143</v>
      </c>
      <c r="E60" s="2">
        <v>432424</v>
      </c>
      <c r="F60" s="4">
        <v>5.76980001110022E-3</v>
      </c>
      <c r="G60" s="19">
        <v>6.9547481175882924</v>
      </c>
      <c r="H60" s="22">
        <v>52092</v>
      </c>
    </row>
    <row r="61" spans="1:8" x14ac:dyDescent="0.3">
      <c r="A61" s="21">
        <v>45544</v>
      </c>
      <c r="B61" t="s">
        <v>6</v>
      </c>
      <c r="C61" s="2">
        <v>6671</v>
      </c>
      <c r="D61" s="2">
        <v>550</v>
      </c>
      <c r="E61" s="2">
        <v>438545</v>
      </c>
      <c r="F61" s="4">
        <v>1.3957518612685099E-2</v>
      </c>
      <c r="G61" s="19">
        <v>17.750287883797562</v>
      </c>
      <c r="H61" s="22">
        <v>10541</v>
      </c>
    </row>
    <row r="62" spans="1:8" x14ac:dyDescent="0.3">
      <c r="A62" s="21">
        <v>45551</v>
      </c>
      <c r="B62" t="s">
        <v>1</v>
      </c>
      <c r="C62" s="2">
        <v>7928</v>
      </c>
      <c r="D62" s="2">
        <v>704</v>
      </c>
      <c r="E62" s="2">
        <v>445769</v>
      </c>
      <c r="F62" s="4">
        <v>1.6205702953772001E-2</v>
      </c>
      <c r="G62" s="19">
        <v>11.194362999670229</v>
      </c>
      <c r="H62" s="22">
        <v>31817</v>
      </c>
    </row>
    <row r="63" spans="1:8" x14ac:dyDescent="0.3">
      <c r="A63" s="21">
        <v>45551</v>
      </c>
      <c r="B63" t="s">
        <v>6</v>
      </c>
      <c r="C63" s="2">
        <v>2382</v>
      </c>
      <c r="D63" s="2">
        <v>183</v>
      </c>
      <c r="E63" s="2">
        <v>447968</v>
      </c>
      <c r="F63" s="4">
        <v>4.9088327737695503E-3</v>
      </c>
      <c r="G63" s="19">
        <v>4.7335970426459033</v>
      </c>
      <c r="H63" s="22">
        <v>47861</v>
      </c>
    </row>
    <row r="64" spans="1:8" x14ac:dyDescent="0.3">
      <c r="A64" s="21">
        <v>45551</v>
      </c>
      <c r="B64" t="s">
        <v>1</v>
      </c>
      <c r="C64" s="2">
        <v>2403</v>
      </c>
      <c r="D64" s="2">
        <v>319</v>
      </c>
      <c r="E64" s="2">
        <v>450052</v>
      </c>
      <c r="F64" s="4">
        <v>4.63057602232631E-3</v>
      </c>
      <c r="G64" s="19">
        <v>29.92120910472568</v>
      </c>
      <c r="H64" s="22">
        <v>23428</v>
      </c>
    </row>
    <row r="65" spans="1:8" x14ac:dyDescent="0.3">
      <c r="A65" s="21">
        <v>45551</v>
      </c>
      <c r="B65" t="s">
        <v>28</v>
      </c>
      <c r="C65" s="2">
        <v>4292</v>
      </c>
      <c r="D65" s="2">
        <v>367</v>
      </c>
      <c r="E65" s="2">
        <v>453977</v>
      </c>
      <c r="F65" s="4">
        <v>8.6458124530537899E-3</v>
      </c>
      <c r="G65" s="19">
        <v>3.5037017293827661</v>
      </c>
      <c r="H65" s="22">
        <v>53934</v>
      </c>
    </row>
    <row r="66" spans="1:8" x14ac:dyDescent="0.3">
      <c r="A66" s="21">
        <v>45558</v>
      </c>
      <c r="B66" t="s">
        <v>10</v>
      </c>
      <c r="C66" s="2">
        <v>1419</v>
      </c>
      <c r="D66" s="2">
        <v>110</v>
      </c>
      <c r="E66" s="2">
        <v>455286</v>
      </c>
      <c r="F66" s="4">
        <v>2.8751158612388699E-3</v>
      </c>
      <c r="G66" s="19">
        <v>31.554451487636339</v>
      </c>
      <c r="H66" s="22">
        <v>58831</v>
      </c>
    </row>
    <row r="67" spans="1:8" x14ac:dyDescent="0.3">
      <c r="A67" s="21">
        <v>45558</v>
      </c>
      <c r="B67" t="s">
        <v>28</v>
      </c>
      <c r="C67" s="2">
        <v>5517</v>
      </c>
      <c r="D67" s="2">
        <v>575</v>
      </c>
      <c r="E67" s="2">
        <v>460228</v>
      </c>
      <c r="F67" s="4">
        <v>1.07381558705685E-2</v>
      </c>
      <c r="G67" s="19">
        <v>29.45844233727631</v>
      </c>
      <c r="H67" s="22">
        <v>20258</v>
      </c>
    </row>
    <row r="68" spans="1:8" x14ac:dyDescent="0.3">
      <c r="A68" s="21">
        <v>45558</v>
      </c>
      <c r="B68" t="s">
        <v>10</v>
      </c>
      <c r="C68" s="2">
        <v>4302</v>
      </c>
      <c r="D68" s="2">
        <v>275</v>
      </c>
      <c r="E68" s="2">
        <v>464255</v>
      </c>
      <c r="F68" s="4">
        <v>8.6741122874282404E-3</v>
      </c>
      <c r="G68" s="19">
        <v>15.72131694865968</v>
      </c>
      <c r="H68" s="22">
        <v>26044</v>
      </c>
    </row>
    <row r="69" spans="1:8" x14ac:dyDescent="0.3">
      <c r="A69" s="21">
        <v>45558</v>
      </c>
      <c r="B69" t="s">
        <v>10</v>
      </c>
      <c r="C69" s="2">
        <v>8857</v>
      </c>
      <c r="D69" s="2">
        <v>1153</v>
      </c>
      <c r="E69" s="2">
        <v>471959</v>
      </c>
      <c r="F69" s="4">
        <v>1.6323451825264498E-2</v>
      </c>
      <c r="G69" s="19">
        <v>19.214592793018038</v>
      </c>
      <c r="H69" s="22">
        <v>39411</v>
      </c>
    </row>
    <row r="70" spans="1:8" x14ac:dyDescent="0.3">
      <c r="A70" s="21">
        <v>45565</v>
      </c>
      <c r="B70" t="s">
        <v>10</v>
      </c>
      <c r="C70" s="2">
        <v>8870</v>
      </c>
      <c r="D70" s="2">
        <v>509</v>
      </c>
      <c r="E70" s="2">
        <v>480320</v>
      </c>
      <c r="F70" s="4">
        <v>1.7407145236508999E-2</v>
      </c>
      <c r="G70" s="19">
        <v>25.077864756828781</v>
      </c>
      <c r="H70" s="22">
        <v>15469</v>
      </c>
    </row>
    <row r="71" spans="1:8" x14ac:dyDescent="0.3">
      <c r="A71" s="21">
        <v>45565</v>
      </c>
      <c r="B71" t="s">
        <v>28</v>
      </c>
      <c r="C71" s="2">
        <v>6693</v>
      </c>
      <c r="D71" s="2">
        <v>995</v>
      </c>
      <c r="E71" s="2">
        <v>486018</v>
      </c>
      <c r="F71" s="4">
        <v>1.1723845618886499E-2</v>
      </c>
      <c r="G71" s="19">
        <v>23.761877132122681</v>
      </c>
      <c r="H71" s="22">
        <v>38854</v>
      </c>
    </row>
    <row r="72" spans="1:8" x14ac:dyDescent="0.3">
      <c r="A72" s="21">
        <v>45565</v>
      </c>
      <c r="B72" t="s">
        <v>10</v>
      </c>
      <c r="C72" s="2">
        <v>1767</v>
      </c>
      <c r="D72" s="2">
        <v>224</v>
      </c>
      <c r="E72" s="2">
        <v>487561</v>
      </c>
      <c r="F72" s="4">
        <v>3.1647322078673201E-3</v>
      </c>
      <c r="G72" s="19">
        <v>13.208603641390511</v>
      </c>
      <c r="H72" s="22">
        <v>16256</v>
      </c>
    </row>
    <row r="73" spans="1:8" x14ac:dyDescent="0.3">
      <c r="A73" s="21">
        <v>45565</v>
      </c>
      <c r="B73" t="s">
        <v>28</v>
      </c>
      <c r="C73" s="2">
        <v>3044</v>
      </c>
      <c r="D73" s="2">
        <v>212</v>
      </c>
      <c r="E73" s="2">
        <v>490393</v>
      </c>
      <c r="F73" s="4">
        <v>5.7749600830354396E-3</v>
      </c>
      <c r="G73" s="19">
        <v>8.5343795690395261</v>
      </c>
      <c r="H73" s="22">
        <v>20720</v>
      </c>
    </row>
    <row r="74" spans="1:8" x14ac:dyDescent="0.3">
      <c r="A74" s="21">
        <v>45572</v>
      </c>
      <c r="B74" t="s">
        <v>6</v>
      </c>
      <c r="C74" s="2">
        <v>2549</v>
      </c>
      <c r="D74" s="2">
        <v>128</v>
      </c>
      <c r="E74" s="2">
        <v>492814</v>
      </c>
      <c r="F74" s="4">
        <v>4.9126039438814597E-3</v>
      </c>
      <c r="G74" s="19">
        <v>12.734216154573531</v>
      </c>
      <c r="H74" s="22">
        <v>43937</v>
      </c>
    </row>
    <row r="75" spans="1:8" x14ac:dyDescent="0.3">
      <c r="A75" s="21">
        <v>45572</v>
      </c>
      <c r="B75" t="s">
        <v>1</v>
      </c>
      <c r="C75" s="2">
        <v>7140</v>
      </c>
      <c r="D75" s="2">
        <v>939</v>
      </c>
      <c r="E75" s="2">
        <v>499015</v>
      </c>
      <c r="F75" s="4">
        <v>1.2426480165926901E-2</v>
      </c>
      <c r="G75" s="19">
        <v>25.120888149654821</v>
      </c>
      <c r="H75" s="22">
        <v>43598</v>
      </c>
    </row>
    <row r="76" spans="1:8" x14ac:dyDescent="0.3">
      <c r="A76" s="21">
        <v>45572</v>
      </c>
      <c r="B76" t="s">
        <v>1</v>
      </c>
      <c r="C76" s="2">
        <v>4716</v>
      </c>
      <c r="D76" s="2">
        <v>569</v>
      </c>
      <c r="E76" s="2">
        <v>503162</v>
      </c>
      <c r="F76" s="4">
        <v>8.2418783612434997E-3</v>
      </c>
      <c r="G76" s="19">
        <v>25.64820077827817</v>
      </c>
      <c r="H76" s="22">
        <v>11651</v>
      </c>
    </row>
    <row r="77" spans="1:8" x14ac:dyDescent="0.3">
      <c r="A77" s="21">
        <v>45572</v>
      </c>
      <c r="B77" t="s">
        <v>10</v>
      </c>
      <c r="C77" s="2">
        <v>5481</v>
      </c>
      <c r="D77" s="2">
        <v>673</v>
      </c>
      <c r="E77" s="2">
        <v>507970</v>
      </c>
      <c r="F77" s="4">
        <v>9.4651258932614106E-3</v>
      </c>
      <c r="G77" s="19">
        <v>13.08758391243577</v>
      </c>
      <c r="H77" s="22">
        <v>29194</v>
      </c>
    </row>
    <row r="78" spans="1:8" x14ac:dyDescent="0.3">
      <c r="A78" s="21">
        <v>45579</v>
      </c>
      <c r="B78" t="s">
        <v>28</v>
      </c>
      <c r="C78" s="2">
        <v>8898</v>
      </c>
      <c r="D78" s="2">
        <v>1131</v>
      </c>
      <c r="E78" s="2">
        <v>515737</v>
      </c>
      <c r="F78" s="4">
        <v>1.50600015123988E-2</v>
      </c>
      <c r="G78" s="19">
        <v>2.1877429775253669</v>
      </c>
      <c r="H78" s="22">
        <v>35051</v>
      </c>
    </row>
    <row r="79" spans="1:8" x14ac:dyDescent="0.3">
      <c r="A79" s="21">
        <v>45579</v>
      </c>
      <c r="B79" t="s">
        <v>1</v>
      </c>
      <c r="C79" s="2">
        <v>7548</v>
      </c>
      <c r="D79" s="2">
        <v>433</v>
      </c>
      <c r="E79" s="2">
        <v>522852</v>
      </c>
      <c r="F79" s="4">
        <v>1.36080573470122E-2</v>
      </c>
      <c r="G79" s="19">
        <v>8.3562843787534522</v>
      </c>
      <c r="H79" s="22">
        <v>37386</v>
      </c>
    </row>
    <row r="80" spans="1:8" x14ac:dyDescent="0.3">
      <c r="A80" s="21">
        <v>45579</v>
      </c>
      <c r="B80" t="s">
        <v>28</v>
      </c>
      <c r="C80" s="2">
        <v>3293</v>
      </c>
      <c r="D80" s="2">
        <v>282</v>
      </c>
      <c r="E80" s="2">
        <v>525863</v>
      </c>
      <c r="F80" s="4">
        <v>5.7258259280459E-3</v>
      </c>
      <c r="G80" s="19">
        <v>27.040693108281051</v>
      </c>
      <c r="H80" s="22">
        <v>19518</v>
      </c>
    </row>
    <row r="81" spans="1:8" x14ac:dyDescent="0.3">
      <c r="A81" s="21">
        <v>45579</v>
      </c>
      <c r="B81" t="s">
        <v>28</v>
      </c>
      <c r="C81" s="2">
        <v>5837</v>
      </c>
      <c r="D81" s="2">
        <v>359</v>
      </c>
      <c r="E81" s="2">
        <v>531341</v>
      </c>
      <c r="F81" s="4">
        <v>1.03097634099383E-2</v>
      </c>
      <c r="G81" s="19">
        <v>6.8073045370110723</v>
      </c>
      <c r="H81" s="22">
        <v>56026</v>
      </c>
    </row>
    <row r="82" spans="1:8" x14ac:dyDescent="0.3">
      <c r="A82" s="21">
        <v>45586</v>
      </c>
      <c r="B82" t="s">
        <v>10</v>
      </c>
      <c r="C82" s="2">
        <v>8758</v>
      </c>
      <c r="D82" s="2">
        <v>1193</v>
      </c>
      <c r="E82" s="2">
        <v>538906</v>
      </c>
      <c r="F82" s="4">
        <v>1.40376985967868E-2</v>
      </c>
      <c r="G82" s="19">
        <v>3.4213758985797149</v>
      </c>
      <c r="H82" s="22">
        <v>26184</v>
      </c>
    </row>
    <row r="83" spans="1:8" x14ac:dyDescent="0.3">
      <c r="A83" s="21">
        <v>45586</v>
      </c>
      <c r="B83" t="s">
        <v>1</v>
      </c>
      <c r="C83" s="2">
        <v>7793</v>
      </c>
      <c r="D83" s="2">
        <v>875</v>
      </c>
      <c r="E83" s="2">
        <v>545824</v>
      </c>
      <c r="F83" s="4">
        <v>1.26744151961072E-2</v>
      </c>
      <c r="G83" s="19">
        <v>5.5136820660139527</v>
      </c>
      <c r="H83" s="22">
        <v>43787</v>
      </c>
    </row>
    <row r="84" spans="1:8" x14ac:dyDescent="0.3">
      <c r="A84" s="21">
        <v>45586</v>
      </c>
      <c r="B84" t="s">
        <v>10</v>
      </c>
      <c r="C84" s="2">
        <v>8638</v>
      </c>
      <c r="D84" s="2">
        <v>717</v>
      </c>
      <c r="E84" s="2">
        <v>553745</v>
      </c>
      <c r="F84" s="4">
        <v>1.4304418098583301E-2</v>
      </c>
      <c r="G84" s="19">
        <v>26.921416897669499</v>
      </c>
      <c r="H84" s="22">
        <v>31621</v>
      </c>
    </row>
    <row r="85" spans="1:8" x14ac:dyDescent="0.3">
      <c r="A85" s="21">
        <v>45586</v>
      </c>
      <c r="B85" t="s">
        <v>10</v>
      </c>
      <c r="C85" s="2">
        <v>8993</v>
      </c>
      <c r="D85" s="2">
        <v>506</v>
      </c>
      <c r="E85" s="2">
        <v>562232</v>
      </c>
      <c r="F85" s="4">
        <v>1.5095192020375899E-2</v>
      </c>
      <c r="G85" s="19">
        <v>3.5131404829323132</v>
      </c>
      <c r="H85" s="22">
        <v>20028</v>
      </c>
    </row>
    <row r="86" spans="1:8" x14ac:dyDescent="0.3">
      <c r="A86" s="21">
        <v>45593</v>
      </c>
      <c r="B86" t="s">
        <v>1</v>
      </c>
      <c r="C86" s="2">
        <v>7007</v>
      </c>
      <c r="D86" s="2">
        <v>568</v>
      </c>
      <c r="E86" s="2">
        <v>568671</v>
      </c>
      <c r="F86" s="4">
        <v>1.13228914433829E-2</v>
      </c>
      <c r="G86" s="19">
        <v>11.50507059442103</v>
      </c>
      <c r="H86" s="22">
        <v>22448</v>
      </c>
    </row>
    <row r="87" spans="1:8" x14ac:dyDescent="0.3">
      <c r="A87" s="21">
        <v>45593</v>
      </c>
      <c r="B87" t="s">
        <v>1</v>
      </c>
      <c r="C87" s="2">
        <v>6542</v>
      </c>
      <c r="D87" s="2">
        <v>539</v>
      </c>
      <c r="E87" s="2">
        <v>574674</v>
      </c>
      <c r="F87" s="4">
        <v>1.04459223838211E-2</v>
      </c>
      <c r="G87" s="19">
        <v>6.4069368024305948</v>
      </c>
      <c r="H87" s="22">
        <v>55253</v>
      </c>
    </row>
    <row r="88" spans="1:8" x14ac:dyDescent="0.3">
      <c r="A88" s="21">
        <v>45593</v>
      </c>
      <c r="B88" t="s">
        <v>6</v>
      </c>
      <c r="C88" s="2">
        <v>7356</v>
      </c>
      <c r="D88" s="2">
        <v>904</v>
      </c>
      <c r="E88" s="2">
        <v>581126</v>
      </c>
      <c r="F88" s="4">
        <v>1.1102583604932501E-2</v>
      </c>
      <c r="G88" s="19">
        <v>17.560907617280929</v>
      </c>
      <c r="H88" s="22">
        <v>44051</v>
      </c>
    </row>
    <row r="89" spans="1:8" x14ac:dyDescent="0.3">
      <c r="A89" s="21">
        <v>45593</v>
      </c>
      <c r="B89" t="s">
        <v>6</v>
      </c>
      <c r="C89" s="2">
        <v>9433</v>
      </c>
      <c r="D89" s="2">
        <v>1073</v>
      </c>
      <c r="E89" s="2">
        <v>589486</v>
      </c>
      <c r="F89" s="4">
        <v>1.4181846557848699E-2</v>
      </c>
      <c r="G89" s="19">
        <v>7.2934726185185053</v>
      </c>
      <c r="H89" s="22">
        <v>59811</v>
      </c>
    </row>
    <row r="90" spans="1:8" x14ac:dyDescent="0.3">
      <c r="A90" s="21">
        <v>45600</v>
      </c>
      <c r="B90" t="s">
        <v>28</v>
      </c>
      <c r="C90" s="2">
        <v>8380</v>
      </c>
      <c r="D90" s="2">
        <v>1162</v>
      </c>
      <c r="E90" s="2">
        <v>596704</v>
      </c>
      <c r="F90" s="4">
        <v>1.2096449831072E-2</v>
      </c>
      <c r="G90" s="19">
        <v>18.05853488496809</v>
      </c>
      <c r="H90" s="22">
        <v>40447</v>
      </c>
    </row>
    <row r="91" spans="1:8" x14ac:dyDescent="0.3">
      <c r="A91" s="21">
        <v>45600</v>
      </c>
      <c r="B91" t="s">
        <v>1</v>
      </c>
      <c r="C91" s="2">
        <v>3385</v>
      </c>
      <c r="D91" s="2">
        <v>329</v>
      </c>
      <c r="E91" s="2">
        <v>599760</v>
      </c>
      <c r="F91" s="4">
        <v>5.0953714819261002E-3</v>
      </c>
      <c r="G91" s="19">
        <v>17.61788048552755</v>
      </c>
      <c r="H91" s="22">
        <v>28394</v>
      </c>
    </row>
    <row r="92" spans="1:8" x14ac:dyDescent="0.3">
      <c r="A92" s="21">
        <v>45600</v>
      </c>
      <c r="B92" t="s">
        <v>6</v>
      </c>
      <c r="C92" s="2">
        <v>5268</v>
      </c>
      <c r="D92" s="2">
        <v>326</v>
      </c>
      <c r="E92" s="2">
        <v>604702</v>
      </c>
      <c r="F92" s="4">
        <v>8.17262056351724E-3</v>
      </c>
      <c r="G92" s="19">
        <v>23.435841125050029</v>
      </c>
      <c r="H92" s="22">
        <v>44501</v>
      </c>
    </row>
    <row r="93" spans="1:8" x14ac:dyDescent="0.3">
      <c r="A93" s="21">
        <v>45600</v>
      </c>
      <c r="B93" t="s">
        <v>28</v>
      </c>
      <c r="C93" s="2">
        <v>1671</v>
      </c>
      <c r="D93" s="2">
        <v>202</v>
      </c>
      <c r="E93" s="2">
        <v>606171</v>
      </c>
      <c r="F93" s="4">
        <v>2.42340857612786E-3</v>
      </c>
      <c r="G93" s="19">
        <v>15.150015424690389</v>
      </c>
      <c r="H93" s="22">
        <v>40254</v>
      </c>
    </row>
    <row r="94" spans="1:8" x14ac:dyDescent="0.3">
      <c r="A94" s="21">
        <v>45607</v>
      </c>
      <c r="B94" t="s">
        <v>28</v>
      </c>
      <c r="C94" s="2">
        <v>1163</v>
      </c>
      <c r="D94" s="2">
        <v>146</v>
      </c>
      <c r="E94" s="2">
        <v>607188</v>
      </c>
      <c r="F94" s="4">
        <v>1.6749342872388799E-3</v>
      </c>
      <c r="G94" s="19">
        <v>21.77776899411715</v>
      </c>
      <c r="H94" s="22">
        <v>28509</v>
      </c>
    </row>
    <row r="95" spans="1:8" x14ac:dyDescent="0.3">
      <c r="A95" s="21">
        <v>45607</v>
      </c>
      <c r="B95" t="s">
        <v>28</v>
      </c>
      <c r="C95" s="2">
        <v>9656</v>
      </c>
      <c r="D95" s="2">
        <v>1024</v>
      </c>
      <c r="E95" s="2">
        <v>615820</v>
      </c>
      <c r="F95" s="4">
        <v>1.40170829138385E-2</v>
      </c>
      <c r="G95" s="19">
        <v>8.7252768666168681</v>
      </c>
      <c r="H95" s="22">
        <v>58998</v>
      </c>
    </row>
    <row r="96" spans="1:8" x14ac:dyDescent="0.3">
      <c r="A96" s="21">
        <v>45607</v>
      </c>
      <c r="B96" t="s">
        <v>6</v>
      </c>
      <c r="C96" s="2">
        <v>5592</v>
      </c>
      <c r="D96" s="2">
        <v>710</v>
      </c>
      <c r="E96" s="2">
        <v>620702</v>
      </c>
      <c r="F96" s="4">
        <v>7.86528801260508E-3</v>
      </c>
      <c r="G96" s="19">
        <v>9.07118069540617</v>
      </c>
      <c r="H96" s="22">
        <v>24472</v>
      </c>
    </row>
    <row r="97" spans="1:8" x14ac:dyDescent="0.3">
      <c r="A97" s="21">
        <v>45607</v>
      </c>
      <c r="B97" t="s">
        <v>1</v>
      </c>
      <c r="C97" s="2">
        <v>5795</v>
      </c>
      <c r="D97" s="2">
        <v>575</v>
      </c>
      <c r="E97" s="2">
        <v>625922</v>
      </c>
      <c r="F97" s="4">
        <v>8.3396972785746391E-3</v>
      </c>
      <c r="G97" s="19">
        <v>3.0908004511744269</v>
      </c>
      <c r="H97" s="22">
        <v>55657</v>
      </c>
    </row>
    <row r="98" spans="1:8" x14ac:dyDescent="0.3">
      <c r="A98" s="21">
        <v>45614</v>
      </c>
      <c r="B98" t="s">
        <v>10</v>
      </c>
      <c r="C98" s="2">
        <v>5798</v>
      </c>
      <c r="D98" s="2">
        <v>592</v>
      </c>
      <c r="E98" s="2">
        <v>631128</v>
      </c>
      <c r="F98" s="4">
        <v>8.2487229214992797E-3</v>
      </c>
      <c r="G98" s="19">
        <v>1.6774727155188811</v>
      </c>
      <c r="H98" s="22">
        <v>13471</v>
      </c>
    </row>
    <row r="99" spans="1:8" x14ac:dyDescent="0.3">
      <c r="A99" s="21">
        <v>45614</v>
      </c>
      <c r="B99" t="s">
        <v>28</v>
      </c>
      <c r="C99" s="2">
        <v>7036</v>
      </c>
      <c r="D99" s="2">
        <v>652</v>
      </c>
      <c r="E99" s="2">
        <v>637512</v>
      </c>
      <c r="F99" s="4">
        <v>1.00139291495689E-2</v>
      </c>
      <c r="G99" s="19">
        <v>3.5705994553828009</v>
      </c>
      <c r="H99" s="22">
        <v>51796</v>
      </c>
    </row>
    <row r="100" spans="1:8" x14ac:dyDescent="0.3">
      <c r="A100" s="21">
        <v>45614</v>
      </c>
      <c r="B100" t="s">
        <v>6</v>
      </c>
      <c r="C100" s="2">
        <v>3355</v>
      </c>
      <c r="D100" s="2">
        <v>176</v>
      </c>
      <c r="E100" s="2">
        <v>640691</v>
      </c>
      <c r="F100" s="4">
        <v>4.96183027387618E-3</v>
      </c>
      <c r="G100" s="19">
        <v>12.426427091999111</v>
      </c>
      <c r="H100" s="22">
        <v>40268</v>
      </c>
    </row>
    <row r="101" spans="1:8" x14ac:dyDescent="0.3">
      <c r="A101" s="21">
        <v>45614</v>
      </c>
      <c r="B101" t="s">
        <v>6</v>
      </c>
      <c r="C101" s="2">
        <v>6887</v>
      </c>
      <c r="D101" s="2">
        <v>418</v>
      </c>
      <c r="E101" s="2">
        <v>647160</v>
      </c>
      <c r="F101" s="4">
        <v>9.9959824463811096E-3</v>
      </c>
      <c r="G101" s="19">
        <v>20.240280610668151</v>
      </c>
      <c r="H101" s="22">
        <v>18329</v>
      </c>
    </row>
    <row r="102" spans="1:8" x14ac:dyDescent="0.3">
      <c r="A102" s="21">
        <v>45621</v>
      </c>
      <c r="B102" t="s">
        <v>10</v>
      </c>
      <c r="C102" s="2">
        <v>8961</v>
      </c>
      <c r="D102" s="2">
        <v>476</v>
      </c>
      <c r="E102" s="2">
        <v>655645</v>
      </c>
      <c r="F102" s="4">
        <v>1.29414545981438E-2</v>
      </c>
      <c r="G102" s="19">
        <v>15.458517947974901</v>
      </c>
      <c r="H102" s="22">
        <v>44865</v>
      </c>
    </row>
    <row r="103" spans="1:8" x14ac:dyDescent="0.3">
      <c r="A103" s="21">
        <v>45621</v>
      </c>
      <c r="B103" t="s">
        <v>10</v>
      </c>
      <c r="C103" s="2">
        <v>6827</v>
      </c>
      <c r="D103" s="2">
        <v>775</v>
      </c>
      <c r="E103" s="2">
        <v>661697</v>
      </c>
      <c r="F103" s="4">
        <v>9.1461802003031598E-3</v>
      </c>
      <c r="G103" s="19">
        <v>15.96622018839439</v>
      </c>
      <c r="H103" s="22">
        <v>56850</v>
      </c>
    </row>
    <row r="104" spans="1:8" x14ac:dyDescent="0.3">
      <c r="A104" s="21">
        <v>45621</v>
      </c>
      <c r="B104" t="s">
        <v>6</v>
      </c>
      <c r="C104" s="2">
        <v>9737</v>
      </c>
      <c r="D104" s="2">
        <v>792</v>
      </c>
      <c r="E104" s="2">
        <v>670642</v>
      </c>
      <c r="F104" s="4">
        <v>1.33379657104685E-2</v>
      </c>
      <c r="G104" s="19">
        <v>5.301785453341723</v>
      </c>
      <c r="H104" s="22">
        <v>56698</v>
      </c>
    </row>
    <row r="105" spans="1:8" x14ac:dyDescent="0.3">
      <c r="A105" s="21">
        <v>45621</v>
      </c>
      <c r="B105" t="s">
        <v>1</v>
      </c>
      <c r="C105" s="2">
        <v>5719</v>
      </c>
      <c r="D105" s="2">
        <v>576</v>
      </c>
      <c r="E105" s="2">
        <v>675785</v>
      </c>
      <c r="F105" s="4">
        <v>7.6104086358827197E-3</v>
      </c>
      <c r="G105" s="19">
        <v>10.21656296011305</v>
      </c>
      <c r="H105" s="22">
        <v>38272</v>
      </c>
    </row>
    <row r="106" spans="1:8" x14ac:dyDescent="0.3">
      <c r="A106" s="21">
        <v>45628</v>
      </c>
      <c r="B106" t="s">
        <v>10</v>
      </c>
      <c r="C106" s="2">
        <v>1593</v>
      </c>
      <c r="D106" s="2">
        <v>224</v>
      </c>
      <c r="E106" s="2">
        <v>677154</v>
      </c>
      <c r="F106" s="4">
        <v>2.0216966893793699E-3</v>
      </c>
      <c r="G106" s="19">
        <v>4.1495730660972248</v>
      </c>
      <c r="H106" s="22">
        <v>52845</v>
      </c>
    </row>
    <row r="107" spans="1:8" x14ac:dyDescent="0.3">
      <c r="A107" s="21">
        <v>45628</v>
      </c>
      <c r="B107" t="s">
        <v>6</v>
      </c>
      <c r="C107" s="2">
        <v>5839</v>
      </c>
      <c r="D107" s="2">
        <v>437</v>
      </c>
      <c r="E107" s="2">
        <v>682556</v>
      </c>
      <c r="F107" s="4">
        <v>7.9143689309009099E-3</v>
      </c>
      <c r="G107" s="19">
        <v>17.44750613869045</v>
      </c>
      <c r="H107" s="22">
        <v>16397</v>
      </c>
    </row>
    <row r="108" spans="1:8" x14ac:dyDescent="0.3">
      <c r="A108" s="21">
        <v>45628</v>
      </c>
      <c r="B108" t="s">
        <v>10</v>
      </c>
      <c r="C108" s="2">
        <v>8394</v>
      </c>
      <c r="D108" s="2">
        <v>764</v>
      </c>
      <c r="E108" s="2">
        <v>690186</v>
      </c>
      <c r="F108" s="4">
        <v>1.10549909734477E-2</v>
      </c>
      <c r="G108" s="19">
        <v>6.3556780346167558</v>
      </c>
      <c r="H108" s="22">
        <v>42373</v>
      </c>
    </row>
    <row r="109" spans="1:8" x14ac:dyDescent="0.3">
      <c r="A109" s="21">
        <v>45628</v>
      </c>
      <c r="B109" t="s">
        <v>1</v>
      </c>
      <c r="C109" s="2">
        <v>4493</v>
      </c>
      <c r="D109" s="2">
        <v>564</v>
      </c>
      <c r="E109" s="2">
        <v>694115</v>
      </c>
      <c r="F109" s="4">
        <v>5.6604453152575597E-3</v>
      </c>
      <c r="G109" s="19">
        <v>16.625487131094989</v>
      </c>
      <c r="H109" s="22">
        <v>45525</v>
      </c>
    </row>
    <row r="110" spans="1:8" x14ac:dyDescent="0.3">
      <c r="A110" s="21">
        <v>45635</v>
      </c>
      <c r="B110" t="s">
        <v>28</v>
      </c>
      <c r="C110" s="2">
        <v>7164</v>
      </c>
      <c r="D110" s="2">
        <v>522</v>
      </c>
      <c r="E110" s="2">
        <v>700757</v>
      </c>
      <c r="F110" s="4">
        <v>9.4783213011072308E-3</v>
      </c>
      <c r="G110" s="19">
        <v>13.449169969047761</v>
      </c>
      <c r="H110" s="22">
        <v>34570</v>
      </c>
    </row>
    <row r="111" spans="1:8" x14ac:dyDescent="0.3">
      <c r="A111" s="21">
        <v>45635</v>
      </c>
      <c r="B111" t="s">
        <v>10</v>
      </c>
      <c r="C111" s="2">
        <v>3672</v>
      </c>
      <c r="D111" s="2">
        <v>211</v>
      </c>
      <c r="E111" s="2">
        <v>704218</v>
      </c>
      <c r="F111" s="4">
        <v>4.9146713091684701E-3</v>
      </c>
      <c r="G111" s="19">
        <v>12.35057894004413</v>
      </c>
      <c r="H111" s="22">
        <v>28284</v>
      </c>
    </row>
    <row r="112" spans="1:8" x14ac:dyDescent="0.3">
      <c r="A112" s="21">
        <v>45635</v>
      </c>
      <c r="B112" t="s">
        <v>1</v>
      </c>
      <c r="C112" s="2">
        <v>5200</v>
      </c>
      <c r="D112" s="2">
        <v>410</v>
      </c>
      <c r="E112" s="2">
        <v>709008</v>
      </c>
      <c r="F112" s="4">
        <v>6.7559181278631598E-3</v>
      </c>
      <c r="G112" s="19">
        <v>12.913394489201821</v>
      </c>
      <c r="H112" s="22">
        <v>28994</v>
      </c>
    </row>
    <row r="113" spans="1:8" x14ac:dyDescent="0.3">
      <c r="A113" s="21">
        <v>45635</v>
      </c>
      <c r="B113" t="s">
        <v>6</v>
      </c>
      <c r="C113" s="2">
        <v>1016</v>
      </c>
      <c r="D113" s="2">
        <v>67</v>
      </c>
      <c r="E113" s="2">
        <v>709957</v>
      </c>
      <c r="F113" s="4">
        <v>1.3367006734210699E-3</v>
      </c>
      <c r="G113" s="19">
        <v>20.774215903216671</v>
      </c>
      <c r="H113" s="22">
        <v>33284</v>
      </c>
    </row>
    <row r="114" spans="1:8" x14ac:dyDescent="0.3">
      <c r="A114" s="21">
        <v>45642</v>
      </c>
      <c r="B114" t="s">
        <v>10</v>
      </c>
      <c r="C114" s="2">
        <v>4191</v>
      </c>
      <c r="D114" s="2">
        <v>599</v>
      </c>
      <c r="E114" s="2">
        <v>713549</v>
      </c>
      <c r="F114" s="4">
        <v>5.0339920594100803E-3</v>
      </c>
      <c r="G114" s="19">
        <v>11.56416728213479</v>
      </c>
      <c r="H114" s="22">
        <v>27833</v>
      </c>
    </row>
    <row r="115" spans="1:8" x14ac:dyDescent="0.3">
      <c r="A115" s="21">
        <v>45642</v>
      </c>
      <c r="B115" t="s">
        <v>10</v>
      </c>
      <c r="C115" s="2">
        <v>1392</v>
      </c>
      <c r="D115" s="2">
        <v>182</v>
      </c>
      <c r="E115" s="2">
        <v>714759</v>
      </c>
      <c r="F115" s="4">
        <v>1.69287829883919E-3</v>
      </c>
      <c r="G115" s="19">
        <v>5.9603306848881932</v>
      </c>
      <c r="H115" s="22">
        <v>35122</v>
      </c>
    </row>
    <row r="116" spans="1:8" x14ac:dyDescent="0.3">
      <c r="A116" s="21">
        <v>45642</v>
      </c>
      <c r="B116" t="s">
        <v>6</v>
      </c>
      <c r="C116" s="2">
        <v>9616</v>
      </c>
      <c r="D116" s="2">
        <v>1089</v>
      </c>
      <c r="E116" s="2">
        <v>723286</v>
      </c>
      <c r="F116" s="4">
        <v>1.17892507251627E-2</v>
      </c>
      <c r="G116" s="19">
        <v>19.25863351426683</v>
      </c>
      <c r="H116" s="22">
        <v>15017</v>
      </c>
    </row>
    <row r="117" spans="1:8" x14ac:dyDescent="0.3">
      <c r="A117" s="21">
        <v>45642</v>
      </c>
      <c r="B117" t="s">
        <v>28</v>
      </c>
      <c r="C117" s="2">
        <v>7272</v>
      </c>
      <c r="D117" s="2">
        <v>997</v>
      </c>
      <c r="E117" s="2">
        <v>729561</v>
      </c>
      <c r="F117" s="4">
        <v>8.6010628309353201E-3</v>
      </c>
      <c r="G117" s="19">
        <v>13.428486445958599</v>
      </c>
      <c r="H117" s="22">
        <v>26370</v>
      </c>
    </row>
    <row r="118" spans="1:8" x14ac:dyDescent="0.3">
      <c r="A118" s="21">
        <v>45649</v>
      </c>
      <c r="B118" t="s">
        <v>6</v>
      </c>
      <c r="C118" s="2">
        <v>1571</v>
      </c>
      <c r="D118" s="2">
        <v>204</v>
      </c>
      <c r="E118" s="2">
        <v>730928</v>
      </c>
      <c r="F118" s="4">
        <v>1.8702252479040301E-3</v>
      </c>
      <c r="G118" s="19">
        <v>19.449384891535139</v>
      </c>
      <c r="H118" s="22">
        <v>39252</v>
      </c>
    </row>
    <row r="119" spans="1:8" x14ac:dyDescent="0.3">
      <c r="A119" s="21">
        <v>45649</v>
      </c>
      <c r="B119" t="s">
        <v>10</v>
      </c>
      <c r="C119" s="2">
        <v>4631</v>
      </c>
      <c r="D119" s="2">
        <v>317</v>
      </c>
      <c r="E119" s="2">
        <v>735242</v>
      </c>
      <c r="F119" s="4">
        <v>5.8674558852731496E-3</v>
      </c>
      <c r="G119" s="19">
        <v>1.381177897889402</v>
      </c>
      <c r="H119" s="22">
        <v>17999</v>
      </c>
    </row>
    <row r="120" spans="1:8" x14ac:dyDescent="0.3">
      <c r="A120" s="21">
        <v>45649</v>
      </c>
      <c r="B120" t="s">
        <v>6</v>
      </c>
      <c r="C120" s="2">
        <v>7172</v>
      </c>
      <c r="D120" s="2">
        <v>998</v>
      </c>
      <c r="E120" s="2">
        <v>741416</v>
      </c>
      <c r="F120" s="4">
        <v>8.32730882527488E-3</v>
      </c>
      <c r="G120" s="19">
        <v>18.0667803230575</v>
      </c>
      <c r="H120" s="22">
        <v>32436</v>
      </c>
    </row>
    <row r="121" spans="1:8" x14ac:dyDescent="0.3">
      <c r="A121" s="21">
        <v>45649</v>
      </c>
      <c r="B121" t="s">
        <v>1</v>
      </c>
      <c r="C121" s="2">
        <v>8177</v>
      </c>
      <c r="D121" s="2">
        <v>849</v>
      </c>
      <c r="E121" s="2">
        <v>748744</v>
      </c>
      <c r="F121" s="4">
        <v>9.78705672432768E-3</v>
      </c>
      <c r="G121" s="19">
        <v>10.34986590877523</v>
      </c>
      <c r="H121" s="22">
        <v>52963</v>
      </c>
    </row>
    <row r="122" spans="1:8" x14ac:dyDescent="0.3">
      <c r="A122" s="21">
        <v>45656</v>
      </c>
      <c r="B122" t="s">
        <v>6</v>
      </c>
      <c r="C122" s="2">
        <v>9433</v>
      </c>
      <c r="D122" s="2">
        <v>1233</v>
      </c>
      <c r="E122" s="2">
        <v>756944</v>
      </c>
      <c r="F122" s="4">
        <v>1.08330338836162E-2</v>
      </c>
      <c r="G122" s="19">
        <v>11.391727789638329</v>
      </c>
      <c r="H122" s="22">
        <v>12096</v>
      </c>
    </row>
    <row r="123" spans="1:8" x14ac:dyDescent="0.3">
      <c r="A123" s="21">
        <v>45656</v>
      </c>
      <c r="B123" t="s">
        <v>10</v>
      </c>
      <c r="C123" s="2">
        <v>4897</v>
      </c>
      <c r="D123" s="2">
        <v>683</v>
      </c>
      <c r="E123" s="2">
        <v>761158</v>
      </c>
      <c r="F123" s="4">
        <v>5.5363012672795904E-3</v>
      </c>
      <c r="G123" s="19">
        <v>15.06231294947961</v>
      </c>
      <c r="H123" s="22">
        <v>58201</v>
      </c>
    </row>
    <row r="124" spans="1:8" x14ac:dyDescent="0.3">
      <c r="A124" s="21">
        <v>45656</v>
      </c>
      <c r="B124" t="s">
        <v>6</v>
      </c>
      <c r="C124" s="2">
        <v>9123</v>
      </c>
      <c r="D124" s="2">
        <v>746</v>
      </c>
      <c r="E124" s="2">
        <v>769535</v>
      </c>
      <c r="F124" s="4">
        <v>1.0885794668208699E-2</v>
      </c>
      <c r="G124" s="19">
        <v>6.3086149427901264</v>
      </c>
      <c r="H124" s="22">
        <v>35279</v>
      </c>
    </row>
    <row r="125" spans="1:8" x14ac:dyDescent="0.3">
      <c r="A125" s="21">
        <v>45656</v>
      </c>
      <c r="B125" t="s">
        <v>28</v>
      </c>
      <c r="C125" s="2">
        <v>3279</v>
      </c>
      <c r="D125" s="2">
        <v>200</v>
      </c>
      <c r="E125" s="2">
        <v>772614</v>
      </c>
      <c r="F125" s="4">
        <v>3.9851724146857297E-3</v>
      </c>
      <c r="G125" s="19">
        <v>5.0212654702089274</v>
      </c>
      <c r="H125" s="22">
        <v>53363</v>
      </c>
    </row>
    <row r="126" spans="1:8" x14ac:dyDescent="0.3">
      <c r="A126" s="21">
        <v>45663</v>
      </c>
      <c r="B126" t="s">
        <v>6</v>
      </c>
      <c r="C126" s="2">
        <v>9980</v>
      </c>
      <c r="D126" s="2">
        <v>726</v>
      </c>
      <c r="E126" s="2">
        <v>781868</v>
      </c>
      <c r="F126" s="4">
        <v>1.18357574424327E-2</v>
      </c>
      <c r="G126" s="19">
        <v>4.0220344099003924</v>
      </c>
      <c r="H126" s="22">
        <v>58709</v>
      </c>
    </row>
    <row r="127" spans="1:8" x14ac:dyDescent="0.3">
      <c r="A127" s="21">
        <v>45663</v>
      </c>
      <c r="B127" t="s">
        <v>28</v>
      </c>
      <c r="C127" s="2">
        <v>8451</v>
      </c>
      <c r="D127" s="2">
        <v>783</v>
      </c>
      <c r="E127" s="2">
        <v>789536</v>
      </c>
      <c r="F127" s="4">
        <v>9.7120333968305408E-3</v>
      </c>
      <c r="G127" s="19">
        <v>12.407287318121019</v>
      </c>
      <c r="H127" s="22">
        <v>36201</v>
      </c>
    </row>
    <row r="128" spans="1:8" x14ac:dyDescent="0.3">
      <c r="A128" s="21">
        <v>45663</v>
      </c>
      <c r="B128" t="s">
        <v>1</v>
      </c>
      <c r="C128" s="2">
        <v>9906</v>
      </c>
      <c r="D128" s="2">
        <v>1305</v>
      </c>
      <c r="E128" s="2">
        <v>798137</v>
      </c>
      <c r="F128" s="4">
        <v>1.0776345414383701E-2</v>
      </c>
      <c r="G128" s="19">
        <v>9.1811305577864442</v>
      </c>
      <c r="H128" s="22">
        <v>29715</v>
      </c>
    </row>
    <row r="129" spans="1:8" x14ac:dyDescent="0.3">
      <c r="A129" s="21">
        <v>45663</v>
      </c>
      <c r="B129" t="s">
        <v>28</v>
      </c>
      <c r="C129" s="2">
        <v>1775</v>
      </c>
      <c r="D129" s="2">
        <v>241</v>
      </c>
      <c r="E129" s="2">
        <v>799671</v>
      </c>
      <c r="F129" s="4">
        <v>1.91828889630861E-3</v>
      </c>
      <c r="G129" s="19">
        <v>8.1379717408784362</v>
      </c>
      <c r="H129" s="22">
        <v>39309</v>
      </c>
    </row>
    <row r="130" spans="1:8" x14ac:dyDescent="0.3">
      <c r="A130" s="21">
        <v>45670</v>
      </c>
      <c r="B130" t="s">
        <v>6</v>
      </c>
      <c r="C130" s="2">
        <v>7869</v>
      </c>
      <c r="D130" s="2">
        <v>398</v>
      </c>
      <c r="E130" s="2">
        <v>807142</v>
      </c>
      <c r="F130" s="4">
        <v>9.2561160241940096E-3</v>
      </c>
      <c r="G130" s="19">
        <v>15.211945357818079</v>
      </c>
      <c r="H130" s="22">
        <v>25078</v>
      </c>
    </row>
    <row r="131" spans="1:8" x14ac:dyDescent="0.3">
      <c r="A131" s="21">
        <v>45670</v>
      </c>
      <c r="B131" t="s">
        <v>10</v>
      </c>
      <c r="C131" s="2">
        <v>3247</v>
      </c>
      <c r="D131" s="2">
        <v>328</v>
      </c>
      <c r="E131" s="2">
        <v>810061</v>
      </c>
      <c r="F131" s="4">
        <v>3.6034323341081701E-3</v>
      </c>
      <c r="G131" s="19">
        <v>13.941172331466399</v>
      </c>
      <c r="H131" s="22">
        <v>15105</v>
      </c>
    </row>
    <row r="132" spans="1:8" x14ac:dyDescent="0.3">
      <c r="A132" s="21">
        <v>45670</v>
      </c>
      <c r="B132" t="s">
        <v>28</v>
      </c>
      <c r="C132" s="2">
        <v>8088</v>
      </c>
      <c r="D132" s="2">
        <v>742</v>
      </c>
      <c r="E132" s="2">
        <v>817407</v>
      </c>
      <c r="F132" s="4">
        <v>8.9869550909155403E-3</v>
      </c>
      <c r="G132" s="19">
        <v>14.664542877660701</v>
      </c>
      <c r="H132" s="22">
        <v>39312</v>
      </c>
    </row>
    <row r="133" spans="1:8" x14ac:dyDescent="0.3">
      <c r="A133" s="21">
        <v>45670</v>
      </c>
      <c r="B133" t="s">
        <v>1</v>
      </c>
      <c r="C133" s="2">
        <v>1078</v>
      </c>
      <c r="D133" s="2">
        <v>77</v>
      </c>
      <c r="E133" s="2">
        <v>818408</v>
      </c>
      <c r="F133" s="4">
        <v>1.22310632349635E-3</v>
      </c>
      <c r="G133" s="19">
        <v>18.236747441373989</v>
      </c>
      <c r="H133" s="22">
        <v>12839</v>
      </c>
    </row>
    <row r="134" spans="1:8" x14ac:dyDescent="0.3">
      <c r="A134" s="21">
        <v>45677</v>
      </c>
      <c r="B134" t="s">
        <v>28</v>
      </c>
      <c r="C134" s="2">
        <v>9080</v>
      </c>
      <c r="D134" s="2">
        <v>562</v>
      </c>
      <c r="E134" s="2">
        <v>826926</v>
      </c>
      <c r="F134" s="4">
        <v>1.03008007971693E-2</v>
      </c>
      <c r="G134" s="19">
        <v>7.1083748727213809</v>
      </c>
      <c r="H134" s="22">
        <v>13384</v>
      </c>
    </row>
    <row r="135" spans="1:8" x14ac:dyDescent="0.3">
      <c r="A135" s="21">
        <v>45677</v>
      </c>
      <c r="B135" t="s">
        <v>28</v>
      </c>
      <c r="C135" s="2">
        <v>8099</v>
      </c>
      <c r="D135" s="2">
        <v>678</v>
      </c>
      <c r="E135" s="2">
        <v>834347</v>
      </c>
      <c r="F135" s="4">
        <v>8.8943808751035195E-3</v>
      </c>
      <c r="G135" s="19">
        <v>7.6464588474579518</v>
      </c>
      <c r="H135" s="22">
        <v>53619</v>
      </c>
    </row>
    <row r="136" spans="1:8" x14ac:dyDescent="0.3">
      <c r="A136" s="21">
        <v>45677</v>
      </c>
      <c r="B136" t="s">
        <v>28</v>
      </c>
      <c r="C136" s="2">
        <v>4926</v>
      </c>
      <c r="D136" s="2">
        <v>710</v>
      </c>
      <c r="E136" s="2">
        <v>838563</v>
      </c>
      <c r="F136" s="4">
        <v>5.0276484891415398E-3</v>
      </c>
      <c r="G136" s="19">
        <v>12.96217457722318</v>
      </c>
      <c r="H136" s="22">
        <v>52821</v>
      </c>
    </row>
    <row r="137" spans="1:8" x14ac:dyDescent="0.3">
      <c r="A137" s="21">
        <v>45677</v>
      </c>
      <c r="B137" t="s">
        <v>1</v>
      </c>
      <c r="C137" s="2">
        <v>8340</v>
      </c>
      <c r="D137" s="2">
        <v>686</v>
      </c>
      <c r="E137" s="2">
        <v>846217</v>
      </c>
      <c r="F137" s="4">
        <v>9.04496128061715E-3</v>
      </c>
      <c r="G137" s="19">
        <v>7.201344336027284</v>
      </c>
      <c r="H137" s="22">
        <v>23493</v>
      </c>
    </row>
    <row r="138" spans="1:8" x14ac:dyDescent="0.3">
      <c r="A138" s="21">
        <v>45684</v>
      </c>
      <c r="B138" t="s">
        <v>6</v>
      </c>
      <c r="C138" s="2">
        <v>8083</v>
      </c>
      <c r="D138" s="2">
        <v>823</v>
      </c>
      <c r="E138" s="2">
        <v>853477</v>
      </c>
      <c r="F138" s="4">
        <v>8.5063803711172108E-3</v>
      </c>
      <c r="G138" s="19">
        <v>4.6300017457998282</v>
      </c>
      <c r="H138" s="22">
        <v>27069</v>
      </c>
    </row>
    <row r="139" spans="1:8" x14ac:dyDescent="0.3">
      <c r="A139" s="21">
        <v>45684</v>
      </c>
      <c r="B139" t="s">
        <v>28</v>
      </c>
      <c r="C139" s="2">
        <v>7230</v>
      </c>
      <c r="D139" s="2">
        <v>869</v>
      </c>
      <c r="E139" s="2">
        <v>859838</v>
      </c>
      <c r="F139" s="4">
        <v>7.397905186791E-3</v>
      </c>
      <c r="G139" s="19">
        <v>7.0117859410726204</v>
      </c>
      <c r="H139" s="22">
        <v>56907</v>
      </c>
    </row>
    <row r="140" spans="1:8" x14ac:dyDescent="0.3">
      <c r="A140" s="21">
        <v>45684</v>
      </c>
      <c r="B140" t="s">
        <v>28</v>
      </c>
      <c r="C140" s="2">
        <v>5940</v>
      </c>
      <c r="D140" s="2">
        <v>512</v>
      </c>
      <c r="E140" s="2">
        <v>865266</v>
      </c>
      <c r="F140" s="4">
        <v>6.2732154042802997E-3</v>
      </c>
      <c r="G140" s="19">
        <v>15.7972230504839</v>
      </c>
      <c r="H140" s="22">
        <v>17531</v>
      </c>
    </row>
    <row r="141" spans="1:8" x14ac:dyDescent="0.3">
      <c r="A141" s="21">
        <v>45684</v>
      </c>
      <c r="B141" t="s">
        <v>10</v>
      </c>
      <c r="C141" s="2">
        <v>4271</v>
      </c>
      <c r="D141" s="2">
        <v>628</v>
      </c>
      <c r="E141" s="2">
        <v>868909</v>
      </c>
      <c r="F141" s="4">
        <v>4.1926139561219902E-3</v>
      </c>
      <c r="G141" s="19">
        <v>11.124410036033691</v>
      </c>
      <c r="H141" s="22">
        <v>47051</v>
      </c>
    </row>
    <row r="142" spans="1:8" x14ac:dyDescent="0.3">
      <c r="A142" s="21">
        <v>45691</v>
      </c>
      <c r="B142" t="s">
        <v>1</v>
      </c>
      <c r="C142" s="2">
        <v>4456</v>
      </c>
      <c r="D142" s="2">
        <v>651</v>
      </c>
      <c r="E142" s="2">
        <v>872714</v>
      </c>
      <c r="F142" s="4">
        <v>4.3599621410908996E-3</v>
      </c>
      <c r="G142" s="19">
        <v>9.5052903929580594</v>
      </c>
      <c r="H142" s="22">
        <v>17736</v>
      </c>
    </row>
    <row r="143" spans="1:8" x14ac:dyDescent="0.3">
      <c r="A143" s="21">
        <v>45691</v>
      </c>
      <c r="B143" t="s">
        <v>28</v>
      </c>
      <c r="C143" s="2">
        <v>8788</v>
      </c>
      <c r="D143" s="2">
        <v>660</v>
      </c>
      <c r="E143" s="2">
        <v>880842</v>
      </c>
      <c r="F143" s="4">
        <v>9.2275345635198999E-3</v>
      </c>
      <c r="G143" s="19">
        <v>3.7175793161543158</v>
      </c>
      <c r="H143" s="22">
        <v>17710</v>
      </c>
    </row>
    <row r="144" spans="1:8" x14ac:dyDescent="0.3">
      <c r="A144" s="21">
        <v>45691</v>
      </c>
      <c r="B144" t="s">
        <v>1</v>
      </c>
      <c r="C144" s="2">
        <v>9599</v>
      </c>
      <c r="D144" s="2">
        <v>957</v>
      </c>
      <c r="E144" s="2">
        <v>889484</v>
      </c>
      <c r="F144" s="4">
        <v>9.7157453085159502E-3</v>
      </c>
      <c r="G144" s="19">
        <v>8.768004820772493</v>
      </c>
      <c r="H144" s="22">
        <v>11619</v>
      </c>
    </row>
    <row r="145" spans="1:8" x14ac:dyDescent="0.3">
      <c r="A145" s="21">
        <v>45691</v>
      </c>
      <c r="B145" t="s">
        <v>28</v>
      </c>
      <c r="C145" s="2">
        <v>8650</v>
      </c>
      <c r="D145" s="2">
        <v>692</v>
      </c>
      <c r="E145" s="2">
        <v>897442</v>
      </c>
      <c r="F145" s="4">
        <v>8.8674254157928897E-3</v>
      </c>
      <c r="G145" s="19">
        <v>7.6673478620345374</v>
      </c>
      <c r="H145" s="22">
        <v>23975</v>
      </c>
    </row>
    <row r="146" spans="1:8" x14ac:dyDescent="0.3">
      <c r="A146" s="21">
        <v>45698</v>
      </c>
      <c r="B146" t="s">
        <v>6</v>
      </c>
      <c r="C146" s="2">
        <v>3711</v>
      </c>
      <c r="D146" s="2">
        <v>291</v>
      </c>
      <c r="E146" s="2">
        <v>900862</v>
      </c>
      <c r="F146" s="4">
        <v>3.7963639269943698E-3</v>
      </c>
      <c r="G146" s="19">
        <v>14.24879726306582</v>
      </c>
      <c r="H146" s="22">
        <v>55603</v>
      </c>
    </row>
    <row r="147" spans="1:8" x14ac:dyDescent="0.3">
      <c r="A147" s="21">
        <v>45698</v>
      </c>
      <c r="B147" t="s">
        <v>6</v>
      </c>
      <c r="C147" s="2">
        <v>2668</v>
      </c>
      <c r="D147" s="2">
        <v>143</v>
      </c>
      <c r="E147" s="2">
        <v>903387</v>
      </c>
      <c r="F147" s="4">
        <v>2.79503690002181E-3</v>
      </c>
      <c r="G147" s="19">
        <v>15.903372530266649</v>
      </c>
      <c r="H147" s="22">
        <v>33252</v>
      </c>
    </row>
    <row r="148" spans="1:8" x14ac:dyDescent="0.3">
      <c r="A148" s="21">
        <v>45698</v>
      </c>
      <c r="B148" t="s">
        <v>28</v>
      </c>
      <c r="C148" s="2">
        <v>1147</v>
      </c>
      <c r="D148" s="2">
        <v>127</v>
      </c>
      <c r="E148" s="2">
        <v>904407</v>
      </c>
      <c r="F148" s="4">
        <v>1.12781081968627E-3</v>
      </c>
      <c r="G148" s="19">
        <v>1.3997016829812241</v>
      </c>
      <c r="H148" s="22">
        <v>25261</v>
      </c>
    </row>
    <row r="149" spans="1:8" x14ac:dyDescent="0.3">
      <c r="A149" s="21">
        <v>45698</v>
      </c>
      <c r="B149" t="s">
        <v>6</v>
      </c>
      <c r="C149" s="2">
        <v>7420</v>
      </c>
      <c r="D149" s="2">
        <v>743</v>
      </c>
      <c r="E149" s="2">
        <v>911084</v>
      </c>
      <c r="F149" s="4">
        <v>7.3286327056561202E-3</v>
      </c>
      <c r="G149" s="19">
        <v>10.593534734448189</v>
      </c>
      <c r="H149" s="22">
        <v>11431</v>
      </c>
    </row>
    <row r="150" spans="1:8" x14ac:dyDescent="0.3">
      <c r="A150" s="21">
        <v>45705</v>
      </c>
      <c r="B150" t="s">
        <v>28</v>
      </c>
      <c r="C150" s="2">
        <v>1365</v>
      </c>
      <c r="D150" s="2">
        <v>75</v>
      </c>
      <c r="E150" s="2">
        <v>912374</v>
      </c>
      <c r="F150" s="4">
        <v>1.4138938637006299E-3</v>
      </c>
      <c r="G150" s="19">
        <v>9.2688963078737441</v>
      </c>
      <c r="H150" s="22">
        <v>19067</v>
      </c>
    </row>
    <row r="151" spans="1:8" x14ac:dyDescent="0.3">
      <c r="A151" s="21">
        <v>45705</v>
      </c>
      <c r="B151" t="s">
        <v>6</v>
      </c>
      <c r="C151" s="2">
        <v>5531</v>
      </c>
      <c r="D151" s="2">
        <v>430</v>
      </c>
      <c r="E151" s="2">
        <v>917475</v>
      </c>
      <c r="F151" s="4">
        <v>5.5598245183792498E-3</v>
      </c>
      <c r="G151" s="19">
        <v>2.7289026948963189</v>
      </c>
      <c r="H151" s="22">
        <v>47481</v>
      </c>
    </row>
    <row r="152" spans="1:8" x14ac:dyDescent="0.3">
      <c r="A152" s="21">
        <v>45705</v>
      </c>
      <c r="B152" t="s">
        <v>10</v>
      </c>
      <c r="C152" s="2">
        <v>6330</v>
      </c>
      <c r="D152" s="2">
        <v>891</v>
      </c>
      <c r="E152" s="2">
        <v>922914</v>
      </c>
      <c r="F152" s="4">
        <v>5.8932901657142503E-3</v>
      </c>
      <c r="G152" s="19">
        <v>14.789893749580139</v>
      </c>
      <c r="H152" s="22">
        <v>37037</v>
      </c>
    </row>
    <row r="153" spans="1:8" x14ac:dyDescent="0.3">
      <c r="A153" s="21">
        <v>45705</v>
      </c>
      <c r="B153" t="s">
        <v>10</v>
      </c>
      <c r="C153" s="2">
        <v>6510</v>
      </c>
      <c r="D153" s="2">
        <v>481</v>
      </c>
      <c r="E153" s="2">
        <v>928943</v>
      </c>
      <c r="F153" s="4">
        <v>6.4901721634158397E-3</v>
      </c>
      <c r="G153" s="19">
        <v>2.3800168578696428</v>
      </c>
      <c r="H153" s="22">
        <v>19557</v>
      </c>
    </row>
    <row r="154" spans="1:8" x14ac:dyDescent="0.3">
      <c r="A154" s="21">
        <v>45712</v>
      </c>
      <c r="B154" t="s">
        <v>10</v>
      </c>
      <c r="C154" s="2">
        <v>9754</v>
      </c>
      <c r="D154" s="2">
        <v>629</v>
      </c>
      <c r="E154" s="2">
        <v>938068</v>
      </c>
      <c r="F154" s="4">
        <v>9.7274398018054094E-3</v>
      </c>
      <c r="G154" s="19">
        <v>3.4123325814333292</v>
      </c>
      <c r="H154" s="22">
        <v>19435</v>
      </c>
    </row>
    <row r="155" spans="1:8" x14ac:dyDescent="0.3">
      <c r="A155" s="21">
        <v>45712</v>
      </c>
      <c r="B155" t="s">
        <v>1</v>
      </c>
      <c r="C155" s="2">
        <v>9964</v>
      </c>
      <c r="D155" s="2">
        <v>985</v>
      </c>
      <c r="E155" s="2">
        <v>947047</v>
      </c>
      <c r="F155" s="4">
        <v>9.4810500429228992E-3</v>
      </c>
      <c r="G155" s="19">
        <v>1.9837452629066989</v>
      </c>
      <c r="H155" s="22">
        <v>47766</v>
      </c>
    </row>
    <row r="156" spans="1:8" x14ac:dyDescent="0.3">
      <c r="A156" s="21">
        <v>45712</v>
      </c>
      <c r="B156" t="s">
        <v>1</v>
      </c>
      <c r="C156" s="2">
        <v>7493</v>
      </c>
      <c r="D156" s="2">
        <v>1113</v>
      </c>
      <c r="E156" s="2">
        <v>953427</v>
      </c>
      <c r="F156" s="4">
        <v>6.6916502259743004E-3</v>
      </c>
      <c r="G156" s="19">
        <v>15.684892498324469</v>
      </c>
      <c r="H156" s="22">
        <v>10162</v>
      </c>
    </row>
    <row r="157" spans="1:8" x14ac:dyDescent="0.3">
      <c r="A157" s="21">
        <v>45712</v>
      </c>
      <c r="B157" t="s">
        <v>10</v>
      </c>
      <c r="C157" s="2">
        <v>6439</v>
      </c>
      <c r="D157" s="2">
        <v>477</v>
      </c>
      <c r="E157" s="2">
        <v>959389</v>
      </c>
      <c r="F157" s="4">
        <v>6.2143718554204799E-3</v>
      </c>
      <c r="G157" s="19">
        <v>7.4744446725989153</v>
      </c>
      <c r="H157" s="22">
        <v>44742</v>
      </c>
    </row>
    <row r="158" spans="1:8" x14ac:dyDescent="0.3">
      <c r="A158" s="21">
        <v>45719</v>
      </c>
      <c r="B158" t="s">
        <v>1</v>
      </c>
      <c r="C158" s="2">
        <v>7511</v>
      </c>
      <c r="D158" s="2">
        <v>880</v>
      </c>
      <c r="E158" s="2">
        <v>966020</v>
      </c>
      <c r="F158" s="4">
        <v>6.8642471170369196E-3</v>
      </c>
      <c r="G158" s="19">
        <v>4.6083932009689246</v>
      </c>
      <c r="H158" s="22">
        <v>29675</v>
      </c>
    </row>
    <row r="159" spans="1:8" x14ac:dyDescent="0.3">
      <c r="A159" s="21">
        <v>45719</v>
      </c>
      <c r="B159" t="s">
        <v>6</v>
      </c>
      <c r="C159" s="2">
        <v>8504</v>
      </c>
      <c r="D159" s="2">
        <v>1072</v>
      </c>
      <c r="E159" s="2">
        <v>973452</v>
      </c>
      <c r="F159" s="4">
        <v>7.6346856342172E-3</v>
      </c>
      <c r="G159" s="19">
        <v>6.5651927367759271</v>
      </c>
      <c r="H159" s="22">
        <v>18461</v>
      </c>
    </row>
    <row r="160" spans="1:8" x14ac:dyDescent="0.3">
      <c r="A160" s="21">
        <v>45719</v>
      </c>
      <c r="B160" t="s">
        <v>28</v>
      </c>
      <c r="C160" s="2">
        <v>2246</v>
      </c>
      <c r="D160" s="2">
        <v>165</v>
      </c>
      <c r="E160" s="2">
        <v>975533</v>
      </c>
      <c r="F160" s="4">
        <v>2.1331928289458199E-3</v>
      </c>
      <c r="G160" s="19">
        <v>2.9062061457685191</v>
      </c>
      <c r="H160" s="22">
        <v>27015</v>
      </c>
    </row>
    <row r="161" spans="1:8" x14ac:dyDescent="0.3">
      <c r="A161" s="21">
        <v>45719</v>
      </c>
      <c r="B161" t="s">
        <v>28</v>
      </c>
      <c r="C161" s="2">
        <v>4839</v>
      </c>
      <c r="D161" s="2">
        <v>594</v>
      </c>
      <c r="E161" s="2">
        <v>979778</v>
      </c>
      <c r="F161" s="4">
        <v>4.3326141227910796E-3</v>
      </c>
      <c r="G161" s="19">
        <v>2.5803804535313102</v>
      </c>
      <c r="H161" s="22">
        <v>42591</v>
      </c>
    </row>
    <row r="162" spans="1:8" x14ac:dyDescent="0.3">
      <c r="A162" s="21">
        <v>45726</v>
      </c>
      <c r="B162" t="s">
        <v>28</v>
      </c>
      <c r="C162" s="2">
        <v>9551</v>
      </c>
      <c r="D162" s="2">
        <v>828</v>
      </c>
      <c r="E162" s="2">
        <v>988501</v>
      </c>
      <c r="F162" s="4">
        <v>8.8244726105487E-3</v>
      </c>
      <c r="G162" s="19">
        <v>1.525036393488727</v>
      </c>
      <c r="H162" s="22">
        <v>38047</v>
      </c>
    </row>
    <row r="163" spans="1:8" x14ac:dyDescent="0.3">
      <c r="A163" s="21">
        <v>45726</v>
      </c>
      <c r="B163" t="s">
        <v>10</v>
      </c>
      <c r="C163" s="2">
        <v>3376</v>
      </c>
      <c r="D163" s="2">
        <v>382</v>
      </c>
      <c r="E163" s="2">
        <v>991495</v>
      </c>
      <c r="F163" s="4">
        <v>3.0196823988018098E-3</v>
      </c>
      <c r="G163" s="19">
        <v>3.8694093263203548</v>
      </c>
      <c r="H163" s="22">
        <v>44782</v>
      </c>
    </row>
    <row r="164" spans="1:8" x14ac:dyDescent="0.3">
      <c r="A164" s="21">
        <v>45726</v>
      </c>
      <c r="B164" t="s">
        <v>1</v>
      </c>
      <c r="C164" s="2">
        <v>4009</v>
      </c>
      <c r="D164" s="2">
        <v>454</v>
      </c>
      <c r="E164" s="2">
        <v>995050</v>
      </c>
      <c r="F164" s="4">
        <v>3.5726847897090599E-3</v>
      </c>
      <c r="G164" s="19">
        <v>2.1106477061454201</v>
      </c>
      <c r="H164" s="22">
        <v>19833</v>
      </c>
    </row>
    <row r="165" spans="1:8" x14ac:dyDescent="0.3">
      <c r="A165" s="21">
        <v>45726</v>
      </c>
      <c r="B165" t="s">
        <v>6</v>
      </c>
      <c r="C165" s="2">
        <v>2827</v>
      </c>
      <c r="D165" s="2">
        <v>292</v>
      </c>
      <c r="E165" s="2">
        <v>997585</v>
      </c>
      <c r="F165" s="4">
        <v>2.5411368454818402E-3</v>
      </c>
      <c r="G165" s="19">
        <v>2.4004972007397871</v>
      </c>
      <c r="H165" s="22">
        <v>17896</v>
      </c>
    </row>
    <row r="166" spans="1:8" x14ac:dyDescent="0.3">
      <c r="A166" s="21">
        <v>45733</v>
      </c>
      <c r="B166" t="s">
        <v>6</v>
      </c>
      <c r="C166" s="2">
        <v>7979</v>
      </c>
      <c r="D166" s="2">
        <v>470</v>
      </c>
      <c r="E166" s="2">
        <v>1005094</v>
      </c>
      <c r="F166" s="4">
        <v>7.4709430162751E-3</v>
      </c>
      <c r="G166" s="19">
        <v>10.43086517280971</v>
      </c>
      <c r="H166" s="22">
        <v>42972</v>
      </c>
    </row>
    <row r="167" spans="1:8" x14ac:dyDescent="0.3">
      <c r="A167" s="21">
        <v>45733</v>
      </c>
      <c r="B167" t="s">
        <v>10</v>
      </c>
      <c r="C167" s="2">
        <v>9569</v>
      </c>
      <c r="D167" s="2">
        <v>1277</v>
      </c>
      <c r="E167" s="2">
        <v>1013386</v>
      </c>
      <c r="F167" s="4">
        <v>8.1824694637581408E-3</v>
      </c>
      <c r="G167" s="19">
        <v>12.45517502708741</v>
      </c>
      <c r="H167" s="22">
        <v>59733</v>
      </c>
    </row>
    <row r="168" spans="1:8" x14ac:dyDescent="0.3">
      <c r="A168" s="21">
        <v>45733</v>
      </c>
      <c r="B168" t="s">
        <v>6</v>
      </c>
      <c r="C168" s="2">
        <v>5285</v>
      </c>
      <c r="D168" s="2">
        <v>433</v>
      </c>
      <c r="E168" s="2">
        <v>1018238</v>
      </c>
      <c r="F168" s="4">
        <v>4.7650942117658203E-3</v>
      </c>
      <c r="G168" s="19">
        <v>8.7022876773406619</v>
      </c>
      <c r="H168" s="22">
        <v>51800</v>
      </c>
    </row>
    <row r="169" spans="1:8" x14ac:dyDescent="0.3">
      <c r="A169" s="21">
        <v>45733</v>
      </c>
      <c r="B169" t="s">
        <v>6</v>
      </c>
      <c r="C169" s="2">
        <v>7910</v>
      </c>
      <c r="D169" s="2">
        <v>543</v>
      </c>
      <c r="E169" s="2">
        <v>1025605</v>
      </c>
      <c r="F169" s="4">
        <v>7.1830773055903598E-3</v>
      </c>
      <c r="G169" s="19">
        <v>6.0590578244060822</v>
      </c>
      <c r="H169" s="22">
        <v>40508</v>
      </c>
    </row>
    <row r="170" spans="1:8" x14ac:dyDescent="0.3">
      <c r="A170" s="21">
        <v>45740</v>
      </c>
      <c r="B170" t="s">
        <v>6</v>
      </c>
      <c r="C170" s="2">
        <v>9561</v>
      </c>
      <c r="D170" s="2">
        <v>517</v>
      </c>
      <c r="E170" s="2">
        <v>1034649</v>
      </c>
      <c r="F170" s="4">
        <v>8.7411286339618595E-3</v>
      </c>
      <c r="G170" s="19">
        <v>6.4086467971263694</v>
      </c>
      <c r="H170" s="22">
        <v>15347</v>
      </c>
    </row>
    <row r="171" spans="1:8" x14ac:dyDescent="0.3">
      <c r="A171" s="21">
        <v>45740</v>
      </c>
      <c r="B171" t="s">
        <v>6</v>
      </c>
      <c r="C171" s="2">
        <v>3196</v>
      </c>
      <c r="D171" s="2">
        <v>348</v>
      </c>
      <c r="E171" s="2">
        <v>1037497</v>
      </c>
      <c r="F171" s="4">
        <v>2.7450681785103999E-3</v>
      </c>
      <c r="G171" s="19">
        <v>14.03040201562029</v>
      </c>
      <c r="H171" s="22">
        <v>40314</v>
      </c>
    </row>
    <row r="172" spans="1:8" x14ac:dyDescent="0.3">
      <c r="A172" s="21">
        <v>45740</v>
      </c>
      <c r="B172" t="s">
        <v>1</v>
      </c>
      <c r="C172" s="2">
        <v>4747</v>
      </c>
      <c r="D172" s="2">
        <v>558</v>
      </c>
      <c r="E172" s="2">
        <v>1041686</v>
      </c>
      <c r="F172" s="4">
        <v>4.0213653634588497E-3</v>
      </c>
      <c r="G172" s="19">
        <v>5.7680529449373434</v>
      </c>
      <c r="H172" s="22">
        <v>12643</v>
      </c>
    </row>
    <row r="173" spans="1:8" x14ac:dyDescent="0.3">
      <c r="A173" s="21">
        <v>45740</v>
      </c>
      <c r="B173" t="s">
        <v>6</v>
      </c>
      <c r="C173" s="2">
        <v>9843</v>
      </c>
      <c r="D173" s="2">
        <v>508</v>
      </c>
      <c r="E173" s="2">
        <v>1051021</v>
      </c>
      <c r="F173" s="4">
        <v>8.8818396587699005E-3</v>
      </c>
      <c r="G173" s="19">
        <v>4.2080986012648651</v>
      </c>
      <c r="H173" s="22">
        <v>50785</v>
      </c>
    </row>
    <row r="174" spans="1:8" x14ac:dyDescent="0.3">
      <c r="A174" s="21">
        <v>45747</v>
      </c>
      <c r="B174" t="s">
        <v>28</v>
      </c>
      <c r="C174" s="2">
        <v>6978</v>
      </c>
      <c r="D174" s="2">
        <v>706</v>
      </c>
      <c r="E174" s="2">
        <v>1057293</v>
      </c>
      <c r="F174" s="4">
        <v>5.9321304501212101E-3</v>
      </c>
      <c r="G174" s="19">
        <v>5.057443868445171</v>
      </c>
      <c r="H174" s="22">
        <v>28681</v>
      </c>
    </row>
    <row r="175" spans="1:8" x14ac:dyDescent="0.3">
      <c r="A175" s="21">
        <v>45747</v>
      </c>
      <c r="B175" t="s">
        <v>10</v>
      </c>
      <c r="C175" s="2">
        <v>6607</v>
      </c>
      <c r="D175" s="2">
        <v>479</v>
      </c>
      <c r="E175" s="2">
        <v>1063421</v>
      </c>
      <c r="F175" s="4">
        <v>5.7625343114345098E-3</v>
      </c>
      <c r="G175" s="19">
        <v>5.5892257158735816</v>
      </c>
      <c r="H175" s="22">
        <v>48328</v>
      </c>
    </row>
    <row r="176" spans="1:8" x14ac:dyDescent="0.3">
      <c r="A176" s="21">
        <v>45747</v>
      </c>
      <c r="B176" t="s">
        <v>1</v>
      </c>
      <c r="C176" s="2">
        <v>1769</v>
      </c>
      <c r="D176" s="2">
        <v>202</v>
      </c>
      <c r="E176" s="2">
        <v>1064988</v>
      </c>
      <c r="F176" s="4">
        <v>1.47137808125538E-3</v>
      </c>
      <c r="G176" s="19">
        <v>6.5457075572682513</v>
      </c>
      <c r="H176" s="22">
        <v>25892</v>
      </c>
    </row>
    <row r="177" spans="1:8" x14ac:dyDescent="0.3">
      <c r="A177" s="21">
        <v>45747</v>
      </c>
      <c r="B177" t="s">
        <v>6</v>
      </c>
      <c r="C177" s="2">
        <v>1780</v>
      </c>
      <c r="D177" s="2">
        <v>120</v>
      </c>
      <c r="E177" s="2">
        <v>1066648</v>
      </c>
      <c r="F177" s="4">
        <v>1.55627723485161E-3</v>
      </c>
      <c r="G177" s="19">
        <v>13.86474263299608</v>
      </c>
      <c r="H177" s="22">
        <v>57299</v>
      </c>
    </row>
    <row r="178" spans="1:8" x14ac:dyDescent="0.3">
      <c r="A178" s="21">
        <v>45754</v>
      </c>
      <c r="B178" t="s">
        <v>1</v>
      </c>
      <c r="C178" s="2">
        <v>7303</v>
      </c>
      <c r="D178" s="2">
        <v>869</v>
      </c>
      <c r="E178" s="2">
        <v>1073082</v>
      </c>
      <c r="F178" s="4">
        <v>5.9958139266151197E-3</v>
      </c>
      <c r="G178" s="19">
        <v>8.1237966902808925</v>
      </c>
      <c r="H178" s="22">
        <v>27073</v>
      </c>
    </row>
    <row r="179" spans="1:8" x14ac:dyDescent="0.3">
      <c r="A179" s="21">
        <v>45754</v>
      </c>
      <c r="B179" t="s">
        <v>6</v>
      </c>
      <c r="C179" s="2">
        <v>4983</v>
      </c>
      <c r="D179" s="2">
        <v>441</v>
      </c>
      <c r="E179" s="2">
        <v>1077624</v>
      </c>
      <c r="F179" s="4">
        <v>4.2148281775461604E-3</v>
      </c>
      <c r="G179" s="19">
        <v>6.8954477628560609</v>
      </c>
      <c r="H179" s="22">
        <v>46768</v>
      </c>
    </row>
    <row r="180" spans="1:8" x14ac:dyDescent="0.3">
      <c r="A180" s="21">
        <v>45754</v>
      </c>
      <c r="B180" t="s">
        <v>28</v>
      </c>
      <c r="C180" s="2">
        <v>9714</v>
      </c>
      <c r="D180" s="2">
        <v>1395</v>
      </c>
      <c r="E180" s="2">
        <v>1085943</v>
      </c>
      <c r="F180" s="4">
        <v>7.6606230713766798E-3</v>
      </c>
      <c r="G180" s="19">
        <v>5.2243073531483697</v>
      </c>
      <c r="H180" s="22">
        <v>40682</v>
      </c>
    </row>
    <row r="181" spans="1:8" x14ac:dyDescent="0.3">
      <c r="A181" s="21">
        <v>45754</v>
      </c>
      <c r="B181" t="s">
        <v>10</v>
      </c>
      <c r="C181" s="2">
        <v>1521</v>
      </c>
      <c r="D181" s="2">
        <v>96</v>
      </c>
      <c r="E181" s="2">
        <v>1087368</v>
      </c>
      <c r="F181" s="4">
        <v>1.31050389564526E-3</v>
      </c>
      <c r="G181" s="19">
        <v>12.709772588488899</v>
      </c>
      <c r="H181" s="22">
        <v>42262</v>
      </c>
    </row>
    <row r="182" spans="1:8" x14ac:dyDescent="0.3">
      <c r="A182" s="21">
        <v>45761</v>
      </c>
      <c r="B182" t="s">
        <v>6</v>
      </c>
      <c r="C182" s="2">
        <v>8569</v>
      </c>
      <c r="D182" s="2">
        <v>720</v>
      </c>
      <c r="E182" s="2">
        <v>1095217</v>
      </c>
      <c r="F182" s="4">
        <v>7.1666162961312703E-3</v>
      </c>
      <c r="G182" s="19">
        <v>9.589697749395782</v>
      </c>
      <c r="H182" s="22">
        <v>41358</v>
      </c>
    </row>
    <row r="183" spans="1:8" x14ac:dyDescent="0.3">
      <c r="A183" s="21">
        <v>45761</v>
      </c>
      <c r="B183" t="s">
        <v>6</v>
      </c>
      <c r="C183" s="2">
        <v>6784</v>
      </c>
      <c r="D183" s="2">
        <v>416</v>
      </c>
      <c r="E183" s="2">
        <v>1101585</v>
      </c>
      <c r="F183" s="4">
        <v>5.7807613574985097E-3</v>
      </c>
      <c r="G183" s="19">
        <v>9.3041390360253633</v>
      </c>
      <c r="H183" s="22">
        <v>24289</v>
      </c>
    </row>
    <row r="184" spans="1:8" x14ac:dyDescent="0.3">
      <c r="A184" s="21">
        <v>45761</v>
      </c>
      <c r="B184" t="s">
        <v>6</v>
      </c>
      <c r="C184" s="2">
        <v>5583</v>
      </c>
      <c r="D184" s="2">
        <v>795</v>
      </c>
      <c r="E184" s="2">
        <v>1106373</v>
      </c>
      <c r="F184" s="4">
        <v>4.3276544167292598E-3</v>
      </c>
      <c r="G184" s="19">
        <v>12.21550055903389</v>
      </c>
      <c r="H184" s="22">
        <v>59823</v>
      </c>
    </row>
    <row r="185" spans="1:8" x14ac:dyDescent="0.3">
      <c r="A185" s="21">
        <v>45761</v>
      </c>
      <c r="B185" t="s">
        <v>6</v>
      </c>
      <c r="C185" s="2">
        <v>6946</v>
      </c>
      <c r="D185" s="2">
        <v>956</v>
      </c>
      <c r="E185" s="2">
        <v>1112363</v>
      </c>
      <c r="F185" s="4">
        <v>5.3849327962185002E-3</v>
      </c>
      <c r="G185" s="19">
        <v>1.64146056637986</v>
      </c>
      <c r="H185" s="22">
        <v>17927</v>
      </c>
    </row>
    <row r="186" spans="1:8" x14ac:dyDescent="0.3">
      <c r="A186" s="21">
        <v>45768</v>
      </c>
      <c r="B186" t="s">
        <v>10</v>
      </c>
      <c r="C186" s="2">
        <v>5941</v>
      </c>
      <c r="D186" s="2">
        <v>450</v>
      </c>
      <c r="E186" s="2">
        <v>1117854</v>
      </c>
      <c r="F186" s="4">
        <v>4.9120904876665504E-3</v>
      </c>
      <c r="G186" s="19">
        <v>12.414411899944</v>
      </c>
      <c r="H186" s="22">
        <v>58330</v>
      </c>
    </row>
    <row r="187" spans="1:8" x14ac:dyDescent="0.3">
      <c r="A187" s="21">
        <v>45768</v>
      </c>
      <c r="B187" t="s">
        <v>10</v>
      </c>
      <c r="C187" s="2">
        <v>7267</v>
      </c>
      <c r="D187" s="2">
        <v>842</v>
      </c>
      <c r="E187" s="2">
        <v>1124279</v>
      </c>
      <c r="F187" s="4">
        <v>5.7147736460433796E-3</v>
      </c>
      <c r="G187" s="19">
        <v>2.2102165031989389</v>
      </c>
      <c r="H187" s="22">
        <v>11171</v>
      </c>
    </row>
    <row r="188" spans="1:8" x14ac:dyDescent="0.3">
      <c r="A188" s="21">
        <v>45768</v>
      </c>
      <c r="B188" t="s">
        <v>28</v>
      </c>
      <c r="C188" s="2">
        <v>8128</v>
      </c>
      <c r="D188" s="2">
        <v>1070</v>
      </c>
      <c r="E188" s="2">
        <v>1131337</v>
      </c>
      <c r="F188" s="4">
        <v>6.2386362330587603E-3</v>
      </c>
      <c r="G188" s="19">
        <v>8.1114645768679008</v>
      </c>
      <c r="H188" s="22">
        <v>21918</v>
      </c>
    </row>
    <row r="189" spans="1:8" x14ac:dyDescent="0.3">
      <c r="A189" s="21">
        <v>45768</v>
      </c>
      <c r="B189" t="s">
        <v>10</v>
      </c>
      <c r="C189" s="2">
        <v>3461</v>
      </c>
      <c r="D189" s="2">
        <v>365</v>
      </c>
      <c r="E189" s="2">
        <v>1134433</v>
      </c>
      <c r="F189" s="4">
        <v>2.7291166600407401E-3</v>
      </c>
      <c r="G189" s="19">
        <v>10.23489267325616</v>
      </c>
      <c r="H189" s="22">
        <v>51903</v>
      </c>
    </row>
    <row r="190" spans="1:8" x14ac:dyDescent="0.3">
      <c r="A190" s="21">
        <v>45775</v>
      </c>
      <c r="B190" t="s">
        <v>6</v>
      </c>
      <c r="C190" s="2">
        <v>1685</v>
      </c>
      <c r="D190" s="2">
        <v>173</v>
      </c>
      <c r="E190" s="2">
        <v>1135945</v>
      </c>
      <c r="F190" s="4">
        <v>1.33105035895224E-3</v>
      </c>
      <c r="G190" s="19">
        <v>8.7776256772995165</v>
      </c>
      <c r="H190" s="22">
        <v>49110</v>
      </c>
    </row>
    <row r="191" spans="1:8" x14ac:dyDescent="0.3">
      <c r="A191" s="21">
        <v>45775</v>
      </c>
      <c r="B191" t="s">
        <v>28</v>
      </c>
      <c r="C191" s="2">
        <v>3160</v>
      </c>
      <c r="D191" s="2">
        <v>234</v>
      </c>
      <c r="E191" s="2">
        <v>1138871</v>
      </c>
      <c r="F191" s="4">
        <v>2.5692110871204901E-3</v>
      </c>
      <c r="G191" s="19">
        <v>5.6959041015180816</v>
      </c>
      <c r="H191" s="22">
        <v>21929</v>
      </c>
    </row>
    <row r="192" spans="1:8" x14ac:dyDescent="0.3">
      <c r="A192" s="21">
        <v>45775</v>
      </c>
      <c r="B192" t="s">
        <v>28</v>
      </c>
      <c r="C192" s="2">
        <v>8031</v>
      </c>
      <c r="D192" s="2">
        <v>476</v>
      </c>
      <c r="E192" s="2">
        <v>1146426</v>
      </c>
      <c r="F192" s="4">
        <v>6.5900459340594202E-3</v>
      </c>
      <c r="G192" s="19">
        <v>11.940413075069831</v>
      </c>
      <c r="H192" s="22">
        <v>12539</v>
      </c>
    </row>
    <row r="193" spans="1:8" x14ac:dyDescent="0.3">
      <c r="A193" s="21">
        <v>45775</v>
      </c>
      <c r="B193" t="s">
        <v>28</v>
      </c>
      <c r="C193" s="2">
        <v>6341</v>
      </c>
      <c r="D193" s="2">
        <v>885</v>
      </c>
      <c r="E193" s="2">
        <v>1151882</v>
      </c>
      <c r="F193" s="4">
        <v>4.7365962832998498E-3</v>
      </c>
      <c r="G193" s="19">
        <v>6.3457020771224837</v>
      </c>
      <c r="H193" s="22">
        <v>46727</v>
      </c>
    </row>
    <row r="194" spans="1:8" x14ac:dyDescent="0.3">
      <c r="A194" s="21">
        <v>45782</v>
      </c>
      <c r="B194" t="s">
        <v>6</v>
      </c>
      <c r="C194" s="2">
        <v>1038</v>
      </c>
      <c r="D194" s="2">
        <v>145</v>
      </c>
      <c r="E194" s="2">
        <v>1152775</v>
      </c>
      <c r="F194" s="4">
        <v>7.7465246904209403E-4</v>
      </c>
      <c r="G194" s="19">
        <v>11.093752033137431</v>
      </c>
      <c r="H194" s="22">
        <v>55951</v>
      </c>
    </row>
    <row r="195" spans="1:8" x14ac:dyDescent="0.3">
      <c r="A195" s="21">
        <v>45782</v>
      </c>
      <c r="B195" t="s">
        <v>1</v>
      </c>
      <c r="C195" s="2">
        <v>5875</v>
      </c>
      <c r="D195" s="2">
        <v>665</v>
      </c>
      <c r="E195" s="2">
        <v>1157985</v>
      </c>
      <c r="F195" s="4">
        <v>4.4991947218659999E-3</v>
      </c>
      <c r="G195" s="19">
        <v>6.9871371390821126</v>
      </c>
      <c r="H195" s="22">
        <v>32669</v>
      </c>
    </row>
    <row r="196" spans="1:8" x14ac:dyDescent="0.3">
      <c r="A196" s="21">
        <v>45782</v>
      </c>
      <c r="B196" t="s">
        <v>6</v>
      </c>
      <c r="C196" s="2">
        <v>2256</v>
      </c>
      <c r="D196" s="2">
        <v>189</v>
      </c>
      <c r="E196" s="2">
        <v>1160052</v>
      </c>
      <c r="F196" s="4">
        <v>1.7818166771834401E-3</v>
      </c>
      <c r="G196" s="19">
        <v>2.8935771844710412</v>
      </c>
      <c r="H196" s="22">
        <v>15432</v>
      </c>
    </row>
    <row r="197" spans="1:8" x14ac:dyDescent="0.3">
      <c r="A197" s="21">
        <v>45782</v>
      </c>
      <c r="B197" t="s">
        <v>10</v>
      </c>
      <c r="C197" s="2">
        <v>8697</v>
      </c>
      <c r="D197" s="2">
        <v>738</v>
      </c>
      <c r="E197" s="2">
        <v>1168011</v>
      </c>
      <c r="F197" s="4">
        <v>6.8141481544266302E-3</v>
      </c>
      <c r="G197" s="19">
        <v>3.8777032065622672</v>
      </c>
      <c r="H197" s="22">
        <v>30644</v>
      </c>
    </row>
    <row r="198" spans="1:8" x14ac:dyDescent="0.3">
      <c r="A198" s="21">
        <v>45789</v>
      </c>
      <c r="B198" t="s">
        <v>10</v>
      </c>
      <c r="C198" s="2">
        <v>3196</v>
      </c>
      <c r="D198" s="2">
        <v>391</v>
      </c>
      <c r="E198" s="2">
        <v>1170816</v>
      </c>
      <c r="F198" s="4">
        <v>2.39576500491965E-3</v>
      </c>
      <c r="G198" s="19">
        <v>7.2439221876024931</v>
      </c>
      <c r="H198" s="22">
        <v>28745</v>
      </c>
    </row>
    <row r="199" spans="1:8" x14ac:dyDescent="0.3">
      <c r="A199" s="21">
        <v>45789</v>
      </c>
      <c r="B199" t="s">
        <v>6</v>
      </c>
      <c r="C199" s="2">
        <v>8165</v>
      </c>
      <c r="D199" s="2">
        <v>1140</v>
      </c>
      <c r="E199" s="2">
        <v>1177841</v>
      </c>
      <c r="F199" s="4">
        <v>5.9643024822535499E-3</v>
      </c>
      <c r="G199" s="19">
        <v>9.095964565675672</v>
      </c>
      <c r="H199" s="22">
        <v>38228</v>
      </c>
    </row>
    <row r="200" spans="1:8" x14ac:dyDescent="0.3">
      <c r="A200" s="21">
        <v>45789</v>
      </c>
      <c r="B200" t="s">
        <v>6</v>
      </c>
      <c r="C200" s="2">
        <v>1301</v>
      </c>
      <c r="D200" s="2">
        <v>180</v>
      </c>
      <c r="E200" s="2">
        <v>1178962</v>
      </c>
      <c r="F200" s="4">
        <v>9.5083641372665096E-4</v>
      </c>
      <c r="G200" s="19">
        <v>5.2275645864752214</v>
      </c>
      <c r="H200" s="22">
        <v>44521</v>
      </c>
    </row>
    <row r="201" spans="1:8" x14ac:dyDescent="0.3">
      <c r="A201" s="21">
        <v>45789</v>
      </c>
      <c r="B201" t="s">
        <v>28</v>
      </c>
      <c r="C201" s="2">
        <v>8527</v>
      </c>
      <c r="D201" s="2">
        <v>1091</v>
      </c>
      <c r="E201" s="2">
        <v>1186398</v>
      </c>
      <c r="F201" s="4">
        <v>6.2677111728104704E-3</v>
      </c>
      <c r="G201" s="19">
        <v>1.676081719625286</v>
      </c>
      <c r="H201" s="22">
        <v>41703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F34F-638D-4FB6-8149-54DB70CD79A6}">
  <dimension ref="B2:B21"/>
  <sheetViews>
    <sheetView tabSelected="1" workbookViewId="0">
      <selection activeCell="B18" sqref="B18"/>
    </sheetView>
  </sheetViews>
  <sheetFormatPr defaultRowHeight="14.4" x14ac:dyDescent="0.3"/>
  <cols>
    <col min="2" max="2" width="73.6640625" bestFit="1" customWidth="1"/>
  </cols>
  <sheetData>
    <row r="2" spans="2:2" ht="15.6" x14ac:dyDescent="0.3">
      <c r="B2" s="5" t="s">
        <v>341</v>
      </c>
    </row>
    <row r="4" spans="2:2" x14ac:dyDescent="0.3">
      <c r="B4" s="6" t="s">
        <v>379</v>
      </c>
    </row>
    <row r="5" spans="2:2" x14ac:dyDescent="0.3">
      <c r="B5" s="6" t="s">
        <v>377</v>
      </c>
    </row>
    <row r="6" spans="2:2" x14ac:dyDescent="0.3">
      <c r="B6" s="6" t="s">
        <v>378</v>
      </c>
    </row>
    <row r="8" spans="2:2" x14ac:dyDescent="0.3">
      <c r="B8" s="7" t="s">
        <v>386</v>
      </c>
    </row>
    <row r="9" spans="2:2" x14ac:dyDescent="0.3">
      <c r="B9" s="7" t="s">
        <v>387</v>
      </c>
    </row>
    <row r="10" spans="2:2" x14ac:dyDescent="0.3">
      <c r="B10" s="7" t="s">
        <v>382</v>
      </c>
    </row>
    <row r="11" spans="2:2" x14ac:dyDescent="0.3">
      <c r="B11" s="7" t="s">
        <v>388</v>
      </c>
    </row>
    <row r="12" spans="2:2" x14ac:dyDescent="0.3">
      <c r="B12" s="7" t="s">
        <v>389</v>
      </c>
    </row>
    <row r="15" spans="2:2" x14ac:dyDescent="0.3">
      <c r="B15" s="7" t="s">
        <v>383</v>
      </c>
    </row>
    <row r="16" spans="2:2" x14ac:dyDescent="0.3">
      <c r="B16" s="7" t="s">
        <v>384</v>
      </c>
    </row>
    <row r="17" spans="2:2" x14ac:dyDescent="0.3">
      <c r="B17" s="7" t="s">
        <v>385</v>
      </c>
    </row>
    <row r="18" spans="2:2" x14ac:dyDescent="0.3">
      <c r="B18" s="7" t="s">
        <v>392</v>
      </c>
    </row>
    <row r="19" spans="2:2" x14ac:dyDescent="0.3">
      <c r="B19" s="7" t="s">
        <v>391</v>
      </c>
    </row>
    <row r="20" spans="2:2" x14ac:dyDescent="0.3">
      <c r="B20" s="7" t="s">
        <v>390</v>
      </c>
    </row>
    <row r="21" spans="2:2" x14ac:dyDescent="0.3">
      <c r="B21" s="7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406EE63-64B1-45E5-86F1-2C7C7F2F0684}">
  <ds:schemaRefs/>
</ds:datastoreItem>
</file>

<file path=customXml/itemProps2.xml><?xml version="1.0" encoding="utf-8"?>
<ds:datastoreItem xmlns:ds="http://schemas.openxmlformats.org/officeDocument/2006/customXml" ds:itemID="{AF7A8513-244E-40F2-A7CE-D645ABB0CFE1}">
  <ds:schemaRefs/>
</ds:datastoreItem>
</file>

<file path=customXml/itemProps3.xml><?xml version="1.0" encoding="utf-8"?>
<ds:datastoreItem xmlns:ds="http://schemas.openxmlformats.org/officeDocument/2006/customXml" ds:itemID="{27E25E6B-CF78-47D2-AA52-4238FADCDE77}">
  <ds:schemaRefs/>
</ds:datastoreItem>
</file>

<file path=customXml/itemProps4.xml><?xml version="1.0" encoding="utf-8"?>
<ds:datastoreItem xmlns:ds="http://schemas.openxmlformats.org/officeDocument/2006/customXml" ds:itemID="{F03D569B-7FF2-4650-850E-F6207560EBE8}">
  <ds:schemaRefs/>
</ds:datastoreItem>
</file>

<file path=customXml/itemProps5.xml><?xml version="1.0" encoding="utf-8"?>
<ds:datastoreItem xmlns:ds="http://schemas.openxmlformats.org/officeDocument/2006/customXml" ds:itemID="{3AF05D56-B739-4548-AF0F-D75B25A3C759}">
  <ds:schemaRefs/>
</ds:datastoreItem>
</file>

<file path=customXml/itemProps6.xml><?xml version="1.0" encoding="utf-8"?>
<ds:datastoreItem xmlns:ds="http://schemas.openxmlformats.org/officeDocument/2006/customXml" ds:itemID="{DDDC99B5-66F7-414F-A340-C762E9DF7EC4}">
  <ds:schemaRefs/>
</ds:datastoreItem>
</file>

<file path=customXml/itemProps7.xml><?xml version="1.0" encoding="utf-8"?>
<ds:datastoreItem xmlns:ds="http://schemas.openxmlformats.org/officeDocument/2006/customXml" ds:itemID="{EE5C0723-DD72-4723-B3EE-7A733BCC1A2A}">
  <ds:schemaRefs/>
</ds:datastoreItem>
</file>

<file path=customXml/itemProps8.xml><?xml version="1.0" encoding="utf-8"?>
<ds:datastoreItem xmlns:ds="http://schemas.openxmlformats.org/officeDocument/2006/customXml" ds:itemID="{879EE62D-8EF2-4FFF-841F-DBCB2179BEEB}">
  <ds:schemaRefs/>
</ds:datastoreItem>
</file>

<file path=customXml/itemProps9.xml><?xml version="1.0" encoding="utf-8"?>
<ds:datastoreItem xmlns:ds="http://schemas.openxmlformats.org/officeDocument/2006/customXml" ds:itemID="{281360F4-6756-41FE-88E2-9C2E2B309A55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839EA685-A6F0-4061-A40D-24589ECE69AD}">
  <ds:schemaRefs/>
</ds:datastoreItem>
</file>

<file path=customXml/itemProps11.xml><?xml version="1.0" encoding="utf-8"?>
<ds:datastoreItem xmlns:ds="http://schemas.openxmlformats.org/officeDocument/2006/customXml" ds:itemID="{C693BB60-E263-456F-B02D-8D1CE00DDEF2}">
  <ds:schemaRefs/>
</ds:datastoreItem>
</file>

<file path=customXml/itemProps12.xml><?xml version="1.0" encoding="utf-8"?>
<ds:datastoreItem xmlns:ds="http://schemas.openxmlformats.org/officeDocument/2006/customXml" ds:itemID="{36BAD865-65FF-4237-B1B5-6613ABF78EDF}">
  <ds:schemaRefs/>
</ds:datastoreItem>
</file>

<file path=customXml/itemProps13.xml><?xml version="1.0" encoding="utf-8"?>
<ds:datastoreItem xmlns:ds="http://schemas.openxmlformats.org/officeDocument/2006/customXml" ds:itemID="{6F53FE72-DE9A-46CE-8369-E78F6EC58DC0}">
  <ds:schemaRefs/>
</ds:datastoreItem>
</file>

<file path=customXml/itemProps14.xml><?xml version="1.0" encoding="utf-8"?>
<ds:datastoreItem xmlns:ds="http://schemas.openxmlformats.org/officeDocument/2006/customXml" ds:itemID="{2BE6B378-9DC0-4238-BD89-40B0FC848520}">
  <ds:schemaRefs/>
</ds:datastoreItem>
</file>

<file path=customXml/itemProps15.xml><?xml version="1.0" encoding="utf-8"?>
<ds:datastoreItem xmlns:ds="http://schemas.openxmlformats.org/officeDocument/2006/customXml" ds:itemID="{4195FBEA-802A-4CDA-ADA3-381D996338E0}">
  <ds:schemaRefs/>
</ds:datastoreItem>
</file>

<file path=customXml/itemProps16.xml><?xml version="1.0" encoding="utf-8"?>
<ds:datastoreItem xmlns:ds="http://schemas.openxmlformats.org/officeDocument/2006/customXml" ds:itemID="{8107EB2D-6397-4659-8E61-49F601E2FEF9}">
  <ds:schemaRefs/>
</ds:datastoreItem>
</file>

<file path=customXml/itemProps17.xml><?xml version="1.0" encoding="utf-8"?>
<ds:datastoreItem xmlns:ds="http://schemas.openxmlformats.org/officeDocument/2006/customXml" ds:itemID="{D8F763B6-176A-42EE-880F-296A3D894294}">
  <ds:schemaRefs/>
</ds:datastoreItem>
</file>

<file path=customXml/itemProps18.xml><?xml version="1.0" encoding="utf-8"?>
<ds:datastoreItem xmlns:ds="http://schemas.openxmlformats.org/officeDocument/2006/customXml" ds:itemID="{583F6EF3-AB94-4D49-A781-DF73BCC3DF25}">
  <ds:schemaRefs/>
</ds:datastoreItem>
</file>

<file path=customXml/itemProps19.xml><?xml version="1.0" encoding="utf-8"?>
<ds:datastoreItem xmlns:ds="http://schemas.openxmlformats.org/officeDocument/2006/customXml" ds:itemID="{EDC4C803-B5F7-4C1F-B21B-B107F3CFBCE9}">
  <ds:schemaRefs/>
</ds:datastoreItem>
</file>

<file path=customXml/itemProps20.xml><?xml version="1.0" encoding="utf-8"?>
<ds:datastoreItem xmlns:ds="http://schemas.openxmlformats.org/officeDocument/2006/customXml" ds:itemID="{AD5B44B2-A66F-4F9B-BD56-35743EB2B9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DataSets</vt:lpstr>
      <vt:lpstr>Posts</vt:lpstr>
      <vt:lpstr>Campaign</vt:lpstr>
      <vt:lpstr>Task 3.1</vt:lpstr>
      <vt:lpstr>Task 3.2</vt:lpstr>
      <vt:lpstr>Task 3.3</vt:lpstr>
      <vt:lpstr>Task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Mahto</dc:creator>
  <cp:lastModifiedBy>Nihal Mahto</cp:lastModifiedBy>
  <dcterms:created xsi:type="dcterms:W3CDTF">2025-11-10T07:43:14Z</dcterms:created>
  <dcterms:modified xsi:type="dcterms:W3CDTF">2025-11-17T19:11:45Z</dcterms:modified>
</cp:coreProperties>
</file>